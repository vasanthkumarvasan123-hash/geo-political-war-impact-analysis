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13_ncr:1_{40AFC221-BF42-48AB-BCCA-C622AF17317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ivot table" sheetId="2" r:id="rId1"/>
    <sheet name="geopolitical_war_impact_dataset" sheetId="1" r:id="rId2"/>
  </sheets>
  <definedNames>
    <definedName name="_xlnm._FilterDatabase" localSheetId="1" hidden="1">geopolitical_war_impact_dataset!$B$1:$B$2001</definedName>
  </definedNames>
  <calcPr calcId="191029"/>
  <pivotCaches>
    <pivotCache cacheId="0" r:id="rId3"/>
    <pivotCache cacheId="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2001" i="1" l="1"/>
  <c r="R2001" i="1"/>
  <c r="Q2001" i="1"/>
  <c r="T2001" i="1" s="1"/>
  <c r="U2000" i="1"/>
  <c r="T2000" i="1"/>
  <c r="R2000" i="1"/>
  <c r="Q2000" i="1"/>
  <c r="S2000" i="1" s="1"/>
  <c r="U1999" i="1"/>
  <c r="S1999" i="1"/>
  <c r="R1999" i="1"/>
  <c r="Q1999" i="1"/>
  <c r="T1999" i="1" s="1"/>
  <c r="U1998" i="1"/>
  <c r="T1998" i="1"/>
  <c r="S1998" i="1"/>
  <c r="R1998" i="1"/>
  <c r="Q1998" i="1"/>
  <c r="U1997" i="1"/>
  <c r="R1997" i="1"/>
  <c r="Q1997" i="1"/>
  <c r="T1997" i="1" s="1"/>
  <c r="U1996" i="1"/>
  <c r="T1996" i="1"/>
  <c r="R1996" i="1"/>
  <c r="Q1996" i="1"/>
  <c r="S1996" i="1" s="1"/>
  <c r="U1995" i="1"/>
  <c r="T1995" i="1"/>
  <c r="S1995" i="1"/>
  <c r="R1995" i="1"/>
  <c r="Q1995" i="1"/>
  <c r="U1994" i="1"/>
  <c r="R1994" i="1"/>
  <c r="Q1994" i="1"/>
  <c r="T1994" i="1" s="1"/>
  <c r="U1993" i="1"/>
  <c r="R1993" i="1"/>
  <c r="Q1993" i="1"/>
  <c r="T1993" i="1" s="1"/>
  <c r="U1992" i="1"/>
  <c r="S1992" i="1"/>
  <c r="R1992" i="1"/>
  <c r="Q1992" i="1"/>
  <c r="T1992" i="1" s="1"/>
  <c r="U1991" i="1"/>
  <c r="T1991" i="1"/>
  <c r="S1991" i="1"/>
  <c r="R1991" i="1"/>
  <c r="Q1991" i="1"/>
  <c r="U1990" i="1"/>
  <c r="R1990" i="1"/>
  <c r="Q1990" i="1"/>
  <c r="T1990" i="1" s="1"/>
  <c r="U1989" i="1"/>
  <c r="R1989" i="1"/>
  <c r="Q1989" i="1"/>
  <c r="T1989" i="1" s="1"/>
  <c r="U1988" i="1"/>
  <c r="S1988" i="1"/>
  <c r="R1988" i="1"/>
  <c r="Q1988" i="1"/>
  <c r="T1988" i="1" s="1"/>
  <c r="U1987" i="1"/>
  <c r="T1987" i="1"/>
  <c r="S1987" i="1"/>
  <c r="R1987" i="1"/>
  <c r="Q1987" i="1"/>
  <c r="U1986" i="1"/>
  <c r="R1986" i="1"/>
  <c r="Q1986" i="1"/>
  <c r="T1986" i="1" s="1"/>
  <c r="U1985" i="1"/>
  <c r="R1985" i="1"/>
  <c r="Q1985" i="1"/>
  <c r="T1985" i="1" s="1"/>
  <c r="U1984" i="1"/>
  <c r="T1984" i="1"/>
  <c r="S1984" i="1"/>
  <c r="R1984" i="1"/>
  <c r="Q1984" i="1"/>
  <c r="U1983" i="1"/>
  <c r="R1983" i="1"/>
  <c r="Q1983" i="1"/>
  <c r="T1983" i="1" s="1"/>
  <c r="U1982" i="1"/>
  <c r="R1982" i="1"/>
  <c r="Q1982" i="1"/>
  <c r="T1982" i="1" s="1"/>
  <c r="U1981" i="1"/>
  <c r="S1981" i="1"/>
  <c r="R1981" i="1"/>
  <c r="Q1981" i="1"/>
  <c r="T1981" i="1" s="1"/>
  <c r="U1980" i="1"/>
  <c r="S1980" i="1"/>
  <c r="R1980" i="1"/>
  <c r="Q1980" i="1"/>
  <c r="T1980" i="1" s="1"/>
  <c r="U1979" i="1"/>
  <c r="T1979" i="1"/>
  <c r="S1979" i="1"/>
  <c r="R1979" i="1"/>
  <c r="Q1979" i="1"/>
  <c r="U1978" i="1"/>
  <c r="R1978" i="1"/>
  <c r="Q1978" i="1"/>
  <c r="T1978" i="1" s="1"/>
  <c r="U1977" i="1"/>
  <c r="R1977" i="1"/>
  <c r="Q1977" i="1"/>
  <c r="T1977" i="1" s="1"/>
  <c r="U1976" i="1"/>
  <c r="T1976" i="1"/>
  <c r="S1976" i="1"/>
  <c r="R1976" i="1"/>
  <c r="Q1976" i="1"/>
  <c r="U1975" i="1"/>
  <c r="R1975" i="1"/>
  <c r="Q1975" i="1"/>
  <c r="T1975" i="1" s="1"/>
  <c r="U1974" i="1"/>
  <c r="R1974" i="1"/>
  <c r="Q1974" i="1"/>
  <c r="T1974" i="1" s="1"/>
  <c r="U1973" i="1"/>
  <c r="S1973" i="1"/>
  <c r="R1973" i="1"/>
  <c r="Q1973" i="1"/>
  <c r="T1973" i="1" s="1"/>
  <c r="U1972" i="1"/>
  <c r="S1972" i="1"/>
  <c r="R1972" i="1"/>
  <c r="Q1972" i="1"/>
  <c r="T1972" i="1" s="1"/>
  <c r="U1971" i="1"/>
  <c r="T1971" i="1"/>
  <c r="R1971" i="1"/>
  <c r="Q1971" i="1"/>
  <c r="S1971" i="1" s="1"/>
  <c r="U1970" i="1"/>
  <c r="R1970" i="1"/>
  <c r="Q1970" i="1"/>
  <c r="T1970" i="1" s="1"/>
  <c r="U1969" i="1"/>
  <c r="R1969" i="1"/>
  <c r="Q1969" i="1"/>
  <c r="T1969" i="1" s="1"/>
  <c r="U1968" i="1"/>
  <c r="T1968" i="1"/>
  <c r="S1968" i="1"/>
  <c r="R1968" i="1"/>
  <c r="Q1968" i="1"/>
  <c r="U1967" i="1"/>
  <c r="R1967" i="1"/>
  <c r="Q1967" i="1"/>
  <c r="T1967" i="1" s="1"/>
  <c r="U1966" i="1"/>
  <c r="R1966" i="1"/>
  <c r="Q1966" i="1"/>
  <c r="T1966" i="1" s="1"/>
  <c r="U1965" i="1"/>
  <c r="S1965" i="1"/>
  <c r="R1965" i="1"/>
  <c r="Q1965" i="1"/>
  <c r="T1965" i="1" s="1"/>
  <c r="U1964" i="1"/>
  <c r="S1964" i="1"/>
  <c r="R1964" i="1"/>
  <c r="Q1964" i="1"/>
  <c r="T1964" i="1" s="1"/>
  <c r="U1963" i="1"/>
  <c r="T1963" i="1"/>
  <c r="R1963" i="1"/>
  <c r="Q1963" i="1"/>
  <c r="S1963" i="1" s="1"/>
  <c r="U1962" i="1"/>
  <c r="R1962" i="1"/>
  <c r="Q1962" i="1"/>
  <c r="T1962" i="1" s="1"/>
  <c r="U1961" i="1"/>
  <c r="R1961" i="1"/>
  <c r="Q1961" i="1"/>
  <c r="T1961" i="1" s="1"/>
  <c r="U1960" i="1"/>
  <c r="T1960" i="1"/>
  <c r="R1960" i="1"/>
  <c r="Q1960" i="1"/>
  <c r="S1960" i="1" s="1"/>
  <c r="U1959" i="1"/>
  <c r="R1959" i="1"/>
  <c r="Q1959" i="1"/>
  <c r="T1959" i="1" s="1"/>
  <c r="U1958" i="1"/>
  <c r="R1958" i="1"/>
  <c r="Q1958" i="1"/>
  <c r="T1958" i="1" s="1"/>
  <c r="U1957" i="1"/>
  <c r="S1957" i="1"/>
  <c r="R1957" i="1"/>
  <c r="Q1957" i="1"/>
  <c r="T1957" i="1" s="1"/>
  <c r="U1956" i="1"/>
  <c r="T1956" i="1"/>
  <c r="S1956" i="1"/>
  <c r="R1956" i="1"/>
  <c r="Q1956" i="1"/>
  <c r="U1955" i="1"/>
  <c r="T1955" i="1"/>
  <c r="R1955" i="1"/>
  <c r="Q1955" i="1"/>
  <c r="S1955" i="1" s="1"/>
  <c r="U1954" i="1"/>
  <c r="T1954" i="1"/>
  <c r="R1954" i="1"/>
  <c r="Q1954" i="1"/>
  <c r="S1954" i="1" s="1"/>
  <c r="U1953" i="1"/>
  <c r="R1953" i="1"/>
  <c r="Q1953" i="1"/>
  <c r="T1953" i="1" s="1"/>
  <c r="U1952" i="1"/>
  <c r="T1952" i="1"/>
  <c r="R1952" i="1"/>
  <c r="Q1952" i="1"/>
  <c r="S1952" i="1" s="1"/>
  <c r="U1951" i="1"/>
  <c r="R1951" i="1"/>
  <c r="Q1951" i="1"/>
  <c r="T1951" i="1" s="1"/>
  <c r="U1950" i="1"/>
  <c r="R1950" i="1"/>
  <c r="Q1950" i="1"/>
  <c r="T1950" i="1" s="1"/>
  <c r="U1949" i="1"/>
  <c r="S1949" i="1"/>
  <c r="R1949" i="1"/>
  <c r="Q1949" i="1"/>
  <c r="T1949" i="1" s="1"/>
  <c r="U1948" i="1"/>
  <c r="T1948" i="1"/>
  <c r="S1948" i="1"/>
  <c r="R1948" i="1"/>
  <c r="Q1948" i="1"/>
  <c r="U1947" i="1"/>
  <c r="R1947" i="1"/>
  <c r="Q1947" i="1"/>
  <c r="S1947" i="1" s="1"/>
  <c r="U1946" i="1"/>
  <c r="T1946" i="1"/>
  <c r="R1946" i="1"/>
  <c r="Q1946" i="1"/>
  <c r="S1946" i="1" s="1"/>
  <c r="U1945" i="1"/>
  <c r="R1945" i="1"/>
  <c r="Q1945" i="1"/>
  <c r="T1945" i="1" s="1"/>
  <c r="U1944" i="1"/>
  <c r="T1944" i="1"/>
  <c r="R1944" i="1"/>
  <c r="Q1944" i="1"/>
  <c r="S1944" i="1" s="1"/>
  <c r="U1943" i="1"/>
  <c r="R1943" i="1"/>
  <c r="Q1943" i="1"/>
  <c r="T1943" i="1" s="1"/>
  <c r="U1942" i="1"/>
  <c r="R1942" i="1"/>
  <c r="Q1942" i="1"/>
  <c r="T1942" i="1" s="1"/>
  <c r="U1941" i="1"/>
  <c r="S1941" i="1"/>
  <c r="R1941" i="1"/>
  <c r="Q1941" i="1"/>
  <c r="T1941" i="1" s="1"/>
  <c r="U1940" i="1"/>
  <c r="T1940" i="1"/>
  <c r="S1940" i="1"/>
  <c r="R1940" i="1"/>
  <c r="Q1940" i="1"/>
  <c r="U1939" i="1"/>
  <c r="R1939" i="1"/>
  <c r="Q1939" i="1"/>
  <c r="S1939" i="1" s="1"/>
  <c r="U1938" i="1"/>
  <c r="R1938" i="1"/>
  <c r="Q1938" i="1"/>
  <c r="T1938" i="1" s="1"/>
  <c r="U1937" i="1"/>
  <c r="T1937" i="1"/>
  <c r="S1937" i="1"/>
  <c r="R1937" i="1"/>
  <c r="Q1937" i="1"/>
  <c r="U1936" i="1"/>
  <c r="T1936" i="1"/>
  <c r="R1936" i="1"/>
  <c r="Q1936" i="1"/>
  <c r="S1936" i="1" s="1"/>
  <c r="U1935" i="1"/>
  <c r="R1935" i="1"/>
  <c r="Q1935" i="1"/>
  <c r="T1935" i="1" s="1"/>
  <c r="U1934" i="1"/>
  <c r="R1934" i="1"/>
  <c r="Q1934" i="1"/>
  <c r="T1934" i="1" s="1"/>
  <c r="U1933" i="1"/>
  <c r="S1933" i="1"/>
  <c r="R1933" i="1"/>
  <c r="Q1933" i="1"/>
  <c r="T1933" i="1" s="1"/>
  <c r="U1932" i="1"/>
  <c r="T1932" i="1"/>
  <c r="S1932" i="1"/>
  <c r="R1932" i="1"/>
  <c r="Q1932" i="1"/>
  <c r="U1931" i="1"/>
  <c r="R1931" i="1"/>
  <c r="Q1931" i="1"/>
  <c r="S1931" i="1" s="1"/>
  <c r="U1930" i="1"/>
  <c r="R1930" i="1"/>
  <c r="Q1930" i="1"/>
  <c r="T1930" i="1" s="1"/>
  <c r="U1929" i="1"/>
  <c r="T1929" i="1"/>
  <c r="S1929" i="1"/>
  <c r="R1929" i="1"/>
  <c r="Q1929" i="1"/>
  <c r="U1928" i="1"/>
  <c r="T1928" i="1"/>
  <c r="R1928" i="1"/>
  <c r="Q1928" i="1"/>
  <c r="S1928" i="1" s="1"/>
  <c r="U1927" i="1"/>
  <c r="R1927" i="1"/>
  <c r="Q1927" i="1"/>
  <c r="T1927" i="1" s="1"/>
  <c r="U1926" i="1"/>
  <c r="R1926" i="1"/>
  <c r="Q1926" i="1"/>
  <c r="T1926" i="1" s="1"/>
  <c r="U1925" i="1"/>
  <c r="S1925" i="1"/>
  <c r="R1925" i="1"/>
  <c r="Q1925" i="1"/>
  <c r="T1925" i="1" s="1"/>
  <c r="U1924" i="1"/>
  <c r="T1924" i="1"/>
  <c r="S1924" i="1"/>
  <c r="R1924" i="1"/>
  <c r="Q1924" i="1"/>
  <c r="U1923" i="1"/>
  <c r="R1923" i="1"/>
  <c r="Q1923" i="1"/>
  <c r="S1923" i="1" s="1"/>
  <c r="U1922" i="1"/>
  <c r="R1922" i="1"/>
  <c r="Q1922" i="1"/>
  <c r="T1922" i="1" s="1"/>
  <c r="U1921" i="1"/>
  <c r="T1921" i="1"/>
  <c r="S1921" i="1"/>
  <c r="R1921" i="1"/>
  <c r="Q1921" i="1"/>
  <c r="U1920" i="1"/>
  <c r="T1920" i="1"/>
  <c r="R1920" i="1"/>
  <c r="Q1920" i="1"/>
  <c r="S1920" i="1" s="1"/>
  <c r="U1919" i="1"/>
  <c r="R1919" i="1"/>
  <c r="Q1919" i="1"/>
  <c r="T1919" i="1" s="1"/>
  <c r="U1918" i="1"/>
  <c r="R1918" i="1"/>
  <c r="Q1918" i="1"/>
  <c r="T1918" i="1" s="1"/>
  <c r="U1917" i="1"/>
  <c r="S1917" i="1"/>
  <c r="R1917" i="1"/>
  <c r="Q1917" i="1"/>
  <c r="T1917" i="1" s="1"/>
  <c r="U1916" i="1"/>
  <c r="T1916" i="1"/>
  <c r="S1916" i="1"/>
  <c r="R1916" i="1"/>
  <c r="Q1916" i="1"/>
  <c r="U1915" i="1"/>
  <c r="R1915" i="1"/>
  <c r="Q1915" i="1"/>
  <c r="S1915" i="1" s="1"/>
  <c r="U1914" i="1"/>
  <c r="R1914" i="1"/>
  <c r="Q1914" i="1"/>
  <c r="T1914" i="1" s="1"/>
  <c r="U1913" i="1"/>
  <c r="T1913" i="1"/>
  <c r="S1913" i="1"/>
  <c r="R1913" i="1"/>
  <c r="Q1913" i="1"/>
  <c r="U1912" i="1"/>
  <c r="T1912" i="1"/>
  <c r="R1912" i="1"/>
  <c r="Q1912" i="1"/>
  <c r="S1912" i="1" s="1"/>
  <c r="U1911" i="1"/>
  <c r="R1911" i="1"/>
  <c r="Q1911" i="1"/>
  <c r="T1911" i="1" s="1"/>
  <c r="U1910" i="1"/>
  <c r="R1910" i="1"/>
  <c r="Q1910" i="1"/>
  <c r="T1910" i="1" s="1"/>
  <c r="U1909" i="1"/>
  <c r="S1909" i="1"/>
  <c r="R1909" i="1"/>
  <c r="Q1909" i="1"/>
  <c r="T1909" i="1" s="1"/>
  <c r="U1908" i="1"/>
  <c r="T1908" i="1"/>
  <c r="S1908" i="1"/>
  <c r="R1908" i="1"/>
  <c r="Q1908" i="1"/>
  <c r="U1907" i="1"/>
  <c r="R1907" i="1"/>
  <c r="Q1907" i="1"/>
  <c r="S1907" i="1" s="1"/>
  <c r="U1906" i="1"/>
  <c r="R1906" i="1"/>
  <c r="Q1906" i="1"/>
  <c r="T1906" i="1" s="1"/>
  <c r="U1905" i="1"/>
  <c r="T1905" i="1"/>
  <c r="S1905" i="1"/>
  <c r="R1905" i="1"/>
  <c r="Q1905" i="1"/>
  <c r="U1904" i="1"/>
  <c r="T1904" i="1"/>
  <c r="R1904" i="1"/>
  <c r="Q1904" i="1"/>
  <c r="S1904" i="1" s="1"/>
  <c r="U1903" i="1"/>
  <c r="R1903" i="1"/>
  <c r="Q1903" i="1"/>
  <c r="T1903" i="1" s="1"/>
  <c r="U1902" i="1"/>
  <c r="R1902" i="1"/>
  <c r="Q1902" i="1"/>
  <c r="T1902" i="1" s="1"/>
  <c r="U1901" i="1"/>
  <c r="S1901" i="1"/>
  <c r="R1901" i="1"/>
  <c r="Q1901" i="1"/>
  <c r="T1901" i="1" s="1"/>
  <c r="U1900" i="1"/>
  <c r="T1900" i="1"/>
  <c r="S1900" i="1"/>
  <c r="R1900" i="1"/>
  <c r="Q1900" i="1"/>
  <c r="U1899" i="1"/>
  <c r="R1899" i="1"/>
  <c r="Q1899" i="1"/>
  <c r="S1899" i="1" s="1"/>
  <c r="U1898" i="1"/>
  <c r="R1898" i="1"/>
  <c r="Q1898" i="1"/>
  <c r="T1898" i="1" s="1"/>
  <c r="U1897" i="1"/>
  <c r="T1897" i="1"/>
  <c r="S1897" i="1"/>
  <c r="R1897" i="1"/>
  <c r="Q1897" i="1"/>
  <c r="U1896" i="1"/>
  <c r="T1896" i="1"/>
  <c r="R1896" i="1"/>
  <c r="Q1896" i="1"/>
  <c r="S1896" i="1" s="1"/>
  <c r="U1895" i="1"/>
  <c r="R1895" i="1"/>
  <c r="Q1895" i="1"/>
  <c r="T1895" i="1" s="1"/>
  <c r="U1894" i="1"/>
  <c r="R1894" i="1"/>
  <c r="Q1894" i="1"/>
  <c r="T1894" i="1" s="1"/>
  <c r="U1893" i="1"/>
  <c r="S1893" i="1"/>
  <c r="R1893" i="1"/>
  <c r="Q1893" i="1"/>
  <c r="T1893" i="1" s="1"/>
  <c r="U1892" i="1"/>
  <c r="T1892" i="1"/>
  <c r="S1892" i="1"/>
  <c r="R1892" i="1"/>
  <c r="Q1892" i="1"/>
  <c r="U1891" i="1"/>
  <c r="R1891" i="1"/>
  <c r="Q1891" i="1"/>
  <c r="S1891" i="1" s="1"/>
  <c r="U1890" i="1"/>
  <c r="R1890" i="1"/>
  <c r="Q1890" i="1"/>
  <c r="T1890" i="1" s="1"/>
  <c r="U1889" i="1"/>
  <c r="T1889" i="1"/>
  <c r="S1889" i="1"/>
  <c r="R1889" i="1"/>
  <c r="Q1889" i="1"/>
  <c r="U1888" i="1"/>
  <c r="T1888" i="1"/>
  <c r="R1888" i="1"/>
  <c r="Q1888" i="1"/>
  <c r="S1888" i="1" s="1"/>
  <c r="U1887" i="1"/>
  <c r="R1887" i="1"/>
  <c r="Q1887" i="1"/>
  <c r="T1887" i="1" s="1"/>
  <c r="U1886" i="1"/>
  <c r="R1886" i="1"/>
  <c r="Q1886" i="1"/>
  <c r="T1886" i="1" s="1"/>
  <c r="U1885" i="1"/>
  <c r="S1885" i="1"/>
  <c r="R1885" i="1"/>
  <c r="Q1885" i="1"/>
  <c r="T1885" i="1" s="1"/>
  <c r="U1884" i="1"/>
  <c r="T1884" i="1"/>
  <c r="S1884" i="1"/>
  <c r="R1884" i="1"/>
  <c r="Q1884" i="1"/>
  <c r="U1883" i="1"/>
  <c r="R1883" i="1"/>
  <c r="Q1883" i="1"/>
  <c r="S1883" i="1" s="1"/>
  <c r="U1882" i="1"/>
  <c r="R1882" i="1"/>
  <c r="Q1882" i="1"/>
  <c r="T1882" i="1" s="1"/>
  <c r="U1881" i="1"/>
  <c r="T1881" i="1"/>
  <c r="S1881" i="1"/>
  <c r="R1881" i="1"/>
  <c r="Q1881" i="1"/>
  <c r="U1880" i="1"/>
  <c r="T1880" i="1"/>
  <c r="R1880" i="1"/>
  <c r="Q1880" i="1"/>
  <c r="S1880" i="1" s="1"/>
  <c r="U1879" i="1"/>
  <c r="R1879" i="1"/>
  <c r="Q1879" i="1"/>
  <c r="T1879" i="1" s="1"/>
  <c r="U1878" i="1"/>
  <c r="R1878" i="1"/>
  <c r="Q1878" i="1"/>
  <c r="T1878" i="1" s="1"/>
  <c r="U1877" i="1"/>
  <c r="S1877" i="1"/>
  <c r="R1877" i="1"/>
  <c r="Q1877" i="1"/>
  <c r="T1877" i="1" s="1"/>
  <c r="U1876" i="1"/>
  <c r="T1876" i="1"/>
  <c r="S1876" i="1"/>
  <c r="R1876" i="1"/>
  <c r="Q1876" i="1"/>
  <c r="U1875" i="1"/>
  <c r="R1875" i="1"/>
  <c r="Q1875" i="1"/>
  <c r="S1875" i="1" s="1"/>
  <c r="U1874" i="1"/>
  <c r="R1874" i="1"/>
  <c r="Q1874" i="1"/>
  <c r="T1874" i="1" s="1"/>
  <c r="U1873" i="1"/>
  <c r="T1873" i="1"/>
  <c r="S1873" i="1"/>
  <c r="R1873" i="1"/>
  <c r="Q1873" i="1"/>
  <c r="U1872" i="1"/>
  <c r="T1872" i="1"/>
  <c r="R1872" i="1"/>
  <c r="Q1872" i="1"/>
  <c r="S1872" i="1" s="1"/>
  <c r="U1871" i="1"/>
  <c r="R1871" i="1"/>
  <c r="Q1871" i="1"/>
  <c r="T1871" i="1" s="1"/>
  <c r="U1870" i="1"/>
  <c r="R1870" i="1"/>
  <c r="Q1870" i="1"/>
  <c r="T1870" i="1" s="1"/>
  <c r="U1869" i="1"/>
  <c r="S1869" i="1"/>
  <c r="R1869" i="1"/>
  <c r="Q1869" i="1"/>
  <c r="T1869" i="1" s="1"/>
  <c r="U1868" i="1"/>
  <c r="T1868" i="1"/>
  <c r="S1868" i="1"/>
  <c r="R1868" i="1"/>
  <c r="Q1868" i="1"/>
  <c r="U1867" i="1"/>
  <c r="R1867" i="1"/>
  <c r="Q1867" i="1"/>
  <c r="S1867" i="1" s="1"/>
  <c r="U1866" i="1"/>
  <c r="R1866" i="1"/>
  <c r="Q1866" i="1"/>
  <c r="T1866" i="1" s="1"/>
  <c r="U1865" i="1"/>
  <c r="T1865" i="1"/>
  <c r="S1865" i="1"/>
  <c r="R1865" i="1"/>
  <c r="Q1865" i="1"/>
  <c r="U1864" i="1"/>
  <c r="T1864" i="1"/>
  <c r="R1864" i="1"/>
  <c r="Q1864" i="1"/>
  <c r="S1864" i="1" s="1"/>
  <c r="U1863" i="1"/>
  <c r="R1863" i="1"/>
  <c r="Q1863" i="1"/>
  <c r="T1863" i="1" s="1"/>
  <c r="U1862" i="1"/>
  <c r="R1862" i="1"/>
  <c r="Q1862" i="1"/>
  <c r="T1862" i="1" s="1"/>
  <c r="U1861" i="1"/>
  <c r="S1861" i="1"/>
  <c r="R1861" i="1"/>
  <c r="Q1861" i="1"/>
  <c r="T1861" i="1" s="1"/>
  <c r="U1860" i="1"/>
  <c r="T1860" i="1"/>
  <c r="S1860" i="1"/>
  <c r="R1860" i="1"/>
  <c r="Q1860" i="1"/>
  <c r="U1859" i="1"/>
  <c r="R1859" i="1"/>
  <c r="Q1859" i="1"/>
  <c r="S1859" i="1" s="1"/>
  <c r="U1858" i="1"/>
  <c r="R1858" i="1"/>
  <c r="Q1858" i="1"/>
  <c r="T1858" i="1" s="1"/>
  <c r="U1857" i="1"/>
  <c r="T1857" i="1"/>
  <c r="S1857" i="1"/>
  <c r="R1857" i="1"/>
  <c r="Q1857" i="1"/>
  <c r="U1856" i="1"/>
  <c r="T1856" i="1"/>
  <c r="R1856" i="1"/>
  <c r="Q1856" i="1"/>
  <c r="S1856" i="1" s="1"/>
  <c r="U1855" i="1"/>
  <c r="R1855" i="1"/>
  <c r="Q1855" i="1"/>
  <c r="T1855" i="1" s="1"/>
  <c r="U1854" i="1"/>
  <c r="R1854" i="1"/>
  <c r="Q1854" i="1"/>
  <c r="T1854" i="1" s="1"/>
  <c r="U1853" i="1"/>
  <c r="T1853" i="1"/>
  <c r="S1853" i="1"/>
  <c r="R1853" i="1"/>
  <c r="Q1853" i="1"/>
  <c r="U1852" i="1"/>
  <c r="T1852" i="1"/>
  <c r="S1852" i="1"/>
  <c r="R1852" i="1"/>
  <c r="Q1852" i="1"/>
  <c r="U1851" i="1"/>
  <c r="R1851" i="1"/>
  <c r="Q1851" i="1"/>
  <c r="S1851" i="1" s="1"/>
  <c r="U1850" i="1"/>
  <c r="R1850" i="1"/>
  <c r="Q1850" i="1"/>
  <c r="T1850" i="1" s="1"/>
  <c r="U1849" i="1"/>
  <c r="T1849" i="1"/>
  <c r="S1849" i="1"/>
  <c r="R1849" i="1"/>
  <c r="Q1849" i="1"/>
  <c r="U1848" i="1"/>
  <c r="T1848" i="1"/>
  <c r="R1848" i="1"/>
  <c r="Q1848" i="1"/>
  <c r="S1848" i="1" s="1"/>
  <c r="U1847" i="1"/>
  <c r="R1847" i="1"/>
  <c r="Q1847" i="1"/>
  <c r="T1847" i="1" s="1"/>
  <c r="U1846" i="1"/>
  <c r="R1846" i="1"/>
  <c r="Q1846" i="1"/>
  <c r="T1846" i="1" s="1"/>
  <c r="U1845" i="1"/>
  <c r="T1845" i="1"/>
  <c r="S1845" i="1"/>
  <c r="R1845" i="1"/>
  <c r="Q1845" i="1"/>
  <c r="U1844" i="1"/>
  <c r="T1844" i="1"/>
  <c r="S1844" i="1"/>
  <c r="R1844" i="1"/>
  <c r="Q1844" i="1"/>
  <c r="U1843" i="1"/>
  <c r="R1843" i="1"/>
  <c r="Q1843" i="1"/>
  <c r="S1843" i="1" s="1"/>
  <c r="U1842" i="1"/>
  <c r="R1842" i="1"/>
  <c r="Q1842" i="1"/>
  <c r="T1842" i="1" s="1"/>
  <c r="U1841" i="1"/>
  <c r="T1841" i="1"/>
  <c r="S1841" i="1"/>
  <c r="R1841" i="1"/>
  <c r="Q1841" i="1"/>
  <c r="U1840" i="1"/>
  <c r="T1840" i="1"/>
  <c r="R1840" i="1"/>
  <c r="Q1840" i="1"/>
  <c r="S1840" i="1" s="1"/>
  <c r="U1839" i="1"/>
  <c r="R1839" i="1"/>
  <c r="Q1839" i="1"/>
  <c r="T1839" i="1" s="1"/>
  <c r="U1838" i="1"/>
  <c r="R1838" i="1"/>
  <c r="Q1838" i="1"/>
  <c r="T1838" i="1" s="1"/>
  <c r="U1837" i="1"/>
  <c r="T1837" i="1"/>
  <c r="S1837" i="1"/>
  <c r="R1837" i="1"/>
  <c r="Q1837" i="1"/>
  <c r="U1836" i="1"/>
  <c r="T1836" i="1"/>
  <c r="S1836" i="1"/>
  <c r="R1836" i="1"/>
  <c r="Q1836" i="1"/>
  <c r="U1835" i="1"/>
  <c r="R1835" i="1"/>
  <c r="Q1835" i="1"/>
  <c r="S1835" i="1" s="1"/>
  <c r="U1834" i="1"/>
  <c r="R1834" i="1"/>
  <c r="Q1834" i="1"/>
  <c r="T1834" i="1" s="1"/>
  <c r="U1833" i="1"/>
  <c r="R1833" i="1"/>
  <c r="Q1833" i="1"/>
  <c r="T1833" i="1" s="1"/>
  <c r="U1832" i="1"/>
  <c r="T1832" i="1"/>
  <c r="R1832" i="1"/>
  <c r="Q1832" i="1"/>
  <c r="S1832" i="1" s="1"/>
  <c r="U1831" i="1"/>
  <c r="R1831" i="1"/>
  <c r="Q1831" i="1"/>
  <c r="T1831" i="1" s="1"/>
  <c r="U1830" i="1"/>
  <c r="R1830" i="1"/>
  <c r="Q1830" i="1"/>
  <c r="T1830" i="1" s="1"/>
  <c r="U1829" i="1"/>
  <c r="S1829" i="1"/>
  <c r="R1829" i="1"/>
  <c r="Q1829" i="1"/>
  <c r="T1829" i="1" s="1"/>
  <c r="U1828" i="1"/>
  <c r="T1828" i="1"/>
  <c r="S1828" i="1"/>
  <c r="R1828" i="1"/>
  <c r="Q1828" i="1"/>
  <c r="U1827" i="1"/>
  <c r="R1827" i="1"/>
  <c r="Q1827" i="1"/>
  <c r="S1827" i="1" s="1"/>
  <c r="U1826" i="1"/>
  <c r="R1826" i="1"/>
  <c r="Q1826" i="1"/>
  <c r="T1826" i="1" s="1"/>
  <c r="U1825" i="1"/>
  <c r="R1825" i="1"/>
  <c r="Q1825" i="1"/>
  <c r="T1825" i="1" s="1"/>
  <c r="U1824" i="1"/>
  <c r="T1824" i="1"/>
  <c r="R1824" i="1"/>
  <c r="Q1824" i="1"/>
  <c r="S1824" i="1" s="1"/>
  <c r="U1823" i="1"/>
  <c r="R1823" i="1"/>
  <c r="Q1823" i="1"/>
  <c r="T1823" i="1" s="1"/>
  <c r="U1822" i="1"/>
  <c r="R1822" i="1"/>
  <c r="Q1822" i="1"/>
  <c r="T1822" i="1" s="1"/>
  <c r="U1821" i="1"/>
  <c r="S1821" i="1"/>
  <c r="R1821" i="1"/>
  <c r="Q1821" i="1"/>
  <c r="T1821" i="1" s="1"/>
  <c r="U1820" i="1"/>
  <c r="T1820" i="1"/>
  <c r="S1820" i="1"/>
  <c r="R1820" i="1"/>
  <c r="Q1820" i="1"/>
  <c r="U1819" i="1"/>
  <c r="T1819" i="1"/>
  <c r="R1819" i="1"/>
  <c r="Q1819" i="1"/>
  <c r="S1819" i="1" s="1"/>
  <c r="U1818" i="1"/>
  <c r="R1818" i="1"/>
  <c r="Q1818" i="1"/>
  <c r="T1818" i="1" s="1"/>
  <c r="U1817" i="1"/>
  <c r="R1817" i="1"/>
  <c r="Q1817" i="1"/>
  <c r="T1817" i="1" s="1"/>
  <c r="U1816" i="1"/>
  <c r="T1816" i="1"/>
  <c r="S1816" i="1"/>
  <c r="R1816" i="1"/>
  <c r="Q1816" i="1"/>
  <c r="U1815" i="1"/>
  <c r="R1815" i="1"/>
  <c r="Q1815" i="1"/>
  <c r="T1815" i="1" s="1"/>
  <c r="U1814" i="1"/>
  <c r="R1814" i="1"/>
  <c r="Q1814" i="1"/>
  <c r="T1814" i="1" s="1"/>
  <c r="U1813" i="1"/>
  <c r="S1813" i="1"/>
  <c r="R1813" i="1"/>
  <c r="Q1813" i="1"/>
  <c r="T1813" i="1" s="1"/>
  <c r="U1812" i="1"/>
  <c r="T1812" i="1"/>
  <c r="S1812" i="1"/>
  <c r="R1812" i="1"/>
  <c r="Q1812" i="1"/>
  <c r="U1811" i="1"/>
  <c r="T1811" i="1"/>
  <c r="R1811" i="1"/>
  <c r="Q1811" i="1"/>
  <c r="S1811" i="1" s="1"/>
  <c r="U1810" i="1"/>
  <c r="R1810" i="1"/>
  <c r="Q1810" i="1"/>
  <c r="T1810" i="1" s="1"/>
  <c r="U1809" i="1"/>
  <c r="R1809" i="1"/>
  <c r="Q1809" i="1"/>
  <c r="T1809" i="1" s="1"/>
  <c r="U1808" i="1"/>
  <c r="T1808" i="1"/>
  <c r="S1808" i="1"/>
  <c r="R1808" i="1"/>
  <c r="Q1808" i="1"/>
  <c r="U1807" i="1"/>
  <c r="R1807" i="1"/>
  <c r="Q1807" i="1"/>
  <c r="T1807" i="1" s="1"/>
  <c r="U1806" i="1"/>
  <c r="R1806" i="1"/>
  <c r="Q1806" i="1"/>
  <c r="T1806" i="1" s="1"/>
  <c r="U1805" i="1"/>
  <c r="T1805" i="1"/>
  <c r="S1805" i="1"/>
  <c r="R1805" i="1"/>
  <c r="Q1805" i="1"/>
  <c r="U1804" i="1"/>
  <c r="T1804" i="1"/>
  <c r="S1804" i="1"/>
  <c r="R1804" i="1"/>
  <c r="Q1804" i="1"/>
  <c r="U1803" i="1"/>
  <c r="T1803" i="1"/>
  <c r="R1803" i="1"/>
  <c r="Q1803" i="1"/>
  <c r="S1803" i="1" s="1"/>
  <c r="U1802" i="1"/>
  <c r="R1802" i="1"/>
  <c r="Q1802" i="1"/>
  <c r="T1802" i="1" s="1"/>
  <c r="U1801" i="1"/>
  <c r="R1801" i="1"/>
  <c r="Q1801" i="1"/>
  <c r="T1801" i="1" s="1"/>
  <c r="U1800" i="1"/>
  <c r="T1800" i="1"/>
  <c r="S1800" i="1"/>
  <c r="R1800" i="1"/>
  <c r="Q1800" i="1"/>
  <c r="U1799" i="1"/>
  <c r="R1799" i="1"/>
  <c r="Q1799" i="1"/>
  <c r="T1799" i="1" s="1"/>
  <c r="U1798" i="1"/>
  <c r="R1798" i="1"/>
  <c r="Q1798" i="1"/>
  <c r="T1798" i="1" s="1"/>
  <c r="U1797" i="1"/>
  <c r="S1797" i="1"/>
  <c r="R1797" i="1"/>
  <c r="Q1797" i="1"/>
  <c r="T1797" i="1" s="1"/>
  <c r="U1796" i="1"/>
  <c r="T1796" i="1"/>
  <c r="S1796" i="1"/>
  <c r="R1796" i="1"/>
  <c r="Q1796" i="1"/>
  <c r="U1795" i="1"/>
  <c r="T1795" i="1"/>
  <c r="R1795" i="1"/>
  <c r="Q1795" i="1"/>
  <c r="S1795" i="1" s="1"/>
  <c r="U1794" i="1"/>
  <c r="R1794" i="1"/>
  <c r="Q1794" i="1"/>
  <c r="T1794" i="1" s="1"/>
  <c r="U1793" i="1"/>
  <c r="S1793" i="1"/>
  <c r="R1793" i="1"/>
  <c r="Q1793" i="1"/>
  <c r="T1793" i="1" s="1"/>
  <c r="U1792" i="1"/>
  <c r="T1792" i="1"/>
  <c r="S1792" i="1"/>
  <c r="R1792" i="1"/>
  <c r="Q1792" i="1"/>
  <c r="U1791" i="1"/>
  <c r="R1791" i="1"/>
  <c r="Q1791" i="1"/>
  <c r="T1791" i="1" s="1"/>
  <c r="U1790" i="1"/>
  <c r="R1790" i="1"/>
  <c r="Q1790" i="1"/>
  <c r="T1790" i="1" s="1"/>
  <c r="U1789" i="1"/>
  <c r="S1789" i="1"/>
  <c r="R1789" i="1"/>
  <c r="Q1789" i="1"/>
  <c r="T1789" i="1" s="1"/>
  <c r="U1788" i="1"/>
  <c r="T1788" i="1"/>
  <c r="S1788" i="1"/>
  <c r="R1788" i="1"/>
  <c r="Q1788" i="1"/>
  <c r="U1787" i="1"/>
  <c r="T1787" i="1"/>
  <c r="R1787" i="1"/>
  <c r="Q1787" i="1"/>
  <c r="S1787" i="1" s="1"/>
  <c r="U1786" i="1"/>
  <c r="R1786" i="1"/>
  <c r="Q1786" i="1"/>
  <c r="T1786" i="1" s="1"/>
  <c r="U1785" i="1"/>
  <c r="S1785" i="1"/>
  <c r="R1785" i="1"/>
  <c r="Q1785" i="1"/>
  <c r="T1785" i="1" s="1"/>
  <c r="U1784" i="1"/>
  <c r="T1784" i="1"/>
  <c r="S1784" i="1"/>
  <c r="R1784" i="1"/>
  <c r="Q1784" i="1"/>
  <c r="U1783" i="1"/>
  <c r="R1783" i="1"/>
  <c r="Q1783" i="1"/>
  <c r="T1783" i="1" s="1"/>
  <c r="U1782" i="1"/>
  <c r="R1782" i="1"/>
  <c r="Q1782" i="1"/>
  <c r="T1782" i="1" s="1"/>
  <c r="U1781" i="1"/>
  <c r="S1781" i="1"/>
  <c r="R1781" i="1"/>
  <c r="Q1781" i="1"/>
  <c r="T1781" i="1" s="1"/>
  <c r="U1780" i="1"/>
  <c r="T1780" i="1"/>
  <c r="S1780" i="1"/>
  <c r="R1780" i="1"/>
  <c r="Q1780" i="1"/>
  <c r="U1779" i="1"/>
  <c r="T1779" i="1"/>
  <c r="R1779" i="1"/>
  <c r="Q1779" i="1"/>
  <c r="S1779" i="1" s="1"/>
  <c r="U1778" i="1"/>
  <c r="R1778" i="1"/>
  <c r="Q1778" i="1"/>
  <c r="T1778" i="1" s="1"/>
  <c r="U1777" i="1"/>
  <c r="S1777" i="1"/>
  <c r="R1777" i="1"/>
  <c r="Q1777" i="1"/>
  <c r="T1777" i="1" s="1"/>
  <c r="U1776" i="1"/>
  <c r="T1776" i="1"/>
  <c r="S1776" i="1"/>
  <c r="R1776" i="1"/>
  <c r="Q1776" i="1"/>
  <c r="U1775" i="1"/>
  <c r="R1775" i="1"/>
  <c r="Q1775" i="1"/>
  <c r="T1775" i="1" s="1"/>
  <c r="U1774" i="1"/>
  <c r="R1774" i="1"/>
  <c r="Q1774" i="1"/>
  <c r="T1774" i="1" s="1"/>
  <c r="U1773" i="1"/>
  <c r="S1773" i="1"/>
  <c r="R1773" i="1"/>
  <c r="Q1773" i="1"/>
  <c r="T1773" i="1" s="1"/>
  <c r="U1772" i="1"/>
  <c r="T1772" i="1"/>
  <c r="S1772" i="1"/>
  <c r="R1772" i="1"/>
  <c r="Q1772" i="1"/>
  <c r="U1771" i="1"/>
  <c r="T1771" i="1"/>
  <c r="R1771" i="1"/>
  <c r="Q1771" i="1"/>
  <c r="S1771" i="1" s="1"/>
  <c r="U1770" i="1"/>
  <c r="R1770" i="1"/>
  <c r="Q1770" i="1"/>
  <c r="T1770" i="1" s="1"/>
  <c r="U1769" i="1"/>
  <c r="S1769" i="1"/>
  <c r="R1769" i="1"/>
  <c r="Q1769" i="1"/>
  <c r="T1769" i="1" s="1"/>
  <c r="U1768" i="1"/>
  <c r="T1768" i="1"/>
  <c r="S1768" i="1"/>
  <c r="R1768" i="1"/>
  <c r="Q1768" i="1"/>
  <c r="U1767" i="1"/>
  <c r="R1767" i="1"/>
  <c r="Q1767" i="1"/>
  <c r="T1767" i="1" s="1"/>
  <c r="U1766" i="1"/>
  <c r="R1766" i="1"/>
  <c r="Q1766" i="1"/>
  <c r="T1766" i="1" s="1"/>
  <c r="U1765" i="1"/>
  <c r="S1765" i="1"/>
  <c r="R1765" i="1"/>
  <c r="Q1765" i="1"/>
  <c r="T1765" i="1" s="1"/>
  <c r="U1764" i="1"/>
  <c r="T1764" i="1"/>
  <c r="S1764" i="1"/>
  <c r="R1764" i="1"/>
  <c r="Q1764" i="1"/>
  <c r="U1763" i="1"/>
  <c r="T1763" i="1"/>
  <c r="R1763" i="1"/>
  <c r="Q1763" i="1"/>
  <c r="S1763" i="1" s="1"/>
  <c r="U1762" i="1"/>
  <c r="R1762" i="1"/>
  <c r="Q1762" i="1"/>
  <c r="T1762" i="1" s="1"/>
  <c r="U1761" i="1"/>
  <c r="S1761" i="1"/>
  <c r="R1761" i="1"/>
  <c r="Q1761" i="1"/>
  <c r="T1761" i="1" s="1"/>
  <c r="U1760" i="1"/>
  <c r="T1760" i="1"/>
  <c r="S1760" i="1"/>
  <c r="R1760" i="1"/>
  <c r="Q1760" i="1"/>
  <c r="U1759" i="1"/>
  <c r="R1759" i="1"/>
  <c r="Q1759" i="1"/>
  <c r="T1759" i="1" s="1"/>
  <c r="U1758" i="1"/>
  <c r="R1758" i="1"/>
  <c r="Q1758" i="1"/>
  <c r="T1758" i="1" s="1"/>
  <c r="U1757" i="1"/>
  <c r="S1757" i="1"/>
  <c r="R1757" i="1"/>
  <c r="Q1757" i="1"/>
  <c r="T1757" i="1" s="1"/>
  <c r="U1756" i="1"/>
  <c r="T1756" i="1"/>
  <c r="S1756" i="1"/>
  <c r="R1756" i="1"/>
  <c r="Q1756" i="1"/>
  <c r="U1755" i="1"/>
  <c r="T1755" i="1"/>
  <c r="R1755" i="1"/>
  <c r="Q1755" i="1"/>
  <c r="S1755" i="1" s="1"/>
  <c r="U1754" i="1"/>
  <c r="R1754" i="1"/>
  <c r="Q1754" i="1"/>
  <c r="T1754" i="1" s="1"/>
  <c r="U1753" i="1"/>
  <c r="S1753" i="1"/>
  <c r="R1753" i="1"/>
  <c r="Q1753" i="1"/>
  <c r="T1753" i="1" s="1"/>
  <c r="U1752" i="1"/>
  <c r="T1752" i="1"/>
  <c r="S1752" i="1"/>
  <c r="R1752" i="1"/>
  <c r="Q1752" i="1"/>
  <c r="U1751" i="1"/>
  <c r="R1751" i="1"/>
  <c r="Q1751" i="1"/>
  <c r="T1751" i="1" s="1"/>
  <c r="U1750" i="1"/>
  <c r="R1750" i="1"/>
  <c r="Q1750" i="1"/>
  <c r="T1750" i="1" s="1"/>
  <c r="U1749" i="1"/>
  <c r="T1749" i="1"/>
  <c r="S1749" i="1"/>
  <c r="R1749" i="1"/>
  <c r="Q1749" i="1"/>
  <c r="U1748" i="1"/>
  <c r="T1748" i="1"/>
  <c r="S1748" i="1"/>
  <c r="R1748" i="1"/>
  <c r="Q1748" i="1"/>
  <c r="U1747" i="1"/>
  <c r="T1747" i="1"/>
  <c r="R1747" i="1"/>
  <c r="Q1747" i="1"/>
  <c r="S1747" i="1" s="1"/>
  <c r="U1746" i="1"/>
  <c r="R1746" i="1"/>
  <c r="Q1746" i="1"/>
  <c r="T1746" i="1" s="1"/>
  <c r="U1745" i="1"/>
  <c r="S1745" i="1"/>
  <c r="R1745" i="1"/>
  <c r="Q1745" i="1"/>
  <c r="T1745" i="1" s="1"/>
  <c r="U1744" i="1"/>
  <c r="T1744" i="1"/>
  <c r="S1744" i="1"/>
  <c r="R1744" i="1"/>
  <c r="Q1744" i="1"/>
  <c r="U1743" i="1"/>
  <c r="R1743" i="1"/>
  <c r="Q1743" i="1"/>
  <c r="U1742" i="1"/>
  <c r="R1742" i="1"/>
  <c r="Q1742" i="1"/>
  <c r="T1742" i="1" s="1"/>
  <c r="U1741" i="1"/>
  <c r="T1741" i="1"/>
  <c r="S1741" i="1"/>
  <c r="R1741" i="1"/>
  <c r="Q1741" i="1"/>
  <c r="U1740" i="1"/>
  <c r="T1740" i="1"/>
  <c r="S1740" i="1"/>
  <c r="R1740" i="1"/>
  <c r="Q1740" i="1"/>
  <c r="U1739" i="1"/>
  <c r="T1739" i="1"/>
  <c r="R1739" i="1"/>
  <c r="Q1739" i="1"/>
  <c r="S1739" i="1" s="1"/>
  <c r="U1738" i="1"/>
  <c r="R1738" i="1"/>
  <c r="Q1738" i="1"/>
  <c r="T1738" i="1" s="1"/>
  <c r="U1737" i="1"/>
  <c r="S1737" i="1"/>
  <c r="R1737" i="1"/>
  <c r="Q1737" i="1"/>
  <c r="T1737" i="1" s="1"/>
  <c r="U1736" i="1"/>
  <c r="T1736" i="1"/>
  <c r="S1736" i="1"/>
  <c r="R1736" i="1"/>
  <c r="Q1736" i="1"/>
  <c r="U1735" i="1"/>
  <c r="R1735" i="1"/>
  <c r="Q1735" i="1"/>
  <c r="U1734" i="1"/>
  <c r="R1734" i="1"/>
  <c r="Q1734" i="1"/>
  <c r="T1734" i="1" s="1"/>
  <c r="U1733" i="1"/>
  <c r="T1733" i="1"/>
  <c r="S1733" i="1"/>
  <c r="R1733" i="1"/>
  <c r="Q1733" i="1"/>
  <c r="U1732" i="1"/>
  <c r="T1732" i="1"/>
  <c r="S1732" i="1"/>
  <c r="R1732" i="1"/>
  <c r="Q1732" i="1"/>
  <c r="U1731" i="1"/>
  <c r="T1731" i="1"/>
  <c r="R1731" i="1"/>
  <c r="Q1731" i="1"/>
  <c r="S1731" i="1" s="1"/>
  <c r="U1730" i="1"/>
  <c r="R1730" i="1"/>
  <c r="Q1730" i="1"/>
  <c r="T1730" i="1" s="1"/>
  <c r="U1729" i="1"/>
  <c r="R1729" i="1"/>
  <c r="Q1729" i="1"/>
  <c r="T1729" i="1" s="1"/>
  <c r="U1728" i="1"/>
  <c r="T1728" i="1"/>
  <c r="S1728" i="1"/>
  <c r="R1728" i="1"/>
  <c r="Q1728" i="1"/>
  <c r="U1727" i="1"/>
  <c r="R1727" i="1"/>
  <c r="Q1727" i="1"/>
  <c r="U1726" i="1"/>
  <c r="R1726" i="1"/>
  <c r="Q1726" i="1"/>
  <c r="T1726" i="1" s="1"/>
  <c r="U1725" i="1"/>
  <c r="S1725" i="1"/>
  <c r="R1725" i="1"/>
  <c r="Q1725" i="1"/>
  <c r="T1725" i="1" s="1"/>
  <c r="U1724" i="1"/>
  <c r="T1724" i="1"/>
  <c r="S1724" i="1"/>
  <c r="R1724" i="1"/>
  <c r="Q1724" i="1"/>
  <c r="U1723" i="1"/>
  <c r="T1723" i="1"/>
  <c r="R1723" i="1"/>
  <c r="Q1723" i="1"/>
  <c r="S1723" i="1" s="1"/>
  <c r="U1722" i="1"/>
  <c r="R1722" i="1"/>
  <c r="Q1722" i="1"/>
  <c r="T1722" i="1" s="1"/>
  <c r="U1721" i="1"/>
  <c r="R1721" i="1"/>
  <c r="Q1721" i="1"/>
  <c r="T1721" i="1" s="1"/>
  <c r="U1720" i="1"/>
  <c r="T1720" i="1"/>
  <c r="S1720" i="1"/>
  <c r="R1720" i="1"/>
  <c r="Q1720" i="1"/>
  <c r="U1719" i="1"/>
  <c r="R1719" i="1"/>
  <c r="Q1719" i="1"/>
  <c r="U1718" i="1"/>
  <c r="R1718" i="1"/>
  <c r="Q1718" i="1"/>
  <c r="T1718" i="1" s="1"/>
  <c r="U1717" i="1"/>
  <c r="S1717" i="1"/>
  <c r="R1717" i="1"/>
  <c r="Q1717" i="1"/>
  <c r="T1717" i="1" s="1"/>
  <c r="U1716" i="1"/>
  <c r="T1716" i="1"/>
  <c r="S1716" i="1"/>
  <c r="R1716" i="1"/>
  <c r="Q1716" i="1"/>
  <c r="U1715" i="1"/>
  <c r="T1715" i="1"/>
  <c r="R1715" i="1"/>
  <c r="Q1715" i="1"/>
  <c r="S1715" i="1" s="1"/>
  <c r="U1714" i="1"/>
  <c r="R1714" i="1"/>
  <c r="Q1714" i="1"/>
  <c r="T1714" i="1" s="1"/>
  <c r="U1713" i="1"/>
  <c r="S1713" i="1"/>
  <c r="R1713" i="1"/>
  <c r="Q1713" i="1"/>
  <c r="T1713" i="1" s="1"/>
  <c r="U1712" i="1"/>
  <c r="T1712" i="1"/>
  <c r="S1712" i="1"/>
  <c r="R1712" i="1"/>
  <c r="Q1712" i="1"/>
  <c r="U1711" i="1"/>
  <c r="R1711" i="1"/>
  <c r="Q1711" i="1"/>
  <c r="U1710" i="1"/>
  <c r="R1710" i="1"/>
  <c r="Q1710" i="1"/>
  <c r="T1710" i="1" s="1"/>
  <c r="U1709" i="1"/>
  <c r="S1709" i="1"/>
  <c r="R1709" i="1"/>
  <c r="Q1709" i="1"/>
  <c r="T1709" i="1" s="1"/>
  <c r="U1708" i="1"/>
  <c r="T1708" i="1"/>
  <c r="S1708" i="1"/>
  <c r="R1708" i="1"/>
  <c r="Q1708" i="1"/>
  <c r="U1707" i="1"/>
  <c r="T1707" i="1"/>
  <c r="R1707" i="1"/>
  <c r="Q1707" i="1"/>
  <c r="S1707" i="1" s="1"/>
  <c r="U1706" i="1"/>
  <c r="R1706" i="1"/>
  <c r="Q1706" i="1"/>
  <c r="T1706" i="1" s="1"/>
  <c r="U1705" i="1"/>
  <c r="S1705" i="1"/>
  <c r="R1705" i="1"/>
  <c r="Q1705" i="1"/>
  <c r="T1705" i="1" s="1"/>
  <c r="U1704" i="1"/>
  <c r="T1704" i="1"/>
  <c r="S1704" i="1"/>
  <c r="R1704" i="1"/>
  <c r="Q1704" i="1"/>
  <c r="U1703" i="1"/>
  <c r="R1703" i="1"/>
  <c r="Q1703" i="1"/>
  <c r="S1703" i="1" s="1"/>
  <c r="U1702" i="1"/>
  <c r="R1702" i="1"/>
  <c r="Q1702" i="1"/>
  <c r="U1701" i="1"/>
  <c r="S1701" i="1"/>
  <c r="R1701" i="1"/>
  <c r="Q1701" i="1"/>
  <c r="T1701" i="1" s="1"/>
  <c r="U1700" i="1"/>
  <c r="T1700" i="1"/>
  <c r="S1700" i="1"/>
  <c r="R1700" i="1"/>
  <c r="Q1700" i="1"/>
  <c r="U1699" i="1"/>
  <c r="T1699" i="1"/>
  <c r="R1699" i="1"/>
  <c r="Q1699" i="1"/>
  <c r="S1699" i="1" s="1"/>
  <c r="U1698" i="1"/>
  <c r="R1698" i="1"/>
  <c r="Q1698" i="1"/>
  <c r="T1698" i="1" s="1"/>
  <c r="U1697" i="1"/>
  <c r="R1697" i="1"/>
  <c r="Q1697" i="1"/>
  <c r="T1697" i="1" s="1"/>
  <c r="U1696" i="1"/>
  <c r="T1696" i="1"/>
  <c r="S1696" i="1"/>
  <c r="R1696" i="1"/>
  <c r="Q1696" i="1"/>
  <c r="U1695" i="1"/>
  <c r="T1695" i="1"/>
  <c r="R1695" i="1"/>
  <c r="Q1695" i="1"/>
  <c r="S1695" i="1" s="1"/>
  <c r="U1694" i="1"/>
  <c r="R1694" i="1"/>
  <c r="Q1694" i="1"/>
  <c r="U1693" i="1"/>
  <c r="S1693" i="1"/>
  <c r="R1693" i="1"/>
  <c r="Q1693" i="1"/>
  <c r="T1693" i="1" s="1"/>
  <c r="U1692" i="1"/>
  <c r="T1692" i="1"/>
  <c r="S1692" i="1"/>
  <c r="R1692" i="1"/>
  <c r="Q1692" i="1"/>
  <c r="U1691" i="1"/>
  <c r="T1691" i="1"/>
  <c r="R1691" i="1"/>
  <c r="Q1691" i="1"/>
  <c r="S1691" i="1" s="1"/>
  <c r="U1690" i="1"/>
  <c r="R1690" i="1"/>
  <c r="Q1690" i="1"/>
  <c r="T1690" i="1" s="1"/>
  <c r="U1689" i="1"/>
  <c r="R1689" i="1"/>
  <c r="Q1689" i="1"/>
  <c r="T1689" i="1" s="1"/>
  <c r="U1688" i="1"/>
  <c r="T1688" i="1"/>
  <c r="S1688" i="1"/>
  <c r="R1688" i="1"/>
  <c r="Q1688" i="1"/>
  <c r="U1687" i="1"/>
  <c r="T1687" i="1"/>
  <c r="R1687" i="1"/>
  <c r="Q1687" i="1"/>
  <c r="S1687" i="1" s="1"/>
  <c r="U1686" i="1"/>
  <c r="R1686" i="1"/>
  <c r="Q1686" i="1"/>
  <c r="U1685" i="1"/>
  <c r="S1685" i="1"/>
  <c r="R1685" i="1"/>
  <c r="Q1685" i="1"/>
  <c r="T1685" i="1" s="1"/>
  <c r="U1684" i="1"/>
  <c r="T1684" i="1"/>
  <c r="S1684" i="1"/>
  <c r="R1684" i="1"/>
  <c r="Q1684" i="1"/>
  <c r="U1683" i="1"/>
  <c r="T1683" i="1"/>
  <c r="R1683" i="1"/>
  <c r="Q1683" i="1"/>
  <c r="S1683" i="1" s="1"/>
  <c r="U1682" i="1"/>
  <c r="R1682" i="1"/>
  <c r="Q1682" i="1"/>
  <c r="T1682" i="1" s="1"/>
  <c r="U1681" i="1"/>
  <c r="R1681" i="1"/>
  <c r="Q1681" i="1"/>
  <c r="T1681" i="1" s="1"/>
  <c r="U1680" i="1"/>
  <c r="T1680" i="1"/>
  <c r="S1680" i="1"/>
  <c r="R1680" i="1"/>
  <c r="Q1680" i="1"/>
  <c r="U1679" i="1"/>
  <c r="R1679" i="1"/>
  <c r="Q1679" i="1"/>
  <c r="S1679" i="1" s="1"/>
  <c r="U1678" i="1"/>
  <c r="R1678" i="1"/>
  <c r="Q1678" i="1"/>
  <c r="U1677" i="1"/>
  <c r="S1677" i="1"/>
  <c r="R1677" i="1"/>
  <c r="Q1677" i="1"/>
  <c r="T1677" i="1" s="1"/>
  <c r="U1676" i="1"/>
  <c r="T1676" i="1"/>
  <c r="S1676" i="1"/>
  <c r="R1676" i="1"/>
  <c r="Q1676" i="1"/>
  <c r="U1675" i="1"/>
  <c r="T1675" i="1"/>
  <c r="R1675" i="1"/>
  <c r="Q1675" i="1"/>
  <c r="S1675" i="1" s="1"/>
  <c r="U1674" i="1"/>
  <c r="R1674" i="1"/>
  <c r="Q1674" i="1"/>
  <c r="T1674" i="1" s="1"/>
  <c r="U1673" i="1"/>
  <c r="R1673" i="1"/>
  <c r="Q1673" i="1"/>
  <c r="T1673" i="1" s="1"/>
  <c r="U1672" i="1"/>
  <c r="T1672" i="1"/>
  <c r="S1672" i="1"/>
  <c r="R1672" i="1"/>
  <c r="Q1672" i="1"/>
  <c r="U1671" i="1"/>
  <c r="R1671" i="1"/>
  <c r="Q1671" i="1"/>
  <c r="U1670" i="1"/>
  <c r="R1670" i="1"/>
  <c r="Q1670" i="1"/>
  <c r="U1669" i="1"/>
  <c r="S1669" i="1"/>
  <c r="R1669" i="1"/>
  <c r="Q1669" i="1"/>
  <c r="T1669" i="1" s="1"/>
  <c r="U1668" i="1"/>
  <c r="T1668" i="1"/>
  <c r="S1668" i="1"/>
  <c r="R1668" i="1"/>
  <c r="Q1668" i="1"/>
  <c r="U1667" i="1"/>
  <c r="T1667" i="1"/>
  <c r="R1667" i="1"/>
  <c r="Q1667" i="1"/>
  <c r="S1667" i="1" s="1"/>
  <c r="U1666" i="1"/>
  <c r="R1666" i="1"/>
  <c r="Q1666" i="1"/>
  <c r="T1666" i="1" s="1"/>
  <c r="U1665" i="1"/>
  <c r="R1665" i="1"/>
  <c r="Q1665" i="1"/>
  <c r="T1665" i="1" s="1"/>
  <c r="U1664" i="1"/>
  <c r="T1664" i="1"/>
  <c r="S1664" i="1"/>
  <c r="R1664" i="1"/>
  <c r="Q1664" i="1"/>
  <c r="U1663" i="1"/>
  <c r="T1663" i="1"/>
  <c r="R1663" i="1"/>
  <c r="Q1663" i="1"/>
  <c r="S1663" i="1" s="1"/>
  <c r="U1662" i="1"/>
  <c r="R1662" i="1"/>
  <c r="Q1662" i="1"/>
  <c r="U1661" i="1"/>
  <c r="S1661" i="1"/>
  <c r="R1661" i="1"/>
  <c r="Q1661" i="1"/>
  <c r="T1661" i="1" s="1"/>
  <c r="U1660" i="1"/>
  <c r="T1660" i="1"/>
  <c r="S1660" i="1"/>
  <c r="R1660" i="1"/>
  <c r="Q1660" i="1"/>
  <c r="U1659" i="1"/>
  <c r="T1659" i="1"/>
  <c r="R1659" i="1"/>
  <c r="Q1659" i="1"/>
  <c r="S1659" i="1" s="1"/>
  <c r="U1658" i="1"/>
  <c r="R1658" i="1"/>
  <c r="Q1658" i="1"/>
  <c r="T1658" i="1" s="1"/>
  <c r="U1657" i="1"/>
  <c r="R1657" i="1"/>
  <c r="Q1657" i="1"/>
  <c r="T1657" i="1" s="1"/>
  <c r="U1656" i="1"/>
  <c r="T1656" i="1"/>
  <c r="S1656" i="1"/>
  <c r="R1656" i="1"/>
  <c r="Q1656" i="1"/>
  <c r="U1655" i="1"/>
  <c r="T1655" i="1"/>
  <c r="R1655" i="1"/>
  <c r="Q1655" i="1"/>
  <c r="S1655" i="1" s="1"/>
  <c r="U1654" i="1"/>
  <c r="R1654" i="1"/>
  <c r="Q1654" i="1"/>
  <c r="U1653" i="1"/>
  <c r="S1653" i="1"/>
  <c r="R1653" i="1"/>
  <c r="Q1653" i="1"/>
  <c r="T1653" i="1" s="1"/>
  <c r="U1652" i="1"/>
  <c r="T1652" i="1"/>
  <c r="S1652" i="1"/>
  <c r="R1652" i="1"/>
  <c r="Q1652" i="1"/>
  <c r="U1651" i="1"/>
  <c r="T1651" i="1"/>
  <c r="R1651" i="1"/>
  <c r="Q1651" i="1"/>
  <c r="S1651" i="1" s="1"/>
  <c r="U1650" i="1"/>
  <c r="R1650" i="1"/>
  <c r="Q1650" i="1"/>
  <c r="U1649" i="1"/>
  <c r="R1649" i="1"/>
  <c r="Q1649" i="1"/>
  <c r="T1649" i="1" s="1"/>
  <c r="U1648" i="1"/>
  <c r="T1648" i="1"/>
  <c r="S1648" i="1"/>
  <c r="R1648" i="1"/>
  <c r="Q1648" i="1"/>
  <c r="U1647" i="1"/>
  <c r="T1647" i="1"/>
  <c r="R1647" i="1"/>
  <c r="Q1647" i="1"/>
  <c r="S1647" i="1" s="1"/>
  <c r="U1646" i="1"/>
  <c r="R1646" i="1"/>
  <c r="Q1646" i="1"/>
  <c r="U1645" i="1"/>
  <c r="R1645" i="1"/>
  <c r="Q1645" i="1"/>
  <c r="T1645" i="1" s="1"/>
  <c r="U1644" i="1"/>
  <c r="T1644" i="1"/>
  <c r="R1644" i="1"/>
  <c r="Q1644" i="1"/>
  <c r="S1644" i="1" s="1"/>
  <c r="U1643" i="1"/>
  <c r="S1643" i="1"/>
  <c r="R1643" i="1"/>
  <c r="Q1643" i="1"/>
  <c r="T1643" i="1" s="1"/>
  <c r="U1642" i="1"/>
  <c r="T1642" i="1"/>
  <c r="S1642" i="1"/>
  <c r="R1642" i="1"/>
  <c r="Q1642" i="1"/>
  <c r="U1641" i="1"/>
  <c r="R1641" i="1"/>
  <c r="Q1641" i="1"/>
  <c r="U1640" i="1"/>
  <c r="T1640" i="1"/>
  <c r="R1640" i="1"/>
  <c r="Q1640" i="1"/>
  <c r="S1640" i="1" s="1"/>
  <c r="U1639" i="1"/>
  <c r="S1639" i="1"/>
  <c r="R1639" i="1"/>
  <c r="Q1639" i="1"/>
  <c r="T1639" i="1" s="1"/>
  <c r="U1638" i="1"/>
  <c r="T1638" i="1"/>
  <c r="R1638" i="1"/>
  <c r="Q1638" i="1"/>
  <c r="S1638" i="1" s="1"/>
  <c r="U1637" i="1"/>
  <c r="R1637" i="1"/>
  <c r="Q1637" i="1"/>
  <c r="T1637" i="1" s="1"/>
  <c r="U1636" i="1"/>
  <c r="R1636" i="1"/>
  <c r="Q1636" i="1"/>
  <c r="T1636" i="1" s="1"/>
  <c r="U1635" i="1"/>
  <c r="S1635" i="1"/>
  <c r="R1635" i="1"/>
  <c r="Q1635" i="1"/>
  <c r="T1635" i="1" s="1"/>
  <c r="U1634" i="1"/>
  <c r="T1634" i="1"/>
  <c r="S1634" i="1"/>
  <c r="R1634" i="1"/>
  <c r="Q1634" i="1"/>
  <c r="U1633" i="1"/>
  <c r="R1633" i="1"/>
  <c r="Q1633" i="1"/>
  <c r="U1632" i="1"/>
  <c r="T1632" i="1"/>
  <c r="R1632" i="1"/>
  <c r="Q1632" i="1"/>
  <c r="S1632" i="1" s="1"/>
  <c r="U1631" i="1"/>
  <c r="S1631" i="1"/>
  <c r="R1631" i="1"/>
  <c r="Q1631" i="1"/>
  <c r="T1631" i="1" s="1"/>
  <c r="U1630" i="1"/>
  <c r="T1630" i="1"/>
  <c r="R1630" i="1"/>
  <c r="Q1630" i="1"/>
  <c r="S1630" i="1" s="1"/>
  <c r="U1629" i="1"/>
  <c r="R1629" i="1"/>
  <c r="Q1629" i="1"/>
  <c r="T1629" i="1" s="1"/>
  <c r="U1628" i="1"/>
  <c r="R1628" i="1"/>
  <c r="Q1628" i="1"/>
  <c r="T1628" i="1" s="1"/>
  <c r="U1627" i="1"/>
  <c r="S1627" i="1"/>
  <c r="R1627" i="1"/>
  <c r="Q1627" i="1"/>
  <c r="T1627" i="1" s="1"/>
  <c r="U1626" i="1"/>
  <c r="T1626" i="1"/>
  <c r="S1626" i="1"/>
  <c r="R1626" i="1"/>
  <c r="Q1626" i="1"/>
  <c r="U1625" i="1"/>
  <c r="R1625" i="1"/>
  <c r="Q1625" i="1"/>
  <c r="U1624" i="1"/>
  <c r="T1624" i="1"/>
  <c r="R1624" i="1"/>
  <c r="Q1624" i="1"/>
  <c r="S1624" i="1" s="1"/>
  <c r="U1623" i="1"/>
  <c r="S1623" i="1"/>
  <c r="R1623" i="1"/>
  <c r="Q1623" i="1"/>
  <c r="T1623" i="1" s="1"/>
  <c r="U1622" i="1"/>
  <c r="T1622" i="1"/>
  <c r="R1622" i="1"/>
  <c r="Q1622" i="1"/>
  <c r="S1622" i="1" s="1"/>
  <c r="U1621" i="1"/>
  <c r="R1621" i="1"/>
  <c r="Q1621" i="1"/>
  <c r="T1621" i="1" s="1"/>
  <c r="U1620" i="1"/>
  <c r="R1620" i="1"/>
  <c r="Q1620" i="1"/>
  <c r="T1620" i="1" s="1"/>
  <c r="U1619" i="1"/>
  <c r="S1619" i="1"/>
  <c r="R1619" i="1"/>
  <c r="Q1619" i="1"/>
  <c r="T1619" i="1" s="1"/>
  <c r="U1618" i="1"/>
  <c r="T1618" i="1"/>
  <c r="S1618" i="1"/>
  <c r="R1618" i="1"/>
  <c r="Q1618" i="1"/>
  <c r="U1617" i="1"/>
  <c r="R1617" i="1"/>
  <c r="Q1617" i="1"/>
  <c r="U1616" i="1"/>
  <c r="T1616" i="1"/>
  <c r="R1616" i="1"/>
  <c r="Q1616" i="1"/>
  <c r="S1616" i="1" s="1"/>
  <c r="U1615" i="1"/>
  <c r="S1615" i="1"/>
  <c r="R1615" i="1"/>
  <c r="Q1615" i="1"/>
  <c r="T1615" i="1" s="1"/>
  <c r="U1614" i="1"/>
  <c r="T1614" i="1"/>
  <c r="S1614" i="1"/>
  <c r="R1614" i="1"/>
  <c r="Q1614" i="1"/>
  <c r="U1613" i="1"/>
  <c r="R1613" i="1"/>
  <c r="Q1613" i="1"/>
  <c r="T1613" i="1" s="1"/>
  <c r="U1612" i="1"/>
  <c r="R1612" i="1"/>
  <c r="Q1612" i="1"/>
  <c r="T1612" i="1" s="1"/>
  <c r="U1611" i="1"/>
  <c r="S1611" i="1"/>
  <c r="R1611" i="1"/>
  <c r="Q1611" i="1"/>
  <c r="T1611" i="1" s="1"/>
  <c r="U1610" i="1"/>
  <c r="T1610" i="1"/>
  <c r="S1610" i="1"/>
  <c r="R1610" i="1"/>
  <c r="Q1610" i="1"/>
  <c r="U1609" i="1"/>
  <c r="R1609" i="1"/>
  <c r="Q1609" i="1"/>
  <c r="U1608" i="1"/>
  <c r="T1608" i="1"/>
  <c r="R1608" i="1"/>
  <c r="Q1608" i="1"/>
  <c r="S1608" i="1" s="1"/>
  <c r="U1607" i="1"/>
  <c r="S1607" i="1"/>
  <c r="R1607" i="1"/>
  <c r="Q1607" i="1"/>
  <c r="T1607" i="1" s="1"/>
  <c r="U1606" i="1"/>
  <c r="T1606" i="1"/>
  <c r="S1606" i="1"/>
  <c r="R1606" i="1"/>
  <c r="Q1606" i="1"/>
  <c r="U1605" i="1"/>
  <c r="R1605" i="1"/>
  <c r="Q1605" i="1"/>
  <c r="T1605" i="1" s="1"/>
  <c r="U1604" i="1"/>
  <c r="R1604" i="1"/>
  <c r="Q1604" i="1"/>
  <c r="T1604" i="1" s="1"/>
  <c r="U1603" i="1"/>
  <c r="S1603" i="1"/>
  <c r="R1603" i="1"/>
  <c r="Q1603" i="1"/>
  <c r="T1603" i="1" s="1"/>
  <c r="U1602" i="1"/>
  <c r="T1602" i="1"/>
  <c r="S1602" i="1"/>
  <c r="R1602" i="1"/>
  <c r="Q1602" i="1"/>
  <c r="U1601" i="1"/>
  <c r="R1601" i="1"/>
  <c r="Q1601" i="1"/>
  <c r="U1600" i="1"/>
  <c r="T1600" i="1"/>
  <c r="R1600" i="1"/>
  <c r="Q1600" i="1"/>
  <c r="S1600" i="1" s="1"/>
  <c r="U1599" i="1"/>
  <c r="S1599" i="1"/>
  <c r="R1599" i="1"/>
  <c r="Q1599" i="1"/>
  <c r="T1599" i="1" s="1"/>
  <c r="U1598" i="1"/>
  <c r="T1598" i="1"/>
  <c r="R1598" i="1"/>
  <c r="Q1598" i="1"/>
  <c r="S1598" i="1" s="1"/>
  <c r="U1597" i="1"/>
  <c r="R1597" i="1"/>
  <c r="Q1597" i="1"/>
  <c r="T1597" i="1" s="1"/>
  <c r="U1596" i="1"/>
  <c r="R1596" i="1"/>
  <c r="Q1596" i="1"/>
  <c r="T1596" i="1" s="1"/>
  <c r="U1595" i="1"/>
  <c r="S1595" i="1"/>
  <c r="R1595" i="1"/>
  <c r="Q1595" i="1"/>
  <c r="T1595" i="1" s="1"/>
  <c r="U1594" i="1"/>
  <c r="T1594" i="1"/>
  <c r="S1594" i="1"/>
  <c r="R1594" i="1"/>
  <c r="Q1594" i="1"/>
  <c r="U1593" i="1"/>
  <c r="R1593" i="1"/>
  <c r="Q1593" i="1"/>
  <c r="U1592" i="1"/>
  <c r="T1592" i="1"/>
  <c r="R1592" i="1"/>
  <c r="Q1592" i="1"/>
  <c r="S1592" i="1" s="1"/>
  <c r="U1591" i="1"/>
  <c r="T1591" i="1"/>
  <c r="S1591" i="1"/>
  <c r="R1591" i="1"/>
  <c r="Q1591" i="1"/>
  <c r="U1590" i="1"/>
  <c r="T1590" i="1"/>
  <c r="R1590" i="1"/>
  <c r="Q1590" i="1"/>
  <c r="S1590" i="1" s="1"/>
  <c r="U1589" i="1"/>
  <c r="R1589" i="1"/>
  <c r="Q1589" i="1"/>
  <c r="T1589" i="1" s="1"/>
  <c r="U1588" i="1"/>
  <c r="R1588" i="1"/>
  <c r="Q1588" i="1"/>
  <c r="T1588" i="1" s="1"/>
  <c r="U1587" i="1"/>
  <c r="S1587" i="1"/>
  <c r="R1587" i="1"/>
  <c r="Q1587" i="1"/>
  <c r="T1587" i="1" s="1"/>
  <c r="U1586" i="1"/>
  <c r="T1586" i="1"/>
  <c r="S1586" i="1"/>
  <c r="R1586" i="1"/>
  <c r="Q1586" i="1"/>
  <c r="U1585" i="1"/>
  <c r="R1585" i="1"/>
  <c r="Q1585" i="1"/>
  <c r="U1584" i="1"/>
  <c r="R1584" i="1"/>
  <c r="Q1584" i="1"/>
  <c r="T1584" i="1" s="1"/>
  <c r="U1583" i="1"/>
  <c r="T1583" i="1"/>
  <c r="S1583" i="1"/>
  <c r="R1583" i="1"/>
  <c r="Q1583" i="1"/>
  <c r="U1582" i="1"/>
  <c r="T1582" i="1"/>
  <c r="R1582" i="1"/>
  <c r="Q1582" i="1"/>
  <c r="S1582" i="1" s="1"/>
  <c r="U1581" i="1"/>
  <c r="R1581" i="1"/>
  <c r="Q1581" i="1"/>
  <c r="T1581" i="1" s="1"/>
  <c r="U1580" i="1"/>
  <c r="R1580" i="1"/>
  <c r="Q1580" i="1"/>
  <c r="T1580" i="1" s="1"/>
  <c r="U1579" i="1"/>
  <c r="S1579" i="1"/>
  <c r="R1579" i="1"/>
  <c r="Q1579" i="1"/>
  <c r="T1579" i="1" s="1"/>
  <c r="U1578" i="1"/>
  <c r="T1578" i="1"/>
  <c r="S1578" i="1"/>
  <c r="R1578" i="1"/>
  <c r="Q1578" i="1"/>
  <c r="U1577" i="1"/>
  <c r="R1577" i="1"/>
  <c r="Q1577" i="1"/>
  <c r="U1576" i="1"/>
  <c r="R1576" i="1"/>
  <c r="Q1576" i="1"/>
  <c r="T1576" i="1" s="1"/>
  <c r="U1575" i="1"/>
  <c r="T1575" i="1"/>
  <c r="S1575" i="1"/>
  <c r="R1575" i="1"/>
  <c r="Q1575" i="1"/>
  <c r="U1574" i="1"/>
  <c r="T1574" i="1"/>
  <c r="S1574" i="1"/>
  <c r="R1574" i="1"/>
  <c r="Q1574" i="1"/>
  <c r="U1573" i="1"/>
  <c r="R1573" i="1"/>
  <c r="Q1573" i="1"/>
  <c r="T1573" i="1" s="1"/>
  <c r="U1572" i="1"/>
  <c r="R1572" i="1"/>
  <c r="Q1572" i="1"/>
  <c r="T1572" i="1" s="1"/>
  <c r="U1571" i="1"/>
  <c r="T1571" i="1"/>
  <c r="S1571" i="1"/>
  <c r="R1571" i="1"/>
  <c r="Q1571" i="1"/>
  <c r="U1570" i="1"/>
  <c r="T1570" i="1"/>
  <c r="S1570" i="1"/>
  <c r="R1570" i="1"/>
  <c r="Q1570" i="1"/>
  <c r="U1569" i="1"/>
  <c r="R1569" i="1"/>
  <c r="Q1569" i="1"/>
  <c r="U1568" i="1"/>
  <c r="R1568" i="1"/>
  <c r="Q1568" i="1"/>
  <c r="T1568" i="1" s="1"/>
  <c r="U1567" i="1"/>
  <c r="T1567" i="1"/>
  <c r="S1567" i="1"/>
  <c r="R1567" i="1"/>
  <c r="Q1567" i="1"/>
  <c r="U1566" i="1"/>
  <c r="T1566" i="1"/>
  <c r="R1566" i="1"/>
  <c r="Q1566" i="1"/>
  <c r="S1566" i="1" s="1"/>
  <c r="U1565" i="1"/>
  <c r="R1565" i="1"/>
  <c r="Q1565" i="1"/>
  <c r="T1565" i="1" s="1"/>
  <c r="U1564" i="1"/>
  <c r="R1564" i="1"/>
  <c r="Q1564" i="1"/>
  <c r="T1564" i="1" s="1"/>
  <c r="U1563" i="1"/>
  <c r="T1563" i="1"/>
  <c r="S1563" i="1"/>
  <c r="R1563" i="1"/>
  <c r="Q1563" i="1"/>
  <c r="U1562" i="1"/>
  <c r="T1562" i="1"/>
  <c r="S1562" i="1"/>
  <c r="R1562" i="1"/>
  <c r="Q1562" i="1"/>
  <c r="U1561" i="1"/>
  <c r="R1561" i="1"/>
  <c r="Q1561" i="1"/>
  <c r="U1560" i="1"/>
  <c r="R1560" i="1"/>
  <c r="Q1560" i="1"/>
  <c r="T1560" i="1" s="1"/>
  <c r="U1559" i="1"/>
  <c r="T1559" i="1"/>
  <c r="S1559" i="1"/>
  <c r="R1559" i="1"/>
  <c r="Q1559" i="1"/>
  <c r="U1558" i="1"/>
  <c r="T1558" i="1"/>
  <c r="R1558" i="1"/>
  <c r="Q1558" i="1"/>
  <c r="S1558" i="1" s="1"/>
  <c r="U1557" i="1"/>
  <c r="R1557" i="1"/>
  <c r="Q1557" i="1"/>
  <c r="T1557" i="1" s="1"/>
  <c r="U1556" i="1"/>
  <c r="R1556" i="1"/>
  <c r="Q1556" i="1"/>
  <c r="T1556" i="1" s="1"/>
  <c r="U1555" i="1"/>
  <c r="T1555" i="1"/>
  <c r="S1555" i="1"/>
  <c r="R1555" i="1"/>
  <c r="Q1555" i="1"/>
  <c r="U1554" i="1"/>
  <c r="T1554" i="1"/>
  <c r="S1554" i="1"/>
  <c r="R1554" i="1"/>
  <c r="Q1554" i="1"/>
  <c r="U1553" i="1"/>
  <c r="R1553" i="1"/>
  <c r="Q1553" i="1"/>
  <c r="U1552" i="1"/>
  <c r="R1552" i="1"/>
  <c r="Q1552" i="1"/>
  <c r="T1552" i="1" s="1"/>
  <c r="U1551" i="1"/>
  <c r="T1551" i="1"/>
  <c r="S1551" i="1"/>
  <c r="R1551" i="1"/>
  <c r="Q1551" i="1"/>
  <c r="U1550" i="1"/>
  <c r="T1550" i="1"/>
  <c r="R1550" i="1"/>
  <c r="Q1550" i="1"/>
  <c r="S1550" i="1" s="1"/>
  <c r="U1549" i="1"/>
  <c r="R1549" i="1"/>
  <c r="Q1549" i="1"/>
  <c r="T1549" i="1" s="1"/>
  <c r="U1548" i="1"/>
  <c r="R1548" i="1"/>
  <c r="Q1548" i="1"/>
  <c r="T1548" i="1" s="1"/>
  <c r="U1547" i="1"/>
  <c r="T1547" i="1"/>
  <c r="S1547" i="1"/>
  <c r="R1547" i="1"/>
  <c r="Q1547" i="1"/>
  <c r="U1546" i="1"/>
  <c r="T1546" i="1"/>
  <c r="S1546" i="1"/>
  <c r="R1546" i="1"/>
  <c r="Q1546" i="1"/>
  <c r="U1545" i="1"/>
  <c r="R1545" i="1"/>
  <c r="Q1545" i="1"/>
  <c r="U1544" i="1"/>
  <c r="R1544" i="1"/>
  <c r="Q1544" i="1"/>
  <c r="T1544" i="1" s="1"/>
  <c r="U1543" i="1"/>
  <c r="T1543" i="1"/>
  <c r="S1543" i="1"/>
  <c r="R1543" i="1"/>
  <c r="Q1543" i="1"/>
  <c r="U1542" i="1"/>
  <c r="T1542" i="1"/>
  <c r="R1542" i="1"/>
  <c r="Q1542" i="1"/>
  <c r="S1542" i="1" s="1"/>
  <c r="U1541" i="1"/>
  <c r="R1541" i="1"/>
  <c r="Q1541" i="1"/>
  <c r="T1541" i="1" s="1"/>
  <c r="U1540" i="1"/>
  <c r="R1540" i="1"/>
  <c r="Q1540" i="1"/>
  <c r="T1540" i="1" s="1"/>
  <c r="U1539" i="1"/>
  <c r="T1539" i="1"/>
  <c r="S1539" i="1"/>
  <c r="R1539" i="1"/>
  <c r="Q1539" i="1"/>
  <c r="U1538" i="1"/>
  <c r="T1538" i="1"/>
  <c r="S1538" i="1"/>
  <c r="R1538" i="1"/>
  <c r="Q1538" i="1"/>
  <c r="U1537" i="1"/>
  <c r="R1537" i="1"/>
  <c r="Q1537" i="1"/>
  <c r="U1536" i="1"/>
  <c r="R1536" i="1"/>
  <c r="Q1536" i="1"/>
  <c r="T1536" i="1" s="1"/>
  <c r="U1535" i="1"/>
  <c r="T1535" i="1"/>
  <c r="S1535" i="1"/>
  <c r="R1535" i="1"/>
  <c r="Q1535" i="1"/>
  <c r="U1534" i="1"/>
  <c r="T1534" i="1"/>
  <c r="S1534" i="1"/>
  <c r="R1534" i="1"/>
  <c r="Q1534" i="1"/>
  <c r="U1533" i="1"/>
  <c r="R1533" i="1"/>
  <c r="Q1533" i="1"/>
  <c r="T1533" i="1" s="1"/>
  <c r="U1532" i="1"/>
  <c r="R1532" i="1"/>
  <c r="Q1532" i="1"/>
  <c r="T1532" i="1" s="1"/>
  <c r="U1531" i="1"/>
  <c r="T1531" i="1"/>
  <c r="S1531" i="1"/>
  <c r="R1531" i="1"/>
  <c r="Q1531" i="1"/>
  <c r="U1530" i="1"/>
  <c r="T1530" i="1"/>
  <c r="S1530" i="1"/>
  <c r="R1530" i="1"/>
  <c r="Q1530" i="1"/>
  <c r="U1529" i="1"/>
  <c r="R1529" i="1"/>
  <c r="Q1529" i="1"/>
  <c r="U1528" i="1"/>
  <c r="R1528" i="1"/>
  <c r="Q1528" i="1"/>
  <c r="T1528" i="1" s="1"/>
  <c r="U1527" i="1"/>
  <c r="T1527" i="1"/>
  <c r="S1527" i="1"/>
  <c r="R1527" i="1"/>
  <c r="Q1527" i="1"/>
  <c r="U1526" i="1"/>
  <c r="T1526" i="1"/>
  <c r="R1526" i="1"/>
  <c r="Q1526" i="1"/>
  <c r="S1526" i="1" s="1"/>
  <c r="U1525" i="1"/>
  <c r="R1525" i="1"/>
  <c r="Q1525" i="1"/>
  <c r="T1525" i="1" s="1"/>
  <c r="U1524" i="1"/>
  <c r="R1524" i="1"/>
  <c r="Q1524" i="1"/>
  <c r="T1524" i="1" s="1"/>
  <c r="U1523" i="1"/>
  <c r="T1523" i="1"/>
  <c r="S1523" i="1"/>
  <c r="R1523" i="1"/>
  <c r="Q1523" i="1"/>
  <c r="U1522" i="1"/>
  <c r="T1522" i="1"/>
  <c r="S1522" i="1"/>
  <c r="R1522" i="1"/>
  <c r="Q1522" i="1"/>
  <c r="U1521" i="1"/>
  <c r="R1521" i="1"/>
  <c r="Q1521" i="1"/>
  <c r="U1520" i="1"/>
  <c r="R1520" i="1"/>
  <c r="Q1520" i="1"/>
  <c r="T1520" i="1" s="1"/>
  <c r="U1519" i="1"/>
  <c r="T1519" i="1"/>
  <c r="S1519" i="1"/>
  <c r="R1519" i="1"/>
  <c r="Q1519" i="1"/>
  <c r="U1518" i="1"/>
  <c r="T1518" i="1"/>
  <c r="R1518" i="1"/>
  <c r="Q1518" i="1"/>
  <c r="S1518" i="1" s="1"/>
  <c r="U1517" i="1"/>
  <c r="R1517" i="1"/>
  <c r="Q1517" i="1"/>
  <c r="T1517" i="1" s="1"/>
  <c r="U1516" i="1"/>
  <c r="R1516" i="1"/>
  <c r="Q1516" i="1"/>
  <c r="T1516" i="1" s="1"/>
  <c r="U1515" i="1"/>
  <c r="T1515" i="1"/>
  <c r="S1515" i="1"/>
  <c r="R1515" i="1"/>
  <c r="Q1515" i="1"/>
  <c r="U1514" i="1"/>
  <c r="T1514" i="1"/>
  <c r="S1514" i="1"/>
  <c r="R1514" i="1"/>
  <c r="Q1514" i="1"/>
  <c r="U1513" i="1"/>
  <c r="R1513" i="1"/>
  <c r="Q1513" i="1"/>
  <c r="U1512" i="1"/>
  <c r="T1512" i="1"/>
  <c r="S1512" i="1"/>
  <c r="R1512" i="1"/>
  <c r="Q1512" i="1"/>
  <c r="U1511" i="1"/>
  <c r="S1511" i="1"/>
  <c r="R1511" i="1"/>
  <c r="Q1511" i="1"/>
  <c r="T1511" i="1" s="1"/>
  <c r="U1510" i="1"/>
  <c r="T1510" i="1"/>
  <c r="R1510" i="1"/>
  <c r="Q1510" i="1"/>
  <c r="S1510" i="1" s="1"/>
  <c r="U1509" i="1"/>
  <c r="R1509" i="1"/>
  <c r="Q1509" i="1"/>
  <c r="T1509" i="1" s="1"/>
  <c r="U1508" i="1"/>
  <c r="R1508" i="1"/>
  <c r="Q1508" i="1"/>
  <c r="T1508" i="1" s="1"/>
  <c r="U1507" i="1"/>
  <c r="T1507" i="1"/>
  <c r="S1507" i="1"/>
  <c r="R1507" i="1"/>
  <c r="Q1507" i="1"/>
  <c r="U1506" i="1"/>
  <c r="T1506" i="1"/>
  <c r="S1506" i="1"/>
  <c r="R1506" i="1"/>
  <c r="Q1506" i="1"/>
  <c r="U1505" i="1"/>
  <c r="R1505" i="1"/>
  <c r="Q1505" i="1"/>
  <c r="U1504" i="1"/>
  <c r="T1504" i="1"/>
  <c r="S1504" i="1"/>
  <c r="R1504" i="1"/>
  <c r="Q1504" i="1"/>
  <c r="U1503" i="1"/>
  <c r="S1503" i="1"/>
  <c r="R1503" i="1"/>
  <c r="Q1503" i="1"/>
  <c r="T1503" i="1" s="1"/>
  <c r="U1502" i="1"/>
  <c r="T1502" i="1"/>
  <c r="R1502" i="1"/>
  <c r="Q1502" i="1"/>
  <c r="S1502" i="1" s="1"/>
  <c r="U1501" i="1"/>
  <c r="R1501" i="1"/>
  <c r="Q1501" i="1"/>
  <c r="T1501" i="1" s="1"/>
  <c r="U1500" i="1"/>
  <c r="R1500" i="1"/>
  <c r="Q1500" i="1"/>
  <c r="T1500" i="1" s="1"/>
  <c r="U1499" i="1"/>
  <c r="T1499" i="1"/>
  <c r="S1499" i="1"/>
  <c r="R1499" i="1"/>
  <c r="Q1499" i="1"/>
  <c r="U1498" i="1"/>
  <c r="T1498" i="1"/>
  <c r="S1498" i="1"/>
  <c r="R1498" i="1"/>
  <c r="Q1498" i="1"/>
  <c r="U1497" i="1"/>
  <c r="R1497" i="1"/>
  <c r="Q1497" i="1"/>
  <c r="U1496" i="1"/>
  <c r="T1496" i="1"/>
  <c r="S1496" i="1"/>
  <c r="R1496" i="1"/>
  <c r="Q1496" i="1"/>
  <c r="U1495" i="1"/>
  <c r="T1495" i="1"/>
  <c r="S1495" i="1"/>
  <c r="R1495" i="1"/>
  <c r="Q1495" i="1"/>
  <c r="U1494" i="1"/>
  <c r="T1494" i="1"/>
  <c r="R1494" i="1"/>
  <c r="Q1494" i="1"/>
  <c r="S1494" i="1" s="1"/>
  <c r="U1493" i="1"/>
  <c r="R1493" i="1"/>
  <c r="Q1493" i="1"/>
  <c r="T1493" i="1" s="1"/>
  <c r="U1492" i="1"/>
  <c r="R1492" i="1"/>
  <c r="Q1492" i="1"/>
  <c r="T1492" i="1" s="1"/>
  <c r="U1491" i="1"/>
  <c r="T1491" i="1"/>
  <c r="S1491" i="1"/>
  <c r="R1491" i="1"/>
  <c r="Q1491" i="1"/>
  <c r="U1490" i="1"/>
  <c r="T1490" i="1"/>
  <c r="S1490" i="1"/>
  <c r="R1490" i="1"/>
  <c r="Q1490" i="1"/>
  <c r="U1489" i="1"/>
  <c r="R1489" i="1"/>
  <c r="Q1489" i="1"/>
  <c r="U1488" i="1"/>
  <c r="T1488" i="1"/>
  <c r="S1488" i="1"/>
  <c r="R1488" i="1"/>
  <c r="Q1488" i="1"/>
  <c r="U1487" i="1"/>
  <c r="T1487" i="1"/>
  <c r="S1487" i="1"/>
  <c r="R1487" i="1"/>
  <c r="Q1487" i="1"/>
  <c r="U1486" i="1"/>
  <c r="T1486" i="1"/>
  <c r="R1486" i="1"/>
  <c r="Q1486" i="1"/>
  <c r="S1486" i="1" s="1"/>
  <c r="U1485" i="1"/>
  <c r="R1485" i="1"/>
  <c r="Q1485" i="1"/>
  <c r="T1485" i="1" s="1"/>
  <c r="U1484" i="1"/>
  <c r="R1484" i="1"/>
  <c r="Q1484" i="1"/>
  <c r="T1484" i="1" s="1"/>
  <c r="U1483" i="1"/>
  <c r="T1483" i="1"/>
  <c r="S1483" i="1"/>
  <c r="R1483" i="1"/>
  <c r="Q1483" i="1"/>
  <c r="U1482" i="1"/>
  <c r="T1482" i="1"/>
  <c r="S1482" i="1"/>
  <c r="R1482" i="1"/>
  <c r="Q1482" i="1"/>
  <c r="U1481" i="1"/>
  <c r="R1481" i="1"/>
  <c r="Q1481" i="1"/>
  <c r="U1480" i="1"/>
  <c r="T1480" i="1"/>
  <c r="S1480" i="1"/>
  <c r="R1480" i="1"/>
  <c r="Q1480" i="1"/>
  <c r="U1479" i="1"/>
  <c r="T1479" i="1"/>
  <c r="S1479" i="1"/>
  <c r="R1479" i="1"/>
  <c r="Q1479" i="1"/>
  <c r="U1478" i="1"/>
  <c r="T1478" i="1"/>
  <c r="R1478" i="1"/>
  <c r="Q1478" i="1"/>
  <c r="S1478" i="1" s="1"/>
  <c r="U1477" i="1"/>
  <c r="R1477" i="1"/>
  <c r="Q1477" i="1"/>
  <c r="T1477" i="1" s="1"/>
  <c r="U1476" i="1"/>
  <c r="R1476" i="1"/>
  <c r="Q1476" i="1"/>
  <c r="T1476" i="1" s="1"/>
  <c r="U1475" i="1"/>
  <c r="T1475" i="1"/>
  <c r="S1475" i="1"/>
  <c r="R1475" i="1"/>
  <c r="Q1475" i="1"/>
  <c r="U1474" i="1"/>
  <c r="T1474" i="1"/>
  <c r="S1474" i="1"/>
  <c r="R1474" i="1"/>
  <c r="Q1474" i="1"/>
  <c r="U1473" i="1"/>
  <c r="R1473" i="1"/>
  <c r="Q1473" i="1"/>
  <c r="U1472" i="1"/>
  <c r="T1472" i="1"/>
  <c r="S1472" i="1"/>
  <c r="R1472" i="1"/>
  <c r="Q1472" i="1"/>
  <c r="U1471" i="1"/>
  <c r="T1471" i="1"/>
  <c r="S1471" i="1"/>
  <c r="R1471" i="1"/>
  <c r="Q1471" i="1"/>
  <c r="U1470" i="1"/>
  <c r="T1470" i="1"/>
  <c r="R1470" i="1"/>
  <c r="Q1470" i="1"/>
  <c r="S1470" i="1" s="1"/>
  <c r="U1469" i="1"/>
  <c r="R1469" i="1"/>
  <c r="Q1469" i="1"/>
  <c r="T1469" i="1" s="1"/>
  <c r="U1468" i="1"/>
  <c r="R1468" i="1"/>
  <c r="Q1468" i="1"/>
  <c r="T1468" i="1" s="1"/>
  <c r="U1467" i="1"/>
  <c r="T1467" i="1"/>
  <c r="S1467" i="1"/>
  <c r="R1467" i="1"/>
  <c r="Q1467" i="1"/>
  <c r="U1466" i="1"/>
  <c r="T1466" i="1"/>
  <c r="S1466" i="1"/>
  <c r="R1466" i="1"/>
  <c r="Q1466" i="1"/>
  <c r="U1465" i="1"/>
  <c r="R1465" i="1"/>
  <c r="Q1465" i="1"/>
  <c r="U1464" i="1"/>
  <c r="T1464" i="1"/>
  <c r="S1464" i="1"/>
  <c r="R1464" i="1"/>
  <c r="Q1464" i="1"/>
  <c r="U1463" i="1"/>
  <c r="T1463" i="1"/>
  <c r="S1463" i="1"/>
  <c r="R1463" i="1"/>
  <c r="Q1463" i="1"/>
  <c r="U1462" i="1"/>
  <c r="T1462" i="1"/>
  <c r="R1462" i="1"/>
  <c r="Q1462" i="1"/>
  <c r="S1462" i="1" s="1"/>
  <c r="U1461" i="1"/>
  <c r="R1461" i="1"/>
  <c r="Q1461" i="1"/>
  <c r="T1461" i="1" s="1"/>
  <c r="U1460" i="1"/>
  <c r="R1460" i="1"/>
  <c r="Q1460" i="1"/>
  <c r="T1460" i="1" s="1"/>
  <c r="U1459" i="1"/>
  <c r="T1459" i="1"/>
  <c r="S1459" i="1"/>
  <c r="R1459" i="1"/>
  <c r="Q1459" i="1"/>
  <c r="U1458" i="1"/>
  <c r="T1458" i="1"/>
  <c r="R1458" i="1"/>
  <c r="Q1458" i="1"/>
  <c r="S1458" i="1" s="1"/>
  <c r="U1457" i="1"/>
  <c r="R1457" i="1"/>
  <c r="Q1457" i="1"/>
  <c r="U1456" i="1"/>
  <c r="T1456" i="1"/>
  <c r="S1456" i="1"/>
  <c r="R1456" i="1"/>
  <c r="Q1456" i="1"/>
  <c r="U1455" i="1"/>
  <c r="T1455" i="1"/>
  <c r="S1455" i="1"/>
  <c r="R1455" i="1"/>
  <c r="Q1455" i="1"/>
  <c r="U1454" i="1"/>
  <c r="T1454" i="1"/>
  <c r="R1454" i="1"/>
  <c r="Q1454" i="1"/>
  <c r="S1454" i="1" s="1"/>
  <c r="U1453" i="1"/>
  <c r="R1453" i="1"/>
  <c r="Q1453" i="1"/>
  <c r="T1453" i="1" s="1"/>
  <c r="U1452" i="1"/>
  <c r="R1452" i="1"/>
  <c r="Q1452" i="1"/>
  <c r="T1452" i="1" s="1"/>
  <c r="U1451" i="1"/>
  <c r="T1451" i="1"/>
  <c r="S1451" i="1"/>
  <c r="R1451" i="1"/>
  <c r="Q1451" i="1"/>
  <c r="U1450" i="1"/>
  <c r="T1450" i="1"/>
  <c r="R1450" i="1"/>
  <c r="Q1450" i="1"/>
  <c r="S1450" i="1" s="1"/>
  <c r="U1449" i="1"/>
  <c r="R1449" i="1"/>
  <c r="Q1449" i="1"/>
  <c r="U1448" i="1"/>
  <c r="T1448" i="1"/>
  <c r="S1448" i="1"/>
  <c r="R1448" i="1"/>
  <c r="Q1448" i="1"/>
  <c r="U1447" i="1"/>
  <c r="T1447" i="1"/>
  <c r="S1447" i="1"/>
  <c r="R1447" i="1"/>
  <c r="Q1447" i="1"/>
  <c r="U1446" i="1"/>
  <c r="T1446" i="1"/>
  <c r="R1446" i="1"/>
  <c r="Q1446" i="1"/>
  <c r="S1446" i="1" s="1"/>
  <c r="U1445" i="1"/>
  <c r="R1445" i="1"/>
  <c r="Q1445" i="1"/>
  <c r="T1445" i="1" s="1"/>
  <c r="U1444" i="1"/>
  <c r="R1444" i="1"/>
  <c r="Q1444" i="1"/>
  <c r="T1444" i="1" s="1"/>
  <c r="U1443" i="1"/>
  <c r="T1443" i="1"/>
  <c r="S1443" i="1"/>
  <c r="R1443" i="1"/>
  <c r="Q1443" i="1"/>
  <c r="U1442" i="1"/>
  <c r="T1442" i="1"/>
  <c r="R1442" i="1"/>
  <c r="Q1442" i="1"/>
  <c r="S1442" i="1" s="1"/>
  <c r="U1441" i="1"/>
  <c r="R1441" i="1"/>
  <c r="Q1441" i="1"/>
  <c r="U1440" i="1"/>
  <c r="T1440" i="1"/>
  <c r="S1440" i="1"/>
  <c r="R1440" i="1"/>
  <c r="Q1440" i="1"/>
  <c r="U1439" i="1"/>
  <c r="T1439" i="1"/>
  <c r="S1439" i="1"/>
  <c r="R1439" i="1"/>
  <c r="Q1439" i="1"/>
  <c r="U1438" i="1"/>
  <c r="T1438" i="1"/>
  <c r="R1438" i="1"/>
  <c r="Q1438" i="1"/>
  <c r="S1438" i="1" s="1"/>
  <c r="U1437" i="1"/>
  <c r="R1437" i="1"/>
  <c r="Q1437" i="1"/>
  <c r="T1437" i="1" s="1"/>
  <c r="U1436" i="1"/>
  <c r="R1436" i="1"/>
  <c r="Q1436" i="1"/>
  <c r="T1436" i="1" s="1"/>
  <c r="U1435" i="1"/>
  <c r="T1435" i="1"/>
  <c r="S1435" i="1"/>
  <c r="R1435" i="1"/>
  <c r="Q1435" i="1"/>
  <c r="U1434" i="1"/>
  <c r="T1434" i="1"/>
  <c r="R1434" i="1"/>
  <c r="Q1434" i="1"/>
  <c r="S1434" i="1" s="1"/>
  <c r="U1433" i="1"/>
  <c r="R1433" i="1"/>
  <c r="Q1433" i="1"/>
  <c r="U1432" i="1"/>
  <c r="T1432" i="1"/>
  <c r="S1432" i="1"/>
  <c r="R1432" i="1"/>
  <c r="Q1432" i="1"/>
  <c r="U1431" i="1"/>
  <c r="T1431" i="1"/>
  <c r="S1431" i="1"/>
  <c r="R1431" i="1"/>
  <c r="Q1431" i="1"/>
  <c r="U1430" i="1"/>
  <c r="T1430" i="1"/>
  <c r="R1430" i="1"/>
  <c r="Q1430" i="1"/>
  <c r="S1430" i="1" s="1"/>
  <c r="U1429" i="1"/>
  <c r="R1429" i="1"/>
  <c r="Q1429" i="1"/>
  <c r="T1429" i="1" s="1"/>
  <c r="U1428" i="1"/>
  <c r="R1428" i="1"/>
  <c r="Q1428" i="1"/>
  <c r="T1428" i="1" s="1"/>
  <c r="U1427" i="1"/>
  <c r="T1427" i="1"/>
  <c r="S1427" i="1"/>
  <c r="R1427" i="1"/>
  <c r="Q1427" i="1"/>
  <c r="U1426" i="1"/>
  <c r="T1426" i="1"/>
  <c r="R1426" i="1"/>
  <c r="Q1426" i="1"/>
  <c r="S1426" i="1" s="1"/>
  <c r="U1425" i="1"/>
  <c r="R1425" i="1"/>
  <c r="Q1425" i="1"/>
  <c r="U1424" i="1"/>
  <c r="T1424" i="1"/>
  <c r="S1424" i="1"/>
  <c r="R1424" i="1"/>
  <c r="Q1424" i="1"/>
  <c r="U1423" i="1"/>
  <c r="S1423" i="1"/>
  <c r="R1423" i="1"/>
  <c r="Q1423" i="1"/>
  <c r="T1423" i="1" s="1"/>
  <c r="U1422" i="1"/>
  <c r="T1422" i="1"/>
  <c r="R1422" i="1"/>
  <c r="Q1422" i="1"/>
  <c r="S1422" i="1" s="1"/>
  <c r="U1421" i="1"/>
  <c r="R1421" i="1"/>
  <c r="Q1421" i="1"/>
  <c r="T1421" i="1" s="1"/>
  <c r="U1420" i="1"/>
  <c r="R1420" i="1"/>
  <c r="Q1420" i="1"/>
  <c r="T1420" i="1" s="1"/>
  <c r="U1419" i="1"/>
  <c r="T1419" i="1"/>
  <c r="S1419" i="1"/>
  <c r="R1419" i="1"/>
  <c r="Q1419" i="1"/>
  <c r="U1418" i="1"/>
  <c r="T1418" i="1"/>
  <c r="R1418" i="1"/>
  <c r="Q1418" i="1"/>
  <c r="S1418" i="1" s="1"/>
  <c r="U1417" i="1"/>
  <c r="R1417" i="1"/>
  <c r="Q1417" i="1"/>
  <c r="U1416" i="1"/>
  <c r="T1416" i="1"/>
  <c r="S1416" i="1"/>
  <c r="R1416" i="1"/>
  <c r="Q1416" i="1"/>
  <c r="U1415" i="1"/>
  <c r="S1415" i="1"/>
  <c r="R1415" i="1"/>
  <c r="Q1415" i="1"/>
  <c r="T1415" i="1" s="1"/>
  <c r="U1414" i="1"/>
  <c r="T1414" i="1"/>
  <c r="R1414" i="1"/>
  <c r="Q1414" i="1"/>
  <c r="S1414" i="1" s="1"/>
  <c r="U1413" i="1"/>
  <c r="R1413" i="1"/>
  <c r="Q1413" i="1"/>
  <c r="T1413" i="1" s="1"/>
  <c r="U1412" i="1"/>
  <c r="R1412" i="1"/>
  <c r="Q1412" i="1"/>
  <c r="T1412" i="1" s="1"/>
  <c r="U1411" i="1"/>
  <c r="T1411" i="1"/>
  <c r="S1411" i="1"/>
  <c r="R1411" i="1"/>
  <c r="Q1411" i="1"/>
  <c r="U1410" i="1"/>
  <c r="T1410" i="1"/>
  <c r="R1410" i="1"/>
  <c r="Q1410" i="1"/>
  <c r="S1410" i="1" s="1"/>
  <c r="U1409" i="1"/>
  <c r="R1409" i="1"/>
  <c r="Q1409" i="1"/>
  <c r="U1408" i="1"/>
  <c r="T1408" i="1"/>
  <c r="S1408" i="1"/>
  <c r="R1408" i="1"/>
  <c r="Q1408" i="1"/>
  <c r="U1407" i="1"/>
  <c r="S1407" i="1"/>
  <c r="R1407" i="1"/>
  <c r="Q1407" i="1"/>
  <c r="T1407" i="1" s="1"/>
  <c r="U1406" i="1"/>
  <c r="T1406" i="1"/>
  <c r="R1406" i="1"/>
  <c r="Q1406" i="1"/>
  <c r="S1406" i="1" s="1"/>
  <c r="U1405" i="1"/>
  <c r="R1405" i="1"/>
  <c r="Q1405" i="1"/>
  <c r="T1405" i="1" s="1"/>
  <c r="U1404" i="1"/>
  <c r="R1404" i="1"/>
  <c r="Q1404" i="1"/>
  <c r="T1404" i="1" s="1"/>
  <c r="U1403" i="1"/>
  <c r="T1403" i="1"/>
  <c r="S1403" i="1"/>
  <c r="R1403" i="1"/>
  <c r="Q1403" i="1"/>
  <c r="U1402" i="1"/>
  <c r="T1402" i="1"/>
  <c r="R1402" i="1"/>
  <c r="Q1402" i="1"/>
  <c r="S1402" i="1" s="1"/>
  <c r="U1401" i="1"/>
  <c r="R1401" i="1"/>
  <c r="Q1401" i="1"/>
  <c r="U1400" i="1"/>
  <c r="T1400" i="1"/>
  <c r="S1400" i="1"/>
  <c r="R1400" i="1"/>
  <c r="Q1400" i="1"/>
  <c r="U1399" i="1"/>
  <c r="S1399" i="1"/>
  <c r="R1399" i="1"/>
  <c r="Q1399" i="1"/>
  <c r="T1399" i="1" s="1"/>
  <c r="U1398" i="1"/>
  <c r="T1398" i="1"/>
  <c r="R1398" i="1"/>
  <c r="Q1398" i="1"/>
  <c r="S1398" i="1" s="1"/>
  <c r="U1397" i="1"/>
  <c r="R1397" i="1"/>
  <c r="Q1397" i="1"/>
  <c r="T1397" i="1" s="1"/>
  <c r="U1396" i="1"/>
  <c r="R1396" i="1"/>
  <c r="Q1396" i="1"/>
  <c r="T1396" i="1" s="1"/>
  <c r="U1395" i="1"/>
  <c r="T1395" i="1"/>
  <c r="S1395" i="1"/>
  <c r="R1395" i="1"/>
  <c r="Q1395" i="1"/>
  <c r="U1394" i="1"/>
  <c r="T1394" i="1"/>
  <c r="R1394" i="1"/>
  <c r="Q1394" i="1"/>
  <c r="S1394" i="1" s="1"/>
  <c r="U1393" i="1"/>
  <c r="R1393" i="1"/>
  <c r="Q1393" i="1"/>
  <c r="U1392" i="1"/>
  <c r="T1392" i="1"/>
  <c r="S1392" i="1"/>
  <c r="R1392" i="1"/>
  <c r="Q1392" i="1"/>
  <c r="U1391" i="1"/>
  <c r="S1391" i="1"/>
  <c r="R1391" i="1"/>
  <c r="Q1391" i="1"/>
  <c r="T1391" i="1" s="1"/>
  <c r="U1390" i="1"/>
  <c r="T1390" i="1"/>
  <c r="R1390" i="1"/>
  <c r="Q1390" i="1"/>
  <c r="S1390" i="1" s="1"/>
  <c r="U1389" i="1"/>
  <c r="R1389" i="1"/>
  <c r="Q1389" i="1"/>
  <c r="T1389" i="1" s="1"/>
  <c r="U1388" i="1"/>
  <c r="R1388" i="1"/>
  <c r="Q1388" i="1"/>
  <c r="T1388" i="1" s="1"/>
  <c r="U1387" i="1"/>
  <c r="T1387" i="1"/>
  <c r="S1387" i="1"/>
  <c r="R1387" i="1"/>
  <c r="Q1387" i="1"/>
  <c r="U1386" i="1"/>
  <c r="T1386" i="1"/>
  <c r="R1386" i="1"/>
  <c r="Q1386" i="1"/>
  <c r="S1386" i="1" s="1"/>
  <c r="U1385" i="1"/>
  <c r="R1385" i="1"/>
  <c r="Q1385" i="1"/>
  <c r="U1384" i="1"/>
  <c r="T1384" i="1"/>
  <c r="S1384" i="1"/>
  <c r="R1384" i="1"/>
  <c r="Q1384" i="1"/>
  <c r="U1383" i="1"/>
  <c r="S1383" i="1"/>
  <c r="R1383" i="1"/>
  <c r="Q1383" i="1"/>
  <c r="T1383" i="1" s="1"/>
  <c r="U1382" i="1"/>
  <c r="T1382" i="1"/>
  <c r="R1382" i="1"/>
  <c r="Q1382" i="1"/>
  <c r="S1382" i="1" s="1"/>
  <c r="U1381" i="1"/>
  <c r="R1381" i="1"/>
  <c r="Q1381" i="1"/>
  <c r="T1381" i="1" s="1"/>
  <c r="U1380" i="1"/>
  <c r="R1380" i="1"/>
  <c r="Q1380" i="1"/>
  <c r="T1380" i="1" s="1"/>
  <c r="U1379" i="1"/>
  <c r="T1379" i="1"/>
  <c r="S1379" i="1"/>
  <c r="R1379" i="1"/>
  <c r="Q1379" i="1"/>
  <c r="U1378" i="1"/>
  <c r="T1378" i="1"/>
  <c r="R1378" i="1"/>
  <c r="Q1378" i="1"/>
  <c r="S1378" i="1" s="1"/>
  <c r="U1377" i="1"/>
  <c r="R1377" i="1"/>
  <c r="Q1377" i="1"/>
  <c r="U1376" i="1"/>
  <c r="T1376" i="1"/>
  <c r="S1376" i="1"/>
  <c r="R1376" i="1"/>
  <c r="Q1376" i="1"/>
  <c r="U1375" i="1"/>
  <c r="S1375" i="1"/>
  <c r="R1375" i="1"/>
  <c r="Q1375" i="1"/>
  <c r="T1375" i="1" s="1"/>
  <c r="U1374" i="1"/>
  <c r="T1374" i="1"/>
  <c r="R1374" i="1"/>
  <c r="Q1374" i="1"/>
  <c r="S1374" i="1" s="1"/>
  <c r="U1373" i="1"/>
  <c r="R1373" i="1"/>
  <c r="Q1373" i="1"/>
  <c r="T1373" i="1" s="1"/>
  <c r="U1372" i="1"/>
  <c r="R1372" i="1"/>
  <c r="Q1372" i="1"/>
  <c r="T1372" i="1" s="1"/>
  <c r="U1371" i="1"/>
  <c r="T1371" i="1"/>
  <c r="S1371" i="1"/>
  <c r="R1371" i="1"/>
  <c r="Q1371" i="1"/>
  <c r="U1370" i="1"/>
  <c r="T1370" i="1"/>
  <c r="R1370" i="1"/>
  <c r="Q1370" i="1"/>
  <c r="S1370" i="1" s="1"/>
  <c r="U1369" i="1"/>
  <c r="R1369" i="1"/>
  <c r="Q1369" i="1"/>
  <c r="U1368" i="1"/>
  <c r="T1368" i="1"/>
  <c r="S1368" i="1"/>
  <c r="R1368" i="1"/>
  <c r="Q1368" i="1"/>
  <c r="U1367" i="1"/>
  <c r="S1367" i="1"/>
  <c r="R1367" i="1"/>
  <c r="Q1367" i="1"/>
  <c r="T1367" i="1" s="1"/>
  <c r="U1366" i="1"/>
  <c r="T1366" i="1"/>
  <c r="R1366" i="1"/>
  <c r="Q1366" i="1"/>
  <c r="S1366" i="1" s="1"/>
  <c r="U1365" i="1"/>
  <c r="R1365" i="1"/>
  <c r="Q1365" i="1"/>
  <c r="T1365" i="1" s="1"/>
  <c r="U1364" i="1"/>
  <c r="R1364" i="1"/>
  <c r="Q1364" i="1"/>
  <c r="T1364" i="1" s="1"/>
  <c r="U1363" i="1"/>
  <c r="T1363" i="1"/>
  <c r="S1363" i="1"/>
  <c r="R1363" i="1"/>
  <c r="Q1363" i="1"/>
  <c r="U1362" i="1"/>
  <c r="T1362" i="1"/>
  <c r="R1362" i="1"/>
  <c r="Q1362" i="1"/>
  <c r="S1362" i="1" s="1"/>
  <c r="U1361" i="1"/>
  <c r="R1361" i="1"/>
  <c r="Q1361" i="1"/>
  <c r="U1360" i="1"/>
  <c r="T1360" i="1"/>
  <c r="S1360" i="1"/>
  <c r="R1360" i="1"/>
  <c r="Q1360" i="1"/>
  <c r="U1359" i="1"/>
  <c r="S1359" i="1"/>
  <c r="R1359" i="1"/>
  <c r="Q1359" i="1"/>
  <c r="T1359" i="1" s="1"/>
  <c r="U1358" i="1"/>
  <c r="T1358" i="1"/>
  <c r="S1358" i="1"/>
  <c r="R1358" i="1"/>
  <c r="Q1358" i="1"/>
  <c r="U1357" i="1"/>
  <c r="R1357" i="1"/>
  <c r="Q1357" i="1"/>
  <c r="T1357" i="1" s="1"/>
  <c r="U1356" i="1"/>
  <c r="R1356" i="1"/>
  <c r="Q1356" i="1"/>
  <c r="T1356" i="1" s="1"/>
  <c r="U1355" i="1"/>
  <c r="T1355" i="1"/>
  <c r="S1355" i="1"/>
  <c r="R1355" i="1"/>
  <c r="Q1355" i="1"/>
  <c r="U1354" i="1"/>
  <c r="T1354" i="1"/>
  <c r="R1354" i="1"/>
  <c r="Q1354" i="1"/>
  <c r="S1354" i="1" s="1"/>
  <c r="U1353" i="1"/>
  <c r="R1353" i="1"/>
  <c r="Q1353" i="1"/>
  <c r="U1352" i="1"/>
  <c r="T1352" i="1"/>
  <c r="S1352" i="1"/>
  <c r="R1352" i="1"/>
  <c r="Q1352" i="1"/>
  <c r="U1351" i="1"/>
  <c r="S1351" i="1"/>
  <c r="R1351" i="1"/>
  <c r="Q1351" i="1"/>
  <c r="T1351" i="1" s="1"/>
  <c r="U1350" i="1"/>
  <c r="T1350" i="1"/>
  <c r="S1350" i="1"/>
  <c r="R1350" i="1"/>
  <c r="Q1350" i="1"/>
  <c r="U1349" i="1"/>
  <c r="R1349" i="1"/>
  <c r="Q1349" i="1"/>
  <c r="T1349" i="1" s="1"/>
  <c r="U1348" i="1"/>
  <c r="R1348" i="1"/>
  <c r="Q1348" i="1"/>
  <c r="T1348" i="1" s="1"/>
  <c r="U1347" i="1"/>
  <c r="T1347" i="1"/>
  <c r="S1347" i="1"/>
  <c r="R1347" i="1"/>
  <c r="Q1347" i="1"/>
  <c r="U1346" i="1"/>
  <c r="T1346" i="1"/>
  <c r="R1346" i="1"/>
  <c r="Q1346" i="1"/>
  <c r="S1346" i="1" s="1"/>
  <c r="U1345" i="1"/>
  <c r="R1345" i="1"/>
  <c r="Q1345" i="1"/>
  <c r="U1344" i="1"/>
  <c r="T1344" i="1"/>
  <c r="S1344" i="1"/>
  <c r="R1344" i="1"/>
  <c r="Q1344" i="1"/>
  <c r="U1343" i="1"/>
  <c r="S1343" i="1"/>
  <c r="R1343" i="1"/>
  <c r="Q1343" i="1"/>
  <c r="T1343" i="1" s="1"/>
  <c r="U1342" i="1"/>
  <c r="T1342" i="1"/>
  <c r="R1342" i="1"/>
  <c r="Q1342" i="1"/>
  <c r="S1342" i="1" s="1"/>
  <c r="U1341" i="1"/>
  <c r="R1341" i="1"/>
  <c r="Q1341" i="1"/>
  <c r="T1341" i="1" s="1"/>
  <c r="U1340" i="1"/>
  <c r="R1340" i="1"/>
  <c r="Q1340" i="1"/>
  <c r="T1340" i="1" s="1"/>
  <c r="U1339" i="1"/>
  <c r="T1339" i="1"/>
  <c r="S1339" i="1"/>
  <c r="R1339" i="1"/>
  <c r="Q1339" i="1"/>
  <c r="U1338" i="1"/>
  <c r="R1338" i="1"/>
  <c r="Q1338" i="1"/>
  <c r="S1338" i="1" s="1"/>
  <c r="U1337" i="1"/>
  <c r="R1337" i="1"/>
  <c r="Q1337" i="1"/>
  <c r="U1336" i="1"/>
  <c r="T1336" i="1"/>
  <c r="S1336" i="1"/>
  <c r="R1336" i="1"/>
  <c r="Q1336" i="1"/>
  <c r="U1335" i="1"/>
  <c r="S1335" i="1"/>
  <c r="R1335" i="1"/>
  <c r="Q1335" i="1"/>
  <c r="T1335" i="1" s="1"/>
  <c r="U1334" i="1"/>
  <c r="T1334" i="1"/>
  <c r="S1334" i="1"/>
  <c r="R1334" i="1"/>
  <c r="Q1334" i="1"/>
  <c r="U1333" i="1"/>
  <c r="T1333" i="1"/>
  <c r="S1333" i="1"/>
  <c r="R1333" i="1"/>
  <c r="Q1333" i="1"/>
  <c r="U1332" i="1"/>
  <c r="R1332" i="1"/>
  <c r="Q1332" i="1"/>
  <c r="U1331" i="1"/>
  <c r="T1331" i="1"/>
  <c r="S1331" i="1"/>
  <c r="R1331" i="1"/>
  <c r="Q1331" i="1"/>
  <c r="U1330" i="1"/>
  <c r="R1330" i="1"/>
  <c r="Q1330" i="1"/>
  <c r="T1330" i="1" s="1"/>
  <c r="U1329" i="1"/>
  <c r="T1329" i="1"/>
  <c r="R1329" i="1"/>
  <c r="Q1329" i="1"/>
  <c r="S1329" i="1" s="1"/>
  <c r="U1328" i="1"/>
  <c r="S1328" i="1"/>
  <c r="R1328" i="1"/>
  <c r="Q1328" i="1"/>
  <c r="T1328" i="1" s="1"/>
  <c r="U1327" i="1"/>
  <c r="S1327" i="1"/>
  <c r="R1327" i="1"/>
  <c r="Q1327" i="1"/>
  <c r="T1327" i="1" s="1"/>
  <c r="U1326" i="1"/>
  <c r="T1326" i="1"/>
  <c r="S1326" i="1"/>
  <c r="R1326" i="1"/>
  <c r="Q1326" i="1"/>
  <c r="U1325" i="1"/>
  <c r="R1325" i="1"/>
  <c r="Q1325" i="1"/>
  <c r="T1325" i="1" s="1"/>
  <c r="U1324" i="1"/>
  <c r="S1324" i="1"/>
  <c r="R1324" i="1"/>
  <c r="Q1324" i="1"/>
  <c r="T1324" i="1" s="1"/>
  <c r="U1323" i="1"/>
  <c r="T1323" i="1"/>
  <c r="S1323" i="1"/>
  <c r="R1323" i="1"/>
  <c r="Q1323" i="1"/>
  <c r="U1322" i="1"/>
  <c r="S1322" i="1"/>
  <c r="R1322" i="1"/>
  <c r="Q1322" i="1"/>
  <c r="T1322" i="1" s="1"/>
  <c r="U1321" i="1"/>
  <c r="R1321" i="1"/>
  <c r="Q1321" i="1"/>
  <c r="U1320" i="1"/>
  <c r="R1320" i="1"/>
  <c r="Q1320" i="1"/>
  <c r="U1319" i="1"/>
  <c r="T1319" i="1"/>
  <c r="S1319" i="1"/>
  <c r="R1319" i="1"/>
  <c r="Q1319" i="1"/>
  <c r="U1318" i="1"/>
  <c r="S1318" i="1"/>
  <c r="R1318" i="1"/>
  <c r="Q1318" i="1"/>
  <c r="T1318" i="1" s="1"/>
  <c r="U1317" i="1"/>
  <c r="T1317" i="1"/>
  <c r="S1317" i="1"/>
  <c r="R1317" i="1"/>
  <c r="Q1317" i="1"/>
  <c r="U1316" i="1"/>
  <c r="R1316" i="1"/>
  <c r="Q1316" i="1"/>
  <c r="U1315" i="1"/>
  <c r="T1315" i="1"/>
  <c r="S1315" i="1"/>
  <c r="R1315" i="1"/>
  <c r="Q1315" i="1"/>
  <c r="U1314" i="1"/>
  <c r="T1314" i="1"/>
  <c r="S1314" i="1"/>
  <c r="R1314" i="1"/>
  <c r="Q1314" i="1"/>
  <c r="U1313" i="1"/>
  <c r="R1313" i="1"/>
  <c r="Q1313" i="1"/>
  <c r="S1313" i="1" s="1"/>
  <c r="U1312" i="1"/>
  <c r="T1312" i="1"/>
  <c r="R1312" i="1"/>
  <c r="Q1312" i="1"/>
  <c r="S1312" i="1" s="1"/>
  <c r="U1311" i="1"/>
  <c r="R1311" i="1"/>
  <c r="Q1311" i="1"/>
  <c r="S1311" i="1" s="1"/>
  <c r="U1310" i="1"/>
  <c r="R1310" i="1"/>
  <c r="Q1310" i="1"/>
  <c r="U1309" i="1"/>
  <c r="T1309" i="1"/>
  <c r="S1309" i="1"/>
  <c r="R1309" i="1"/>
  <c r="Q1309" i="1"/>
  <c r="U1308" i="1"/>
  <c r="R1308" i="1"/>
  <c r="Q1308" i="1"/>
  <c r="T1308" i="1" s="1"/>
  <c r="U1307" i="1"/>
  <c r="T1307" i="1"/>
  <c r="R1307" i="1"/>
  <c r="Q1307" i="1"/>
  <c r="S1307" i="1" s="1"/>
  <c r="U1306" i="1"/>
  <c r="T1306" i="1"/>
  <c r="R1306" i="1"/>
  <c r="Q1306" i="1"/>
  <c r="S1306" i="1" s="1"/>
  <c r="U1305" i="1"/>
  <c r="R1305" i="1"/>
  <c r="Q1305" i="1"/>
  <c r="U1304" i="1"/>
  <c r="T1304" i="1"/>
  <c r="S1304" i="1"/>
  <c r="R1304" i="1"/>
  <c r="Q1304" i="1"/>
  <c r="U1303" i="1"/>
  <c r="S1303" i="1"/>
  <c r="R1303" i="1"/>
  <c r="Q1303" i="1"/>
  <c r="T1303" i="1" s="1"/>
  <c r="U1302" i="1"/>
  <c r="T1302" i="1"/>
  <c r="S1302" i="1"/>
  <c r="R1302" i="1"/>
  <c r="Q1302" i="1"/>
  <c r="U1301" i="1"/>
  <c r="T1301" i="1"/>
  <c r="S1301" i="1"/>
  <c r="R1301" i="1"/>
  <c r="Q1301" i="1"/>
  <c r="U1300" i="1"/>
  <c r="R1300" i="1"/>
  <c r="Q1300" i="1"/>
  <c r="T1300" i="1" s="1"/>
  <c r="U1299" i="1"/>
  <c r="T1299" i="1"/>
  <c r="R1299" i="1"/>
  <c r="Q1299" i="1"/>
  <c r="S1299" i="1" s="1"/>
  <c r="U1298" i="1"/>
  <c r="T1298" i="1"/>
  <c r="R1298" i="1"/>
  <c r="Q1298" i="1"/>
  <c r="S1298" i="1" s="1"/>
  <c r="U1297" i="1"/>
  <c r="R1297" i="1"/>
  <c r="Q1297" i="1"/>
  <c r="U1296" i="1"/>
  <c r="T1296" i="1"/>
  <c r="S1296" i="1"/>
  <c r="R1296" i="1"/>
  <c r="Q1296" i="1"/>
  <c r="U1295" i="1"/>
  <c r="S1295" i="1"/>
  <c r="R1295" i="1"/>
  <c r="Q1295" i="1"/>
  <c r="T1295" i="1" s="1"/>
  <c r="U1294" i="1"/>
  <c r="T1294" i="1"/>
  <c r="S1294" i="1"/>
  <c r="R1294" i="1"/>
  <c r="Q1294" i="1"/>
  <c r="U1293" i="1"/>
  <c r="T1293" i="1"/>
  <c r="S1293" i="1"/>
  <c r="R1293" i="1"/>
  <c r="Q1293" i="1"/>
  <c r="U1292" i="1"/>
  <c r="R1292" i="1"/>
  <c r="Q1292" i="1"/>
  <c r="T1292" i="1" s="1"/>
  <c r="U1291" i="1"/>
  <c r="T1291" i="1"/>
  <c r="R1291" i="1"/>
  <c r="Q1291" i="1"/>
  <c r="S1291" i="1" s="1"/>
  <c r="U1290" i="1"/>
  <c r="R1290" i="1"/>
  <c r="Q1290" i="1"/>
  <c r="U1289" i="1"/>
  <c r="R1289" i="1"/>
  <c r="Q1289" i="1"/>
  <c r="U1288" i="1"/>
  <c r="T1288" i="1"/>
  <c r="S1288" i="1"/>
  <c r="R1288" i="1"/>
  <c r="Q1288" i="1"/>
  <c r="U1287" i="1"/>
  <c r="S1287" i="1"/>
  <c r="R1287" i="1"/>
  <c r="Q1287" i="1"/>
  <c r="T1287" i="1" s="1"/>
  <c r="U1286" i="1"/>
  <c r="T1286" i="1"/>
  <c r="S1286" i="1"/>
  <c r="R1286" i="1"/>
  <c r="Q1286" i="1"/>
  <c r="U1285" i="1"/>
  <c r="T1285" i="1"/>
  <c r="S1285" i="1"/>
  <c r="R1285" i="1"/>
  <c r="Q1285" i="1"/>
  <c r="U1284" i="1"/>
  <c r="R1284" i="1"/>
  <c r="Q1284" i="1"/>
  <c r="T1284" i="1" s="1"/>
  <c r="U1283" i="1"/>
  <c r="T1283" i="1"/>
  <c r="R1283" i="1"/>
  <c r="Q1283" i="1"/>
  <c r="S1283" i="1" s="1"/>
  <c r="U1282" i="1"/>
  <c r="R1282" i="1"/>
  <c r="Q1282" i="1"/>
  <c r="S1282" i="1" s="1"/>
  <c r="U1281" i="1"/>
  <c r="R1281" i="1"/>
  <c r="Q1281" i="1"/>
  <c r="U1280" i="1"/>
  <c r="T1280" i="1"/>
  <c r="S1280" i="1"/>
  <c r="R1280" i="1"/>
  <c r="Q1280" i="1"/>
  <c r="U1279" i="1"/>
  <c r="S1279" i="1"/>
  <c r="R1279" i="1"/>
  <c r="Q1279" i="1"/>
  <c r="T1279" i="1" s="1"/>
  <c r="U1278" i="1"/>
  <c r="T1278" i="1"/>
  <c r="S1278" i="1"/>
  <c r="R1278" i="1"/>
  <c r="Q1278" i="1"/>
  <c r="U1277" i="1"/>
  <c r="T1277" i="1"/>
  <c r="S1277" i="1"/>
  <c r="R1277" i="1"/>
  <c r="Q1277" i="1"/>
  <c r="U1276" i="1"/>
  <c r="R1276" i="1"/>
  <c r="Q1276" i="1"/>
  <c r="T1276" i="1" s="1"/>
  <c r="U1275" i="1"/>
  <c r="T1275" i="1"/>
  <c r="R1275" i="1"/>
  <c r="Q1275" i="1"/>
  <c r="S1275" i="1" s="1"/>
  <c r="U1274" i="1"/>
  <c r="T1274" i="1"/>
  <c r="R1274" i="1"/>
  <c r="Q1274" i="1"/>
  <c r="S1274" i="1" s="1"/>
  <c r="U1273" i="1"/>
  <c r="R1273" i="1"/>
  <c r="Q1273" i="1"/>
  <c r="U1272" i="1"/>
  <c r="T1272" i="1"/>
  <c r="S1272" i="1"/>
  <c r="R1272" i="1"/>
  <c r="Q1272" i="1"/>
  <c r="U1271" i="1"/>
  <c r="S1271" i="1"/>
  <c r="R1271" i="1"/>
  <c r="Q1271" i="1"/>
  <c r="T1271" i="1" s="1"/>
  <c r="U1270" i="1"/>
  <c r="T1270" i="1"/>
  <c r="S1270" i="1"/>
  <c r="R1270" i="1"/>
  <c r="Q1270" i="1"/>
  <c r="U1269" i="1"/>
  <c r="T1269" i="1"/>
  <c r="S1269" i="1"/>
  <c r="R1269" i="1"/>
  <c r="Q1269" i="1"/>
  <c r="U1268" i="1"/>
  <c r="R1268" i="1"/>
  <c r="Q1268" i="1"/>
  <c r="T1268" i="1" s="1"/>
  <c r="U1267" i="1"/>
  <c r="T1267" i="1"/>
  <c r="R1267" i="1"/>
  <c r="Q1267" i="1"/>
  <c r="S1267" i="1" s="1"/>
  <c r="U1266" i="1"/>
  <c r="R1266" i="1"/>
  <c r="Q1266" i="1"/>
  <c r="S1266" i="1" s="1"/>
  <c r="U1265" i="1"/>
  <c r="R1265" i="1"/>
  <c r="Q1265" i="1"/>
  <c r="U1264" i="1"/>
  <c r="T1264" i="1"/>
  <c r="S1264" i="1"/>
  <c r="R1264" i="1"/>
  <c r="Q1264" i="1"/>
  <c r="U1263" i="1"/>
  <c r="S1263" i="1"/>
  <c r="R1263" i="1"/>
  <c r="Q1263" i="1"/>
  <c r="T1263" i="1" s="1"/>
  <c r="U1262" i="1"/>
  <c r="T1262" i="1"/>
  <c r="S1262" i="1"/>
  <c r="R1262" i="1"/>
  <c r="Q1262" i="1"/>
  <c r="U1261" i="1"/>
  <c r="T1261" i="1"/>
  <c r="S1261" i="1"/>
  <c r="R1261" i="1"/>
  <c r="Q1261" i="1"/>
  <c r="U1260" i="1"/>
  <c r="R1260" i="1"/>
  <c r="Q1260" i="1"/>
  <c r="T1260" i="1" s="1"/>
  <c r="U1259" i="1"/>
  <c r="T1259" i="1"/>
  <c r="R1259" i="1"/>
  <c r="Q1259" i="1"/>
  <c r="S1259" i="1" s="1"/>
  <c r="U1258" i="1"/>
  <c r="T1258" i="1"/>
  <c r="R1258" i="1"/>
  <c r="Q1258" i="1"/>
  <c r="S1258" i="1" s="1"/>
  <c r="U1257" i="1"/>
  <c r="R1257" i="1"/>
  <c r="Q1257" i="1"/>
  <c r="U1256" i="1"/>
  <c r="T1256" i="1"/>
  <c r="S1256" i="1"/>
  <c r="R1256" i="1"/>
  <c r="Q1256" i="1"/>
  <c r="U1255" i="1"/>
  <c r="S1255" i="1"/>
  <c r="R1255" i="1"/>
  <c r="Q1255" i="1"/>
  <c r="T1255" i="1" s="1"/>
  <c r="U1254" i="1"/>
  <c r="T1254" i="1"/>
  <c r="S1254" i="1"/>
  <c r="R1254" i="1"/>
  <c r="Q1254" i="1"/>
  <c r="U1253" i="1"/>
  <c r="T1253" i="1"/>
  <c r="S1253" i="1"/>
  <c r="R1253" i="1"/>
  <c r="Q1253" i="1"/>
  <c r="U1252" i="1"/>
  <c r="R1252" i="1"/>
  <c r="Q1252" i="1"/>
  <c r="T1252" i="1" s="1"/>
  <c r="U1251" i="1"/>
  <c r="T1251" i="1"/>
  <c r="R1251" i="1"/>
  <c r="Q1251" i="1"/>
  <c r="S1251" i="1" s="1"/>
  <c r="U1250" i="1"/>
  <c r="T1250" i="1"/>
  <c r="R1250" i="1"/>
  <c r="Q1250" i="1"/>
  <c r="S1250" i="1" s="1"/>
  <c r="U1249" i="1"/>
  <c r="R1249" i="1"/>
  <c r="Q1249" i="1"/>
  <c r="U1248" i="1"/>
  <c r="T1248" i="1"/>
  <c r="S1248" i="1"/>
  <c r="R1248" i="1"/>
  <c r="Q1248" i="1"/>
  <c r="U1247" i="1"/>
  <c r="S1247" i="1"/>
  <c r="R1247" i="1"/>
  <c r="Q1247" i="1"/>
  <c r="T1247" i="1" s="1"/>
  <c r="U1246" i="1"/>
  <c r="T1246" i="1"/>
  <c r="S1246" i="1"/>
  <c r="R1246" i="1"/>
  <c r="Q1246" i="1"/>
  <c r="U1245" i="1"/>
  <c r="T1245" i="1"/>
  <c r="S1245" i="1"/>
  <c r="R1245" i="1"/>
  <c r="Q1245" i="1"/>
  <c r="U1244" i="1"/>
  <c r="R1244" i="1"/>
  <c r="Q1244" i="1"/>
  <c r="T1244" i="1" s="1"/>
  <c r="U1243" i="1"/>
  <c r="T1243" i="1"/>
  <c r="R1243" i="1"/>
  <c r="Q1243" i="1"/>
  <c r="S1243" i="1" s="1"/>
  <c r="U1242" i="1"/>
  <c r="T1242" i="1"/>
  <c r="R1242" i="1"/>
  <c r="Q1242" i="1"/>
  <c r="S1242" i="1" s="1"/>
  <c r="U1241" i="1"/>
  <c r="R1241" i="1"/>
  <c r="Q1241" i="1"/>
  <c r="U1240" i="1"/>
  <c r="T1240" i="1"/>
  <c r="S1240" i="1"/>
  <c r="R1240" i="1"/>
  <c r="Q1240" i="1"/>
  <c r="U1239" i="1"/>
  <c r="S1239" i="1"/>
  <c r="R1239" i="1"/>
  <c r="Q1239" i="1"/>
  <c r="T1239" i="1" s="1"/>
  <c r="U1238" i="1"/>
  <c r="T1238" i="1"/>
  <c r="S1238" i="1"/>
  <c r="R1238" i="1"/>
  <c r="Q1238" i="1"/>
  <c r="U1237" i="1"/>
  <c r="T1237" i="1"/>
  <c r="S1237" i="1"/>
  <c r="R1237" i="1"/>
  <c r="Q1237" i="1"/>
  <c r="U1236" i="1"/>
  <c r="R1236" i="1"/>
  <c r="Q1236" i="1"/>
  <c r="T1236" i="1" s="1"/>
  <c r="U1235" i="1"/>
  <c r="T1235" i="1"/>
  <c r="R1235" i="1"/>
  <c r="Q1235" i="1"/>
  <c r="S1235" i="1" s="1"/>
  <c r="U1234" i="1"/>
  <c r="T1234" i="1"/>
  <c r="R1234" i="1"/>
  <c r="Q1234" i="1"/>
  <c r="S1234" i="1" s="1"/>
  <c r="U1233" i="1"/>
  <c r="R1233" i="1"/>
  <c r="Q1233" i="1"/>
  <c r="U1232" i="1"/>
  <c r="T1232" i="1"/>
  <c r="S1232" i="1"/>
  <c r="R1232" i="1"/>
  <c r="Q1232" i="1"/>
  <c r="U1231" i="1"/>
  <c r="S1231" i="1"/>
  <c r="R1231" i="1"/>
  <c r="Q1231" i="1"/>
  <c r="T1231" i="1" s="1"/>
  <c r="U1230" i="1"/>
  <c r="T1230" i="1"/>
  <c r="S1230" i="1"/>
  <c r="R1230" i="1"/>
  <c r="Q1230" i="1"/>
  <c r="U1229" i="1"/>
  <c r="T1229" i="1"/>
  <c r="S1229" i="1"/>
  <c r="R1229" i="1"/>
  <c r="Q1229" i="1"/>
  <c r="U1228" i="1"/>
  <c r="R1228" i="1"/>
  <c r="Q1228" i="1"/>
  <c r="T1228" i="1" s="1"/>
  <c r="U1227" i="1"/>
  <c r="T1227" i="1"/>
  <c r="R1227" i="1"/>
  <c r="Q1227" i="1"/>
  <c r="S1227" i="1" s="1"/>
  <c r="U1226" i="1"/>
  <c r="R1226" i="1"/>
  <c r="Q1226" i="1"/>
  <c r="U1225" i="1"/>
  <c r="R1225" i="1"/>
  <c r="Q1225" i="1"/>
  <c r="U1224" i="1"/>
  <c r="T1224" i="1"/>
  <c r="S1224" i="1"/>
  <c r="R1224" i="1"/>
  <c r="Q1224" i="1"/>
  <c r="U1223" i="1"/>
  <c r="S1223" i="1"/>
  <c r="R1223" i="1"/>
  <c r="Q1223" i="1"/>
  <c r="T1223" i="1" s="1"/>
  <c r="U1222" i="1"/>
  <c r="T1222" i="1"/>
  <c r="S1222" i="1"/>
  <c r="R1222" i="1"/>
  <c r="Q1222" i="1"/>
  <c r="U1221" i="1"/>
  <c r="T1221" i="1"/>
  <c r="S1221" i="1"/>
  <c r="R1221" i="1"/>
  <c r="Q1221" i="1"/>
  <c r="U1220" i="1"/>
  <c r="R1220" i="1"/>
  <c r="Q1220" i="1"/>
  <c r="T1220" i="1" s="1"/>
  <c r="U1219" i="1"/>
  <c r="T1219" i="1"/>
  <c r="R1219" i="1"/>
  <c r="Q1219" i="1"/>
  <c r="S1219" i="1" s="1"/>
  <c r="U1218" i="1"/>
  <c r="R1218" i="1"/>
  <c r="Q1218" i="1"/>
  <c r="S1218" i="1" s="1"/>
  <c r="U1217" i="1"/>
  <c r="R1217" i="1"/>
  <c r="Q1217" i="1"/>
  <c r="U1216" i="1"/>
  <c r="T1216" i="1"/>
  <c r="S1216" i="1"/>
  <c r="R1216" i="1"/>
  <c r="Q1216" i="1"/>
  <c r="U1215" i="1"/>
  <c r="S1215" i="1"/>
  <c r="R1215" i="1"/>
  <c r="Q1215" i="1"/>
  <c r="T1215" i="1" s="1"/>
  <c r="U1214" i="1"/>
  <c r="T1214" i="1"/>
  <c r="S1214" i="1"/>
  <c r="R1214" i="1"/>
  <c r="Q1214" i="1"/>
  <c r="U1213" i="1"/>
  <c r="T1213" i="1"/>
  <c r="S1213" i="1"/>
  <c r="R1213" i="1"/>
  <c r="Q1213" i="1"/>
  <c r="U1212" i="1"/>
  <c r="R1212" i="1"/>
  <c r="Q1212" i="1"/>
  <c r="T1212" i="1" s="1"/>
  <c r="U1211" i="1"/>
  <c r="T1211" i="1"/>
  <c r="R1211" i="1"/>
  <c r="Q1211" i="1"/>
  <c r="S1211" i="1" s="1"/>
  <c r="U1210" i="1"/>
  <c r="T1210" i="1"/>
  <c r="R1210" i="1"/>
  <c r="Q1210" i="1"/>
  <c r="S1210" i="1" s="1"/>
  <c r="U1209" i="1"/>
  <c r="R1209" i="1"/>
  <c r="Q1209" i="1"/>
  <c r="U1208" i="1"/>
  <c r="T1208" i="1"/>
  <c r="S1208" i="1"/>
  <c r="R1208" i="1"/>
  <c r="Q1208" i="1"/>
  <c r="U1207" i="1"/>
  <c r="S1207" i="1"/>
  <c r="R1207" i="1"/>
  <c r="Q1207" i="1"/>
  <c r="T1207" i="1" s="1"/>
  <c r="U1206" i="1"/>
  <c r="T1206" i="1"/>
  <c r="S1206" i="1"/>
  <c r="R1206" i="1"/>
  <c r="Q1206" i="1"/>
  <c r="U1205" i="1"/>
  <c r="T1205" i="1"/>
  <c r="S1205" i="1"/>
  <c r="R1205" i="1"/>
  <c r="Q1205" i="1"/>
  <c r="U1204" i="1"/>
  <c r="R1204" i="1"/>
  <c r="Q1204" i="1"/>
  <c r="T1204" i="1" s="1"/>
  <c r="U1203" i="1"/>
  <c r="T1203" i="1"/>
  <c r="R1203" i="1"/>
  <c r="Q1203" i="1"/>
  <c r="S1203" i="1" s="1"/>
  <c r="U1202" i="1"/>
  <c r="R1202" i="1"/>
  <c r="Q1202" i="1"/>
  <c r="S1202" i="1" s="1"/>
  <c r="U1201" i="1"/>
  <c r="R1201" i="1"/>
  <c r="Q1201" i="1"/>
  <c r="U1200" i="1"/>
  <c r="T1200" i="1"/>
  <c r="S1200" i="1"/>
  <c r="R1200" i="1"/>
  <c r="Q1200" i="1"/>
  <c r="U1199" i="1"/>
  <c r="S1199" i="1"/>
  <c r="R1199" i="1"/>
  <c r="Q1199" i="1"/>
  <c r="T1199" i="1" s="1"/>
  <c r="U1198" i="1"/>
  <c r="T1198" i="1"/>
  <c r="S1198" i="1"/>
  <c r="R1198" i="1"/>
  <c r="Q1198" i="1"/>
  <c r="U1197" i="1"/>
  <c r="T1197" i="1"/>
  <c r="S1197" i="1"/>
  <c r="R1197" i="1"/>
  <c r="Q1197" i="1"/>
  <c r="U1196" i="1"/>
  <c r="R1196" i="1"/>
  <c r="Q1196" i="1"/>
  <c r="T1196" i="1" s="1"/>
  <c r="U1195" i="1"/>
  <c r="T1195" i="1"/>
  <c r="R1195" i="1"/>
  <c r="Q1195" i="1"/>
  <c r="S1195" i="1" s="1"/>
  <c r="U1194" i="1"/>
  <c r="T1194" i="1"/>
  <c r="R1194" i="1"/>
  <c r="Q1194" i="1"/>
  <c r="S1194" i="1" s="1"/>
  <c r="U1193" i="1"/>
  <c r="R1193" i="1"/>
  <c r="Q1193" i="1"/>
  <c r="U1192" i="1"/>
  <c r="T1192" i="1"/>
  <c r="S1192" i="1"/>
  <c r="R1192" i="1"/>
  <c r="Q1192" i="1"/>
  <c r="U1191" i="1"/>
  <c r="S1191" i="1"/>
  <c r="R1191" i="1"/>
  <c r="Q1191" i="1"/>
  <c r="T1191" i="1" s="1"/>
  <c r="U1190" i="1"/>
  <c r="T1190" i="1"/>
  <c r="S1190" i="1"/>
  <c r="R1190" i="1"/>
  <c r="Q1190" i="1"/>
  <c r="U1189" i="1"/>
  <c r="T1189" i="1"/>
  <c r="S1189" i="1"/>
  <c r="R1189" i="1"/>
  <c r="Q1189" i="1"/>
  <c r="U1188" i="1"/>
  <c r="R1188" i="1"/>
  <c r="Q1188" i="1"/>
  <c r="T1188" i="1" s="1"/>
  <c r="U1187" i="1"/>
  <c r="T1187" i="1"/>
  <c r="R1187" i="1"/>
  <c r="Q1187" i="1"/>
  <c r="S1187" i="1" s="1"/>
  <c r="U1186" i="1"/>
  <c r="T1186" i="1"/>
  <c r="R1186" i="1"/>
  <c r="Q1186" i="1"/>
  <c r="S1186" i="1" s="1"/>
  <c r="U1185" i="1"/>
  <c r="R1185" i="1"/>
  <c r="Q1185" i="1"/>
  <c r="U1184" i="1"/>
  <c r="T1184" i="1"/>
  <c r="S1184" i="1"/>
  <c r="R1184" i="1"/>
  <c r="Q1184" i="1"/>
  <c r="U1183" i="1"/>
  <c r="S1183" i="1"/>
  <c r="R1183" i="1"/>
  <c r="Q1183" i="1"/>
  <c r="T1183" i="1" s="1"/>
  <c r="U1182" i="1"/>
  <c r="T1182" i="1"/>
  <c r="S1182" i="1"/>
  <c r="R1182" i="1"/>
  <c r="Q1182" i="1"/>
  <c r="U1181" i="1"/>
  <c r="T1181" i="1"/>
  <c r="S1181" i="1"/>
  <c r="R1181" i="1"/>
  <c r="Q1181" i="1"/>
  <c r="U1180" i="1"/>
  <c r="R1180" i="1"/>
  <c r="Q1180" i="1"/>
  <c r="T1180" i="1" s="1"/>
  <c r="U1179" i="1"/>
  <c r="T1179" i="1"/>
  <c r="R1179" i="1"/>
  <c r="Q1179" i="1"/>
  <c r="S1179" i="1" s="1"/>
  <c r="U1178" i="1"/>
  <c r="T1178" i="1"/>
  <c r="R1178" i="1"/>
  <c r="Q1178" i="1"/>
  <c r="S1178" i="1" s="1"/>
  <c r="U1177" i="1"/>
  <c r="R1177" i="1"/>
  <c r="Q1177" i="1"/>
  <c r="U1176" i="1"/>
  <c r="T1176" i="1"/>
  <c r="S1176" i="1"/>
  <c r="R1176" i="1"/>
  <c r="Q1176" i="1"/>
  <c r="U1175" i="1"/>
  <c r="S1175" i="1"/>
  <c r="R1175" i="1"/>
  <c r="Q1175" i="1"/>
  <c r="T1175" i="1" s="1"/>
  <c r="U1174" i="1"/>
  <c r="S1174" i="1"/>
  <c r="R1174" i="1"/>
  <c r="Q1174" i="1"/>
  <c r="T1174" i="1" s="1"/>
  <c r="U1173" i="1"/>
  <c r="T1173" i="1"/>
  <c r="S1173" i="1"/>
  <c r="R1173" i="1"/>
  <c r="Q1173" i="1"/>
  <c r="U1172" i="1"/>
  <c r="R1172" i="1"/>
  <c r="Q1172" i="1"/>
  <c r="T1172" i="1" s="1"/>
  <c r="U1171" i="1"/>
  <c r="T1171" i="1"/>
  <c r="R1171" i="1"/>
  <c r="Q1171" i="1"/>
  <c r="S1171" i="1" s="1"/>
  <c r="U1170" i="1"/>
  <c r="T1170" i="1"/>
  <c r="R1170" i="1"/>
  <c r="Q1170" i="1"/>
  <c r="S1170" i="1" s="1"/>
  <c r="U1169" i="1"/>
  <c r="R1169" i="1"/>
  <c r="Q1169" i="1"/>
  <c r="U1168" i="1"/>
  <c r="T1168" i="1"/>
  <c r="S1168" i="1"/>
  <c r="R1168" i="1"/>
  <c r="Q1168" i="1"/>
  <c r="U1167" i="1"/>
  <c r="S1167" i="1"/>
  <c r="R1167" i="1"/>
  <c r="Q1167" i="1"/>
  <c r="T1167" i="1" s="1"/>
  <c r="U1166" i="1"/>
  <c r="S1166" i="1"/>
  <c r="R1166" i="1"/>
  <c r="Q1166" i="1"/>
  <c r="T1166" i="1" s="1"/>
  <c r="U1165" i="1"/>
  <c r="T1165" i="1"/>
  <c r="S1165" i="1"/>
  <c r="R1165" i="1"/>
  <c r="Q1165" i="1"/>
  <c r="U1164" i="1"/>
  <c r="R1164" i="1"/>
  <c r="Q1164" i="1"/>
  <c r="T1164" i="1" s="1"/>
  <c r="U1163" i="1"/>
  <c r="T1163" i="1"/>
  <c r="R1163" i="1"/>
  <c r="Q1163" i="1"/>
  <c r="S1163" i="1" s="1"/>
  <c r="U1162" i="1"/>
  <c r="T1162" i="1"/>
  <c r="R1162" i="1"/>
  <c r="Q1162" i="1"/>
  <c r="S1162" i="1" s="1"/>
  <c r="U1161" i="1"/>
  <c r="R1161" i="1"/>
  <c r="Q1161" i="1"/>
  <c r="U1160" i="1"/>
  <c r="T1160" i="1"/>
  <c r="S1160" i="1"/>
  <c r="R1160" i="1"/>
  <c r="Q1160" i="1"/>
  <c r="U1159" i="1"/>
  <c r="S1159" i="1"/>
  <c r="R1159" i="1"/>
  <c r="Q1159" i="1"/>
  <c r="T1159" i="1" s="1"/>
  <c r="U1158" i="1"/>
  <c r="S1158" i="1"/>
  <c r="R1158" i="1"/>
  <c r="Q1158" i="1"/>
  <c r="T1158" i="1" s="1"/>
  <c r="U1157" i="1"/>
  <c r="T1157" i="1"/>
  <c r="S1157" i="1"/>
  <c r="R1157" i="1"/>
  <c r="Q1157" i="1"/>
  <c r="U1156" i="1"/>
  <c r="R1156" i="1"/>
  <c r="Q1156" i="1"/>
  <c r="T1156" i="1" s="1"/>
  <c r="U1155" i="1"/>
  <c r="T1155" i="1"/>
  <c r="R1155" i="1"/>
  <c r="Q1155" i="1"/>
  <c r="S1155" i="1" s="1"/>
  <c r="U1154" i="1"/>
  <c r="T1154" i="1"/>
  <c r="R1154" i="1"/>
  <c r="Q1154" i="1"/>
  <c r="S1154" i="1" s="1"/>
  <c r="U1153" i="1"/>
  <c r="R1153" i="1"/>
  <c r="Q1153" i="1"/>
  <c r="U1152" i="1"/>
  <c r="T1152" i="1"/>
  <c r="S1152" i="1"/>
  <c r="R1152" i="1"/>
  <c r="Q1152" i="1"/>
  <c r="U1151" i="1"/>
  <c r="S1151" i="1"/>
  <c r="R1151" i="1"/>
  <c r="Q1151" i="1"/>
  <c r="T1151" i="1" s="1"/>
  <c r="U1150" i="1"/>
  <c r="S1150" i="1"/>
  <c r="R1150" i="1"/>
  <c r="Q1150" i="1"/>
  <c r="T1150" i="1" s="1"/>
  <c r="U1149" i="1"/>
  <c r="T1149" i="1"/>
  <c r="S1149" i="1"/>
  <c r="R1149" i="1"/>
  <c r="Q1149" i="1"/>
  <c r="U1148" i="1"/>
  <c r="R1148" i="1"/>
  <c r="Q1148" i="1"/>
  <c r="T1148" i="1" s="1"/>
  <c r="U1147" i="1"/>
  <c r="T1147" i="1"/>
  <c r="R1147" i="1"/>
  <c r="Q1147" i="1"/>
  <c r="S1147" i="1" s="1"/>
  <c r="U1146" i="1"/>
  <c r="T1146" i="1"/>
  <c r="R1146" i="1"/>
  <c r="Q1146" i="1"/>
  <c r="S1146" i="1" s="1"/>
  <c r="U1145" i="1"/>
  <c r="R1145" i="1"/>
  <c r="Q1145" i="1"/>
  <c r="U1144" i="1"/>
  <c r="T1144" i="1"/>
  <c r="S1144" i="1"/>
  <c r="R1144" i="1"/>
  <c r="Q1144" i="1"/>
  <c r="U1143" i="1"/>
  <c r="S1143" i="1"/>
  <c r="R1143" i="1"/>
  <c r="Q1143" i="1"/>
  <c r="T1143" i="1" s="1"/>
  <c r="U1142" i="1"/>
  <c r="T1142" i="1"/>
  <c r="S1142" i="1"/>
  <c r="R1142" i="1"/>
  <c r="Q1142" i="1"/>
  <c r="U1141" i="1"/>
  <c r="T1141" i="1"/>
  <c r="S1141" i="1"/>
  <c r="R1141" i="1"/>
  <c r="Q1141" i="1"/>
  <c r="U1140" i="1"/>
  <c r="R1140" i="1"/>
  <c r="Q1140" i="1"/>
  <c r="T1140" i="1" s="1"/>
  <c r="U1139" i="1"/>
  <c r="T1139" i="1"/>
  <c r="R1139" i="1"/>
  <c r="Q1139" i="1"/>
  <c r="S1139" i="1" s="1"/>
  <c r="U1138" i="1"/>
  <c r="T1138" i="1"/>
  <c r="R1138" i="1"/>
  <c r="Q1138" i="1"/>
  <c r="S1138" i="1" s="1"/>
  <c r="U1137" i="1"/>
  <c r="R1137" i="1"/>
  <c r="Q1137" i="1"/>
  <c r="U1136" i="1"/>
  <c r="T1136" i="1"/>
  <c r="S1136" i="1"/>
  <c r="R1136" i="1"/>
  <c r="Q1136" i="1"/>
  <c r="U1135" i="1"/>
  <c r="S1135" i="1"/>
  <c r="R1135" i="1"/>
  <c r="Q1135" i="1"/>
  <c r="T1135" i="1" s="1"/>
  <c r="U1134" i="1"/>
  <c r="T1134" i="1"/>
  <c r="S1134" i="1"/>
  <c r="R1134" i="1"/>
  <c r="Q1134" i="1"/>
  <c r="U1133" i="1"/>
  <c r="T1133" i="1"/>
  <c r="S1133" i="1"/>
  <c r="R1133" i="1"/>
  <c r="Q1133" i="1"/>
  <c r="U1132" i="1"/>
  <c r="R1132" i="1"/>
  <c r="Q1132" i="1"/>
  <c r="T1132" i="1" s="1"/>
  <c r="U1131" i="1"/>
  <c r="T1131" i="1"/>
  <c r="R1131" i="1"/>
  <c r="Q1131" i="1"/>
  <c r="S1131" i="1" s="1"/>
  <c r="U1130" i="1"/>
  <c r="R1130" i="1"/>
  <c r="Q1130" i="1"/>
  <c r="U1129" i="1"/>
  <c r="R1129" i="1"/>
  <c r="Q1129" i="1"/>
  <c r="U1128" i="1"/>
  <c r="T1128" i="1"/>
  <c r="S1128" i="1"/>
  <c r="R1128" i="1"/>
  <c r="Q1128" i="1"/>
  <c r="U1127" i="1"/>
  <c r="S1127" i="1"/>
  <c r="R1127" i="1"/>
  <c r="Q1127" i="1"/>
  <c r="T1127" i="1" s="1"/>
  <c r="U1126" i="1"/>
  <c r="T1126" i="1"/>
  <c r="S1126" i="1"/>
  <c r="R1126" i="1"/>
  <c r="Q1126" i="1"/>
  <c r="U1125" i="1"/>
  <c r="T1125" i="1"/>
  <c r="S1125" i="1"/>
  <c r="R1125" i="1"/>
  <c r="Q1125" i="1"/>
  <c r="U1124" i="1"/>
  <c r="R1124" i="1"/>
  <c r="Q1124" i="1"/>
  <c r="T1124" i="1" s="1"/>
  <c r="U1123" i="1"/>
  <c r="T1123" i="1"/>
  <c r="R1123" i="1"/>
  <c r="Q1123" i="1"/>
  <c r="S1123" i="1" s="1"/>
  <c r="U1122" i="1"/>
  <c r="R1122" i="1"/>
  <c r="Q1122" i="1"/>
  <c r="S1122" i="1" s="1"/>
  <c r="U1121" i="1"/>
  <c r="R1121" i="1"/>
  <c r="Q1121" i="1"/>
  <c r="U1120" i="1"/>
  <c r="T1120" i="1"/>
  <c r="S1120" i="1"/>
  <c r="R1120" i="1"/>
  <c r="Q1120" i="1"/>
  <c r="U1119" i="1"/>
  <c r="S1119" i="1"/>
  <c r="R1119" i="1"/>
  <c r="Q1119" i="1"/>
  <c r="T1119" i="1" s="1"/>
  <c r="U1118" i="1"/>
  <c r="T1118" i="1"/>
  <c r="S1118" i="1"/>
  <c r="R1118" i="1"/>
  <c r="Q1118" i="1"/>
  <c r="U1117" i="1"/>
  <c r="T1117" i="1"/>
  <c r="S1117" i="1"/>
  <c r="R1117" i="1"/>
  <c r="Q1117" i="1"/>
  <c r="U1116" i="1"/>
  <c r="R1116" i="1"/>
  <c r="Q1116" i="1"/>
  <c r="T1116" i="1" s="1"/>
  <c r="U1115" i="1"/>
  <c r="T1115" i="1"/>
  <c r="R1115" i="1"/>
  <c r="Q1115" i="1"/>
  <c r="S1115" i="1" s="1"/>
  <c r="U1114" i="1"/>
  <c r="T1114" i="1"/>
  <c r="R1114" i="1"/>
  <c r="Q1114" i="1"/>
  <c r="S1114" i="1" s="1"/>
  <c r="U1113" i="1"/>
  <c r="R1113" i="1"/>
  <c r="Q1113" i="1"/>
  <c r="U1112" i="1"/>
  <c r="T1112" i="1"/>
  <c r="S1112" i="1"/>
  <c r="R1112" i="1"/>
  <c r="Q1112" i="1"/>
  <c r="U1111" i="1"/>
  <c r="S1111" i="1"/>
  <c r="R1111" i="1"/>
  <c r="Q1111" i="1"/>
  <c r="T1111" i="1" s="1"/>
  <c r="U1110" i="1"/>
  <c r="S1110" i="1"/>
  <c r="R1110" i="1"/>
  <c r="Q1110" i="1"/>
  <c r="T1110" i="1" s="1"/>
  <c r="U1109" i="1"/>
  <c r="T1109" i="1"/>
  <c r="S1109" i="1"/>
  <c r="R1109" i="1"/>
  <c r="Q1109" i="1"/>
  <c r="U1108" i="1"/>
  <c r="R1108" i="1"/>
  <c r="Q1108" i="1"/>
  <c r="T1108" i="1" s="1"/>
  <c r="U1107" i="1"/>
  <c r="T1107" i="1"/>
  <c r="R1107" i="1"/>
  <c r="Q1107" i="1"/>
  <c r="S1107" i="1" s="1"/>
  <c r="U1106" i="1"/>
  <c r="T1106" i="1"/>
  <c r="R1106" i="1"/>
  <c r="Q1106" i="1"/>
  <c r="S1106" i="1" s="1"/>
  <c r="U1105" i="1"/>
  <c r="R1105" i="1"/>
  <c r="Q1105" i="1"/>
  <c r="U1104" i="1"/>
  <c r="T1104" i="1"/>
  <c r="S1104" i="1"/>
  <c r="R1104" i="1"/>
  <c r="Q1104" i="1"/>
  <c r="U1103" i="1"/>
  <c r="S1103" i="1"/>
  <c r="R1103" i="1"/>
  <c r="Q1103" i="1"/>
  <c r="T1103" i="1" s="1"/>
  <c r="U1102" i="1"/>
  <c r="S1102" i="1"/>
  <c r="R1102" i="1"/>
  <c r="Q1102" i="1"/>
  <c r="T1102" i="1" s="1"/>
  <c r="U1101" i="1"/>
  <c r="T1101" i="1"/>
  <c r="S1101" i="1"/>
  <c r="R1101" i="1"/>
  <c r="Q1101" i="1"/>
  <c r="U1100" i="1"/>
  <c r="R1100" i="1"/>
  <c r="Q1100" i="1"/>
  <c r="T1100" i="1" s="1"/>
  <c r="U1099" i="1"/>
  <c r="T1099" i="1"/>
  <c r="R1099" i="1"/>
  <c r="Q1099" i="1"/>
  <c r="S1099" i="1" s="1"/>
  <c r="U1098" i="1"/>
  <c r="T1098" i="1"/>
  <c r="R1098" i="1"/>
  <c r="Q1098" i="1"/>
  <c r="S1098" i="1" s="1"/>
  <c r="U1097" i="1"/>
  <c r="R1097" i="1"/>
  <c r="Q1097" i="1"/>
  <c r="U1096" i="1"/>
  <c r="T1096" i="1"/>
  <c r="S1096" i="1"/>
  <c r="R1096" i="1"/>
  <c r="Q1096" i="1"/>
  <c r="U1095" i="1"/>
  <c r="S1095" i="1"/>
  <c r="R1095" i="1"/>
  <c r="Q1095" i="1"/>
  <c r="T1095" i="1" s="1"/>
  <c r="U1094" i="1"/>
  <c r="S1094" i="1"/>
  <c r="R1094" i="1"/>
  <c r="Q1094" i="1"/>
  <c r="T1094" i="1" s="1"/>
  <c r="U1093" i="1"/>
  <c r="T1093" i="1"/>
  <c r="S1093" i="1"/>
  <c r="R1093" i="1"/>
  <c r="Q1093" i="1"/>
  <c r="U1092" i="1"/>
  <c r="R1092" i="1"/>
  <c r="Q1092" i="1"/>
  <c r="T1092" i="1" s="1"/>
  <c r="U1091" i="1"/>
  <c r="T1091" i="1"/>
  <c r="R1091" i="1"/>
  <c r="Q1091" i="1"/>
  <c r="S1091" i="1" s="1"/>
  <c r="U1090" i="1"/>
  <c r="T1090" i="1"/>
  <c r="R1090" i="1"/>
  <c r="Q1090" i="1"/>
  <c r="S1090" i="1" s="1"/>
  <c r="U1089" i="1"/>
  <c r="R1089" i="1"/>
  <c r="Q1089" i="1"/>
  <c r="U1088" i="1"/>
  <c r="T1088" i="1"/>
  <c r="S1088" i="1"/>
  <c r="R1088" i="1"/>
  <c r="Q1088" i="1"/>
  <c r="U1087" i="1"/>
  <c r="S1087" i="1"/>
  <c r="R1087" i="1"/>
  <c r="Q1087" i="1"/>
  <c r="T1087" i="1" s="1"/>
  <c r="U1086" i="1"/>
  <c r="S1086" i="1"/>
  <c r="R1086" i="1"/>
  <c r="Q1086" i="1"/>
  <c r="T1086" i="1" s="1"/>
  <c r="U1085" i="1"/>
  <c r="T1085" i="1"/>
  <c r="S1085" i="1"/>
  <c r="R1085" i="1"/>
  <c r="Q1085" i="1"/>
  <c r="U1084" i="1"/>
  <c r="R1084" i="1"/>
  <c r="Q1084" i="1"/>
  <c r="T1084" i="1" s="1"/>
  <c r="U1083" i="1"/>
  <c r="T1083" i="1"/>
  <c r="S1083" i="1"/>
  <c r="R1083" i="1"/>
  <c r="Q1083" i="1"/>
  <c r="U1082" i="1"/>
  <c r="R1082" i="1"/>
  <c r="Q1082" i="1"/>
  <c r="S1082" i="1" s="1"/>
  <c r="U1081" i="1"/>
  <c r="R1081" i="1"/>
  <c r="Q1081" i="1"/>
  <c r="U1080" i="1"/>
  <c r="T1080" i="1"/>
  <c r="S1080" i="1"/>
  <c r="R1080" i="1"/>
  <c r="Q1080" i="1"/>
  <c r="U1079" i="1"/>
  <c r="S1079" i="1"/>
  <c r="R1079" i="1"/>
  <c r="Q1079" i="1"/>
  <c r="T1079" i="1" s="1"/>
  <c r="U1078" i="1"/>
  <c r="T1078" i="1"/>
  <c r="S1078" i="1"/>
  <c r="R1078" i="1"/>
  <c r="Q1078" i="1"/>
  <c r="U1077" i="1"/>
  <c r="S1077" i="1"/>
  <c r="R1077" i="1"/>
  <c r="Q1077" i="1"/>
  <c r="T1077" i="1" s="1"/>
  <c r="U1076" i="1"/>
  <c r="R1076" i="1"/>
  <c r="Q1076" i="1"/>
  <c r="T1076" i="1" s="1"/>
  <c r="U1075" i="1"/>
  <c r="T1075" i="1"/>
  <c r="S1075" i="1"/>
  <c r="R1075" i="1"/>
  <c r="Q1075" i="1"/>
  <c r="U1074" i="1"/>
  <c r="T1074" i="1"/>
  <c r="R1074" i="1"/>
  <c r="Q1074" i="1"/>
  <c r="S1074" i="1" s="1"/>
  <c r="U1073" i="1"/>
  <c r="R1073" i="1"/>
  <c r="Q1073" i="1"/>
  <c r="U1072" i="1"/>
  <c r="T1072" i="1"/>
  <c r="S1072" i="1"/>
  <c r="R1072" i="1"/>
  <c r="Q1072" i="1"/>
  <c r="U1071" i="1"/>
  <c r="R1071" i="1"/>
  <c r="Q1071" i="1"/>
  <c r="U1070" i="1"/>
  <c r="T1070" i="1"/>
  <c r="S1070" i="1"/>
  <c r="R1070" i="1"/>
  <c r="Q1070" i="1"/>
  <c r="U1069" i="1"/>
  <c r="S1069" i="1"/>
  <c r="R1069" i="1"/>
  <c r="Q1069" i="1"/>
  <c r="T1069" i="1" s="1"/>
  <c r="U1068" i="1"/>
  <c r="R1068" i="1"/>
  <c r="Q1068" i="1"/>
  <c r="T1068" i="1" s="1"/>
  <c r="U1067" i="1"/>
  <c r="T1067" i="1"/>
  <c r="S1067" i="1"/>
  <c r="R1067" i="1"/>
  <c r="Q1067" i="1"/>
  <c r="U1066" i="1"/>
  <c r="T1066" i="1"/>
  <c r="R1066" i="1"/>
  <c r="Q1066" i="1"/>
  <c r="S1066" i="1" s="1"/>
  <c r="U1065" i="1"/>
  <c r="R1065" i="1"/>
  <c r="Q1065" i="1"/>
  <c r="U1064" i="1"/>
  <c r="T1064" i="1"/>
  <c r="S1064" i="1"/>
  <c r="R1064" i="1"/>
  <c r="Q1064" i="1"/>
  <c r="U1063" i="1"/>
  <c r="R1063" i="1"/>
  <c r="Q1063" i="1"/>
  <c r="T1063" i="1" s="1"/>
  <c r="U1062" i="1"/>
  <c r="T1062" i="1"/>
  <c r="S1062" i="1"/>
  <c r="R1062" i="1"/>
  <c r="Q1062" i="1"/>
  <c r="U1061" i="1"/>
  <c r="S1061" i="1"/>
  <c r="R1061" i="1"/>
  <c r="Q1061" i="1"/>
  <c r="T1061" i="1" s="1"/>
  <c r="U1060" i="1"/>
  <c r="R1060" i="1"/>
  <c r="Q1060" i="1"/>
  <c r="T1060" i="1" s="1"/>
  <c r="U1059" i="1"/>
  <c r="T1059" i="1"/>
  <c r="S1059" i="1"/>
  <c r="R1059" i="1"/>
  <c r="Q1059" i="1"/>
  <c r="U1058" i="1"/>
  <c r="R1058" i="1"/>
  <c r="Q1058" i="1"/>
  <c r="S1058" i="1" s="1"/>
  <c r="U1057" i="1"/>
  <c r="R1057" i="1"/>
  <c r="Q1057" i="1"/>
  <c r="U1056" i="1"/>
  <c r="T1056" i="1"/>
  <c r="S1056" i="1"/>
  <c r="R1056" i="1"/>
  <c r="Q1056" i="1"/>
  <c r="U1055" i="1"/>
  <c r="S1055" i="1"/>
  <c r="R1055" i="1"/>
  <c r="Q1055" i="1"/>
  <c r="T1055" i="1" s="1"/>
  <c r="U1054" i="1"/>
  <c r="T1054" i="1"/>
  <c r="S1054" i="1"/>
  <c r="R1054" i="1"/>
  <c r="Q1054" i="1"/>
  <c r="U1053" i="1"/>
  <c r="R1053" i="1"/>
  <c r="Q1053" i="1"/>
  <c r="T1053" i="1" s="1"/>
  <c r="U1052" i="1"/>
  <c r="R1052" i="1"/>
  <c r="Q1052" i="1"/>
  <c r="T1052" i="1" s="1"/>
  <c r="U1051" i="1"/>
  <c r="T1051" i="1"/>
  <c r="S1051" i="1"/>
  <c r="R1051" i="1"/>
  <c r="Q1051" i="1"/>
  <c r="U1050" i="1"/>
  <c r="T1050" i="1"/>
  <c r="R1050" i="1"/>
  <c r="Q1050" i="1"/>
  <c r="S1050" i="1" s="1"/>
  <c r="U1049" i="1"/>
  <c r="R1049" i="1"/>
  <c r="Q1049" i="1"/>
  <c r="S1049" i="1" s="1"/>
  <c r="U1048" i="1"/>
  <c r="R1048" i="1"/>
  <c r="Q1048" i="1"/>
  <c r="U1047" i="1"/>
  <c r="S1047" i="1"/>
  <c r="R1047" i="1"/>
  <c r="Q1047" i="1"/>
  <c r="T1047" i="1" s="1"/>
  <c r="U1046" i="1"/>
  <c r="T1046" i="1"/>
  <c r="S1046" i="1"/>
  <c r="R1046" i="1"/>
  <c r="Q1046" i="1"/>
  <c r="U1045" i="1"/>
  <c r="S1045" i="1"/>
  <c r="R1045" i="1"/>
  <c r="Q1045" i="1"/>
  <c r="T1045" i="1" s="1"/>
  <c r="U1044" i="1"/>
  <c r="R1044" i="1"/>
  <c r="Q1044" i="1"/>
  <c r="T1044" i="1" s="1"/>
  <c r="U1043" i="1"/>
  <c r="T1043" i="1"/>
  <c r="S1043" i="1"/>
  <c r="R1043" i="1"/>
  <c r="Q1043" i="1"/>
  <c r="U1042" i="1"/>
  <c r="R1042" i="1"/>
  <c r="Q1042" i="1"/>
  <c r="S1042" i="1" s="1"/>
  <c r="U1041" i="1"/>
  <c r="T1041" i="1"/>
  <c r="R1041" i="1"/>
  <c r="Q1041" i="1"/>
  <c r="S1041" i="1" s="1"/>
  <c r="U1040" i="1"/>
  <c r="S1040" i="1"/>
  <c r="R1040" i="1"/>
  <c r="Q1040" i="1"/>
  <c r="T1040" i="1" s="1"/>
  <c r="U1039" i="1"/>
  <c r="R1039" i="1"/>
  <c r="Q1039" i="1"/>
  <c r="T1039" i="1" s="1"/>
  <c r="U1038" i="1"/>
  <c r="T1038" i="1"/>
  <c r="S1038" i="1"/>
  <c r="R1038" i="1"/>
  <c r="Q1038" i="1"/>
  <c r="U1037" i="1"/>
  <c r="S1037" i="1"/>
  <c r="R1037" i="1"/>
  <c r="Q1037" i="1"/>
  <c r="T1037" i="1" s="1"/>
  <c r="U1036" i="1"/>
  <c r="R1036" i="1"/>
  <c r="Q1036" i="1"/>
  <c r="T1036" i="1" s="1"/>
  <c r="U1035" i="1"/>
  <c r="T1035" i="1"/>
  <c r="S1035" i="1"/>
  <c r="R1035" i="1"/>
  <c r="Q1035" i="1"/>
  <c r="U1034" i="1"/>
  <c r="R1034" i="1"/>
  <c r="Q1034" i="1"/>
  <c r="S1034" i="1" s="1"/>
  <c r="U1033" i="1"/>
  <c r="T1033" i="1"/>
  <c r="R1033" i="1"/>
  <c r="Q1033" i="1"/>
  <c r="S1033" i="1" s="1"/>
  <c r="U1032" i="1"/>
  <c r="T1032" i="1"/>
  <c r="S1032" i="1"/>
  <c r="R1032" i="1"/>
  <c r="Q1032" i="1"/>
  <c r="U1031" i="1"/>
  <c r="R1031" i="1"/>
  <c r="Q1031" i="1"/>
  <c r="U1030" i="1"/>
  <c r="T1030" i="1"/>
  <c r="S1030" i="1"/>
  <c r="R1030" i="1"/>
  <c r="Q1030" i="1"/>
  <c r="U1029" i="1"/>
  <c r="R1029" i="1"/>
  <c r="Q1029" i="1"/>
  <c r="T1029" i="1" s="1"/>
  <c r="U1028" i="1"/>
  <c r="R1028" i="1"/>
  <c r="Q1028" i="1"/>
  <c r="T1028" i="1" s="1"/>
  <c r="U1027" i="1"/>
  <c r="T1027" i="1"/>
  <c r="S1027" i="1"/>
  <c r="R1027" i="1"/>
  <c r="Q1027" i="1"/>
  <c r="U1026" i="1"/>
  <c r="T1026" i="1"/>
  <c r="R1026" i="1"/>
  <c r="Q1026" i="1"/>
  <c r="S1026" i="1" s="1"/>
  <c r="U1025" i="1"/>
  <c r="R1025" i="1"/>
  <c r="Q1025" i="1"/>
  <c r="S1025" i="1" s="1"/>
  <c r="U1024" i="1"/>
  <c r="T1024" i="1"/>
  <c r="R1024" i="1"/>
  <c r="Q1024" i="1"/>
  <c r="S1024" i="1" s="1"/>
  <c r="U1023" i="1"/>
  <c r="S1023" i="1"/>
  <c r="R1023" i="1"/>
  <c r="Q1023" i="1"/>
  <c r="T1023" i="1" s="1"/>
  <c r="U1022" i="1"/>
  <c r="T1022" i="1"/>
  <c r="S1022" i="1"/>
  <c r="R1022" i="1"/>
  <c r="Q1022" i="1"/>
  <c r="U1021" i="1"/>
  <c r="R1021" i="1"/>
  <c r="Q1021" i="1"/>
  <c r="T1021" i="1" s="1"/>
  <c r="U1020" i="1"/>
  <c r="R1020" i="1"/>
  <c r="Q1020" i="1"/>
  <c r="T1020" i="1" s="1"/>
  <c r="U1019" i="1"/>
  <c r="T1019" i="1"/>
  <c r="S1019" i="1"/>
  <c r="R1019" i="1"/>
  <c r="Q1019" i="1"/>
  <c r="U1018" i="1"/>
  <c r="T1018" i="1"/>
  <c r="R1018" i="1"/>
  <c r="Q1018" i="1"/>
  <c r="S1018" i="1" s="1"/>
  <c r="U1017" i="1"/>
  <c r="R1017" i="1"/>
  <c r="Q1017" i="1"/>
  <c r="S1017" i="1" s="1"/>
  <c r="U1016" i="1"/>
  <c r="R1016" i="1"/>
  <c r="Q1016" i="1"/>
  <c r="U1015" i="1"/>
  <c r="S1015" i="1"/>
  <c r="R1015" i="1"/>
  <c r="Q1015" i="1"/>
  <c r="T1015" i="1" s="1"/>
  <c r="U1014" i="1"/>
  <c r="T1014" i="1"/>
  <c r="S1014" i="1"/>
  <c r="R1014" i="1"/>
  <c r="Q1014" i="1"/>
  <c r="U1013" i="1"/>
  <c r="S1013" i="1"/>
  <c r="R1013" i="1"/>
  <c r="Q1013" i="1"/>
  <c r="T1013" i="1" s="1"/>
  <c r="U1012" i="1"/>
  <c r="R1012" i="1"/>
  <c r="Q1012" i="1"/>
  <c r="T1012" i="1" s="1"/>
  <c r="U1011" i="1"/>
  <c r="T1011" i="1"/>
  <c r="S1011" i="1"/>
  <c r="R1011" i="1"/>
  <c r="Q1011" i="1"/>
  <c r="U1010" i="1"/>
  <c r="R1010" i="1"/>
  <c r="Q1010" i="1"/>
  <c r="S1010" i="1" s="1"/>
  <c r="U1009" i="1"/>
  <c r="T1009" i="1"/>
  <c r="R1009" i="1"/>
  <c r="Q1009" i="1"/>
  <c r="S1009" i="1" s="1"/>
  <c r="U1008" i="1"/>
  <c r="S1008" i="1"/>
  <c r="R1008" i="1"/>
  <c r="Q1008" i="1"/>
  <c r="T1008" i="1" s="1"/>
  <c r="U1007" i="1"/>
  <c r="R1007" i="1"/>
  <c r="Q1007" i="1"/>
  <c r="T1007" i="1" s="1"/>
  <c r="U1006" i="1"/>
  <c r="T1006" i="1"/>
  <c r="S1006" i="1"/>
  <c r="R1006" i="1"/>
  <c r="Q1006" i="1"/>
  <c r="U1005" i="1"/>
  <c r="S1005" i="1"/>
  <c r="R1005" i="1"/>
  <c r="Q1005" i="1"/>
  <c r="T1005" i="1" s="1"/>
  <c r="U1004" i="1"/>
  <c r="R1004" i="1"/>
  <c r="Q1004" i="1"/>
  <c r="T1004" i="1" s="1"/>
  <c r="U1003" i="1"/>
  <c r="T1003" i="1"/>
  <c r="S1003" i="1"/>
  <c r="R1003" i="1"/>
  <c r="Q1003" i="1"/>
  <c r="U1002" i="1"/>
  <c r="R1002" i="1"/>
  <c r="Q1002" i="1"/>
  <c r="S1002" i="1" s="1"/>
  <c r="U1001" i="1"/>
  <c r="T1001" i="1"/>
  <c r="R1001" i="1"/>
  <c r="Q1001" i="1"/>
  <c r="S1001" i="1" s="1"/>
  <c r="U1000" i="1"/>
  <c r="T1000" i="1"/>
  <c r="S1000" i="1"/>
  <c r="R1000" i="1"/>
  <c r="Q1000" i="1"/>
  <c r="U999" i="1"/>
  <c r="R999" i="1"/>
  <c r="Q999" i="1"/>
  <c r="U998" i="1"/>
  <c r="T998" i="1"/>
  <c r="S998" i="1"/>
  <c r="R998" i="1"/>
  <c r="Q998" i="1"/>
  <c r="U997" i="1"/>
  <c r="S997" i="1"/>
  <c r="R997" i="1"/>
  <c r="Q997" i="1"/>
  <c r="T997" i="1" s="1"/>
  <c r="U996" i="1"/>
  <c r="R996" i="1"/>
  <c r="Q996" i="1"/>
  <c r="U995" i="1"/>
  <c r="T995" i="1"/>
  <c r="S995" i="1"/>
  <c r="R995" i="1"/>
  <c r="Q995" i="1"/>
  <c r="U994" i="1"/>
  <c r="S994" i="1"/>
  <c r="R994" i="1"/>
  <c r="Q994" i="1"/>
  <c r="T994" i="1" s="1"/>
  <c r="U993" i="1"/>
  <c r="R993" i="1"/>
  <c r="Q993" i="1"/>
  <c r="S993" i="1" s="1"/>
  <c r="U992" i="1"/>
  <c r="R992" i="1"/>
  <c r="Q992" i="1"/>
  <c r="U991" i="1"/>
  <c r="S991" i="1"/>
  <c r="R991" i="1"/>
  <c r="Q991" i="1"/>
  <c r="T991" i="1" s="1"/>
  <c r="U990" i="1"/>
  <c r="T990" i="1"/>
  <c r="S990" i="1"/>
  <c r="R990" i="1"/>
  <c r="Q990" i="1"/>
  <c r="U989" i="1"/>
  <c r="T989" i="1"/>
  <c r="S989" i="1"/>
  <c r="R989" i="1"/>
  <c r="Q989" i="1"/>
  <c r="U988" i="1"/>
  <c r="T988" i="1"/>
  <c r="R988" i="1"/>
  <c r="Q988" i="1"/>
  <c r="S988" i="1" s="1"/>
  <c r="U987" i="1"/>
  <c r="S987" i="1"/>
  <c r="R987" i="1"/>
  <c r="Q987" i="1"/>
  <c r="T987" i="1" s="1"/>
  <c r="U986" i="1"/>
  <c r="T986" i="1"/>
  <c r="S986" i="1"/>
  <c r="R986" i="1"/>
  <c r="Q986" i="1"/>
  <c r="U985" i="1"/>
  <c r="R985" i="1"/>
  <c r="Q985" i="1"/>
  <c r="T985" i="1" s="1"/>
  <c r="U984" i="1"/>
  <c r="T984" i="1"/>
  <c r="S984" i="1"/>
  <c r="R984" i="1"/>
  <c r="Q984" i="1"/>
  <c r="U983" i="1"/>
  <c r="S983" i="1"/>
  <c r="R983" i="1"/>
  <c r="Q983" i="1"/>
  <c r="T983" i="1" s="1"/>
  <c r="U982" i="1"/>
  <c r="T982" i="1"/>
  <c r="S982" i="1"/>
  <c r="R982" i="1"/>
  <c r="Q982" i="1"/>
  <c r="U981" i="1"/>
  <c r="T981" i="1"/>
  <c r="S981" i="1"/>
  <c r="R981" i="1"/>
  <c r="Q981" i="1"/>
  <c r="U980" i="1"/>
  <c r="R980" i="1"/>
  <c r="Q980" i="1"/>
  <c r="U979" i="1"/>
  <c r="T979" i="1"/>
  <c r="S979" i="1"/>
  <c r="R979" i="1"/>
  <c r="Q979" i="1"/>
  <c r="U978" i="1"/>
  <c r="S978" i="1"/>
  <c r="R978" i="1"/>
  <c r="Q978" i="1"/>
  <c r="T978" i="1" s="1"/>
  <c r="U977" i="1"/>
  <c r="S977" i="1"/>
  <c r="R977" i="1"/>
  <c r="Q977" i="1"/>
  <c r="T977" i="1" s="1"/>
  <c r="U976" i="1"/>
  <c r="T976" i="1"/>
  <c r="S976" i="1"/>
  <c r="R976" i="1"/>
  <c r="Q976" i="1"/>
  <c r="U975" i="1"/>
  <c r="R975" i="1"/>
  <c r="Q975" i="1"/>
  <c r="U974" i="1"/>
  <c r="T974" i="1"/>
  <c r="S974" i="1"/>
  <c r="R974" i="1"/>
  <c r="Q974" i="1"/>
  <c r="U973" i="1"/>
  <c r="S973" i="1"/>
  <c r="R973" i="1"/>
  <c r="Q973" i="1"/>
  <c r="T973" i="1" s="1"/>
  <c r="U972" i="1"/>
  <c r="T972" i="1"/>
  <c r="R972" i="1"/>
  <c r="Q972" i="1"/>
  <c r="S972" i="1" s="1"/>
  <c r="U971" i="1"/>
  <c r="T971" i="1"/>
  <c r="R971" i="1"/>
  <c r="Q971" i="1"/>
  <c r="S971" i="1" s="1"/>
  <c r="U970" i="1"/>
  <c r="R970" i="1"/>
  <c r="Q970" i="1"/>
  <c r="U969" i="1"/>
  <c r="T969" i="1"/>
  <c r="S969" i="1"/>
  <c r="R969" i="1"/>
  <c r="Q969" i="1"/>
  <c r="U968" i="1"/>
  <c r="S968" i="1"/>
  <c r="R968" i="1"/>
  <c r="Q968" i="1"/>
  <c r="T968" i="1" s="1"/>
  <c r="U967" i="1"/>
  <c r="R967" i="1"/>
  <c r="Q967" i="1"/>
  <c r="T967" i="1" s="1"/>
  <c r="U966" i="1"/>
  <c r="T966" i="1"/>
  <c r="S966" i="1"/>
  <c r="R966" i="1"/>
  <c r="Q966" i="1"/>
  <c r="U965" i="1"/>
  <c r="R965" i="1"/>
  <c r="Q965" i="1"/>
  <c r="U964" i="1"/>
  <c r="T964" i="1"/>
  <c r="R964" i="1"/>
  <c r="Q964" i="1"/>
  <c r="S964" i="1" s="1"/>
  <c r="U963" i="1"/>
  <c r="T963" i="1"/>
  <c r="R963" i="1"/>
  <c r="Q963" i="1"/>
  <c r="S963" i="1" s="1"/>
  <c r="U962" i="1"/>
  <c r="R962" i="1"/>
  <c r="Q962" i="1"/>
  <c r="T962" i="1" s="1"/>
  <c r="U961" i="1"/>
  <c r="T961" i="1"/>
  <c r="R961" i="1"/>
  <c r="Q961" i="1"/>
  <c r="S961" i="1" s="1"/>
  <c r="U960" i="1"/>
  <c r="R960" i="1"/>
  <c r="Q960" i="1"/>
  <c r="U959" i="1"/>
  <c r="S959" i="1"/>
  <c r="R959" i="1"/>
  <c r="Q959" i="1"/>
  <c r="T959" i="1" s="1"/>
  <c r="U958" i="1"/>
  <c r="T958" i="1"/>
  <c r="S958" i="1"/>
  <c r="R958" i="1"/>
  <c r="Q958" i="1"/>
  <c r="U957" i="1"/>
  <c r="R957" i="1"/>
  <c r="Q957" i="1"/>
  <c r="T957" i="1" s="1"/>
  <c r="U956" i="1"/>
  <c r="T956" i="1"/>
  <c r="R956" i="1"/>
  <c r="Q956" i="1"/>
  <c r="S956" i="1" s="1"/>
  <c r="U955" i="1"/>
  <c r="S955" i="1"/>
  <c r="R955" i="1"/>
  <c r="Q955" i="1"/>
  <c r="T955" i="1" s="1"/>
  <c r="U954" i="1"/>
  <c r="T954" i="1"/>
  <c r="S954" i="1"/>
  <c r="R954" i="1"/>
  <c r="Q954" i="1"/>
  <c r="U953" i="1"/>
  <c r="T953" i="1"/>
  <c r="R953" i="1"/>
  <c r="Q953" i="1"/>
  <c r="S953" i="1" s="1"/>
  <c r="U952" i="1"/>
  <c r="R952" i="1"/>
  <c r="Q952" i="1"/>
  <c r="T952" i="1" s="1"/>
  <c r="U951" i="1"/>
  <c r="S951" i="1"/>
  <c r="R951" i="1"/>
  <c r="Q951" i="1"/>
  <c r="T951" i="1" s="1"/>
  <c r="U950" i="1"/>
  <c r="T950" i="1"/>
  <c r="S950" i="1"/>
  <c r="R950" i="1"/>
  <c r="Q950" i="1"/>
  <c r="U949" i="1"/>
  <c r="T949" i="1"/>
  <c r="S949" i="1"/>
  <c r="R949" i="1"/>
  <c r="Q949" i="1"/>
  <c r="U948" i="1"/>
  <c r="R948" i="1"/>
  <c r="Q948" i="1"/>
  <c r="U947" i="1"/>
  <c r="S947" i="1"/>
  <c r="R947" i="1"/>
  <c r="Q947" i="1"/>
  <c r="T947" i="1" s="1"/>
  <c r="U946" i="1"/>
  <c r="S946" i="1"/>
  <c r="R946" i="1"/>
  <c r="Q946" i="1"/>
  <c r="T946" i="1" s="1"/>
  <c r="U945" i="1"/>
  <c r="S945" i="1"/>
  <c r="R945" i="1"/>
  <c r="Q945" i="1"/>
  <c r="T945" i="1" s="1"/>
  <c r="U944" i="1"/>
  <c r="T944" i="1"/>
  <c r="S944" i="1"/>
  <c r="R944" i="1"/>
  <c r="Q944" i="1"/>
  <c r="U943" i="1"/>
  <c r="T943" i="1"/>
  <c r="R943" i="1"/>
  <c r="Q943" i="1"/>
  <c r="S943" i="1" s="1"/>
  <c r="U942" i="1"/>
  <c r="R942" i="1"/>
  <c r="Q942" i="1"/>
  <c r="T942" i="1" s="1"/>
  <c r="U941" i="1"/>
  <c r="T941" i="1"/>
  <c r="R941" i="1"/>
  <c r="Q941" i="1"/>
  <c r="S941" i="1" s="1"/>
  <c r="U940" i="1"/>
  <c r="R940" i="1"/>
  <c r="Q940" i="1"/>
  <c r="U939" i="1"/>
  <c r="T939" i="1"/>
  <c r="S939" i="1"/>
  <c r="R939" i="1"/>
  <c r="Q939" i="1"/>
  <c r="U938" i="1"/>
  <c r="S938" i="1"/>
  <c r="R938" i="1"/>
  <c r="Q938" i="1"/>
  <c r="T938" i="1" s="1"/>
  <c r="U937" i="1"/>
  <c r="S937" i="1"/>
  <c r="R937" i="1"/>
  <c r="Q937" i="1"/>
  <c r="T937" i="1" s="1"/>
  <c r="U936" i="1"/>
  <c r="T936" i="1"/>
  <c r="S936" i="1"/>
  <c r="R936" i="1"/>
  <c r="Q936" i="1"/>
  <c r="U935" i="1"/>
  <c r="T935" i="1"/>
  <c r="R935" i="1"/>
  <c r="Q935" i="1"/>
  <c r="S935" i="1" s="1"/>
  <c r="U934" i="1"/>
  <c r="R934" i="1"/>
  <c r="Q934" i="1"/>
  <c r="T934" i="1" s="1"/>
  <c r="U933" i="1"/>
  <c r="T933" i="1"/>
  <c r="R933" i="1"/>
  <c r="Q933" i="1"/>
  <c r="S933" i="1" s="1"/>
  <c r="U932" i="1"/>
  <c r="R932" i="1"/>
  <c r="Q932" i="1"/>
  <c r="U931" i="1"/>
  <c r="T931" i="1"/>
  <c r="S931" i="1"/>
  <c r="R931" i="1"/>
  <c r="Q931" i="1"/>
  <c r="U930" i="1"/>
  <c r="S930" i="1"/>
  <c r="R930" i="1"/>
  <c r="Q930" i="1"/>
  <c r="T930" i="1" s="1"/>
  <c r="U929" i="1"/>
  <c r="S929" i="1"/>
  <c r="R929" i="1"/>
  <c r="Q929" i="1"/>
  <c r="T929" i="1" s="1"/>
  <c r="U928" i="1"/>
  <c r="T928" i="1"/>
  <c r="S928" i="1"/>
  <c r="R928" i="1"/>
  <c r="Q928" i="1"/>
  <c r="U927" i="1"/>
  <c r="T927" i="1"/>
  <c r="R927" i="1"/>
  <c r="Q927" i="1"/>
  <c r="S927" i="1" s="1"/>
  <c r="U926" i="1"/>
  <c r="R926" i="1"/>
  <c r="Q926" i="1"/>
  <c r="T926" i="1" s="1"/>
  <c r="U925" i="1"/>
  <c r="T925" i="1"/>
  <c r="R925" i="1"/>
  <c r="Q925" i="1"/>
  <c r="S925" i="1" s="1"/>
  <c r="U924" i="1"/>
  <c r="R924" i="1"/>
  <c r="Q924" i="1"/>
  <c r="U923" i="1"/>
  <c r="T923" i="1"/>
  <c r="S923" i="1"/>
  <c r="R923" i="1"/>
  <c r="Q923" i="1"/>
  <c r="U922" i="1"/>
  <c r="S922" i="1"/>
  <c r="R922" i="1"/>
  <c r="Q922" i="1"/>
  <c r="T922" i="1" s="1"/>
  <c r="U921" i="1"/>
  <c r="S921" i="1"/>
  <c r="R921" i="1"/>
  <c r="Q921" i="1"/>
  <c r="T921" i="1" s="1"/>
  <c r="U920" i="1"/>
  <c r="T920" i="1"/>
  <c r="S920" i="1"/>
  <c r="R920" i="1"/>
  <c r="Q920" i="1"/>
  <c r="U919" i="1"/>
  <c r="T919" i="1"/>
  <c r="R919" i="1"/>
  <c r="Q919" i="1"/>
  <c r="S919" i="1" s="1"/>
  <c r="U918" i="1"/>
  <c r="R918" i="1"/>
  <c r="Q918" i="1"/>
  <c r="T918" i="1" s="1"/>
  <c r="U917" i="1"/>
  <c r="T917" i="1"/>
  <c r="R917" i="1"/>
  <c r="Q917" i="1"/>
  <c r="S917" i="1" s="1"/>
  <c r="U916" i="1"/>
  <c r="R916" i="1"/>
  <c r="Q916" i="1"/>
  <c r="U915" i="1"/>
  <c r="T915" i="1"/>
  <c r="S915" i="1"/>
  <c r="R915" i="1"/>
  <c r="Q915" i="1"/>
  <c r="U914" i="1"/>
  <c r="S914" i="1"/>
  <c r="R914" i="1"/>
  <c r="Q914" i="1"/>
  <c r="T914" i="1" s="1"/>
  <c r="U913" i="1"/>
  <c r="S913" i="1"/>
  <c r="R913" i="1"/>
  <c r="Q913" i="1"/>
  <c r="T913" i="1" s="1"/>
  <c r="U912" i="1"/>
  <c r="T912" i="1"/>
  <c r="S912" i="1"/>
  <c r="R912" i="1"/>
  <c r="Q912" i="1"/>
  <c r="U911" i="1"/>
  <c r="T911" i="1"/>
  <c r="R911" i="1"/>
  <c r="Q911" i="1"/>
  <c r="S911" i="1" s="1"/>
  <c r="U910" i="1"/>
  <c r="R910" i="1"/>
  <c r="Q910" i="1"/>
  <c r="T910" i="1" s="1"/>
  <c r="U909" i="1"/>
  <c r="T909" i="1"/>
  <c r="R909" i="1"/>
  <c r="Q909" i="1"/>
  <c r="S909" i="1" s="1"/>
  <c r="U908" i="1"/>
  <c r="R908" i="1"/>
  <c r="Q908" i="1"/>
  <c r="U907" i="1"/>
  <c r="T907" i="1"/>
  <c r="S907" i="1"/>
  <c r="R907" i="1"/>
  <c r="Q907" i="1"/>
  <c r="U906" i="1"/>
  <c r="S906" i="1"/>
  <c r="R906" i="1"/>
  <c r="Q906" i="1"/>
  <c r="T906" i="1" s="1"/>
  <c r="U905" i="1"/>
  <c r="S905" i="1"/>
  <c r="R905" i="1"/>
  <c r="Q905" i="1"/>
  <c r="T905" i="1" s="1"/>
  <c r="U904" i="1"/>
  <c r="T904" i="1"/>
  <c r="S904" i="1"/>
  <c r="R904" i="1"/>
  <c r="Q904" i="1"/>
  <c r="U903" i="1"/>
  <c r="T903" i="1"/>
  <c r="R903" i="1"/>
  <c r="Q903" i="1"/>
  <c r="S903" i="1" s="1"/>
  <c r="U902" i="1"/>
  <c r="R902" i="1"/>
  <c r="Q902" i="1"/>
  <c r="U901" i="1"/>
  <c r="T901" i="1"/>
  <c r="R901" i="1"/>
  <c r="Q901" i="1"/>
  <c r="S901" i="1" s="1"/>
  <c r="U900" i="1"/>
  <c r="R900" i="1"/>
  <c r="Q900" i="1"/>
  <c r="T900" i="1" s="1"/>
  <c r="U899" i="1"/>
  <c r="T899" i="1"/>
  <c r="S899" i="1"/>
  <c r="R899" i="1"/>
  <c r="Q899" i="1"/>
  <c r="U898" i="1"/>
  <c r="S898" i="1"/>
  <c r="R898" i="1"/>
  <c r="Q898" i="1"/>
  <c r="T898" i="1" s="1"/>
  <c r="U897" i="1"/>
  <c r="S897" i="1"/>
  <c r="R897" i="1"/>
  <c r="Q897" i="1"/>
  <c r="T897" i="1" s="1"/>
  <c r="U896" i="1"/>
  <c r="T896" i="1"/>
  <c r="S896" i="1"/>
  <c r="R896" i="1"/>
  <c r="Q896" i="1"/>
  <c r="U895" i="1"/>
  <c r="T895" i="1"/>
  <c r="R895" i="1"/>
  <c r="Q895" i="1"/>
  <c r="S895" i="1" s="1"/>
  <c r="U894" i="1"/>
  <c r="R894" i="1"/>
  <c r="Q894" i="1"/>
  <c r="U893" i="1"/>
  <c r="T893" i="1"/>
  <c r="R893" i="1"/>
  <c r="Q893" i="1"/>
  <c r="S893" i="1" s="1"/>
  <c r="U892" i="1"/>
  <c r="R892" i="1"/>
  <c r="Q892" i="1"/>
  <c r="T892" i="1" s="1"/>
  <c r="U891" i="1"/>
  <c r="T891" i="1"/>
  <c r="S891" i="1"/>
  <c r="R891" i="1"/>
  <c r="Q891" i="1"/>
  <c r="U890" i="1"/>
  <c r="S890" i="1"/>
  <c r="R890" i="1"/>
  <c r="Q890" i="1"/>
  <c r="T890" i="1" s="1"/>
  <c r="U889" i="1"/>
  <c r="S889" i="1"/>
  <c r="R889" i="1"/>
  <c r="Q889" i="1"/>
  <c r="T889" i="1" s="1"/>
  <c r="U888" i="1"/>
  <c r="T888" i="1"/>
  <c r="S888" i="1"/>
  <c r="R888" i="1"/>
  <c r="Q888" i="1"/>
  <c r="U887" i="1"/>
  <c r="T887" i="1"/>
  <c r="R887" i="1"/>
  <c r="Q887" i="1"/>
  <c r="S887" i="1" s="1"/>
  <c r="U886" i="1"/>
  <c r="R886" i="1"/>
  <c r="Q886" i="1"/>
  <c r="U885" i="1"/>
  <c r="T885" i="1"/>
  <c r="R885" i="1"/>
  <c r="Q885" i="1"/>
  <c r="S885" i="1" s="1"/>
  <c r="U884" i="1"/>
  <c r="S884" i="1"/>
  <c r="R884" i="1"/>
  <c r="Q884" i="1"/>
  <c r="T884" i="1" s="1"/>
  <c r="U883" i="1"/>
  <c r="T883" i="1"/>
  <c r="S883" i="1"/>
  <c r="R883" i="1"/>
  <c r="Q883" i="1"/>
  <c r="U882" i="1"/>
  <c r="S882" i="1"/>
  <c r="R882" i="1"/>
  <c r="Q882" i="1"/>
  <c r="T882" i="1" s="1"/>
  <c r="U881" i="1"/>
  <c r="S881" i="1"/>
  <c r="R881" i="1"/>
  <c r="Q881" i="1"/>
  <c r="T881" i="1" s="1"/>
  <c r="U880" i="1"/>
  <c r="T880" i="1"/>
  <c r="S880" i="1"/>
  <c r="R880" i="1"/>
  <c r="Q880" i="1"/>
  <c r="U879" i="1"/>
  <c r="T879" i="1"/>
  <c r="R879" i="1"/>
  <c r="Q879" i="1"/>
  <c r="S879" i="1" s="1"/>
  <c r="U878" i="1"/>
  <c r="R878" i="1"/>
  <c r="Q878" i="1"/>
  <c r="U877" i="1"/>
  <c r="T877" i="1"/>
  <c r="R877" i="1"/>
  <c r="Q877" i="1"/>
  <c r="S877" i="1" s="1"/>
  <c r="U876" i="1"/>
  <c r="R876" i="1"/>
  <c r="Q876" i="1"/>
  <c r="T876" i="1" s="1"/>
  <c r="U875" i="1"/>
  <c r="T875" i="1"/>
  <c r="S875" i="1"/>
  <c r="R875" i="1"/>
  <c r="Q875" i="1"/>
  <c r="U874" i="1"/>
  <c r="S874" i="1"/>
  <c r="R874" i="1"/>
  <c r="Q874" i="1"/>
  <c r="T874" i="1" s="1"/>
  <c r="U873" i="1"/>
  <c r="S873" i="1"/>
  <c r="R873" i="1"/>
  <c r="Q873" i="1"/>
  <c r="T873" i="1" s="1"/>
  <c r="U872" i="1"/>
  <c r="T872" i="1"/>
  <c r="S872" i="1"/>
  <c r="R872" i="1"/>
  <c r="Q872" i="1"/>
  <c r="U871" i="1"/>
  <c r="T871" i="1"/>
  <c r="R871" i="1"/>
  <c r="Q871" i="1"/>
  <c r="S871" i="1" s="1"/>
  <c r="U870" i="1"/>
  <c r="R870" i="1"/>
  <c r="Q870" i="1"/>
  <c r="U869" i="1"/>
  <c r="T869" i="1"/>
  <c r="R869" i="1"/>
  <c r="Q869" i="1"/>
  <c r="S869" i="1" s="1"/>
  <c r="U868" i="1"/>
  <c r="R868" i="1"/>
  <c r="Q868" i="1"/>
  <c r="T868" i="1" s="1"/>
  <c r="U867" i="1"/>
  <c r="T867" i="1"/>
  <c r="S867" i="1"/>
  <c r="R867" i="1"/>
  <c r="Q867" i="1"/>
  <c r="U866" i="1"/>
  <c r="S866" i="1"/>
  <c r="R866" i="1"/>
  <c r="Q866" i="1"/>
  <c r="T866" i="1" s="1"/>
  <c r="U865" i="1"/>
  <c r="S865" i="1"/>
  <c r="R865" i="1"/>
  <c r="Q865" i="1"/>
  <c r="T865" i="1" s="1"/>
  <c r="U864" i="1"/>
  <c r="T864" i="1"/>
  <c r="S864" i="1"/>
  <c r="R864" i="1"/>
  <c r="Q864" i="1"/>
  <c r="U863" i="1"/>
  <c r="T863" i="1"/>
  <c r="R863" i="1"/>
  <c r="Q863" i="1"/>
  <c r="S863" i="1" s="1"/>
  <c r="U862" i="1"/>
  <c r="R862" i="1"/>
  <c r="Q862" i="1"/>
  <c r="U861" i="1"/>
  <c r="T861" i="1"/>
  <c r="R861" i="1"/>
  <c r="Q861" i="1"/>
  <c r="S861" i="1" s="1"/>
  <c r="U860" i="1"/>
  <c r="S860" i="1"/>
  <c r="R860" i="1"/>
  <c r="Q860" i="1"/>
  <c r="T860" i="1" s="1"/>
  <c r="U859" i="1"/>
  <c r="T859" i="1"/>
  <c r="S859" i="1"/>
  <c r="R859" i="1"/>
  <c r="Q859" i="1"/>
  <c r="U858" i="1"/>
  <c r="S858" i="1"/>
  <c r="R858" i="1"/>
  <c r="Q858" i="1"/>
  <c r="T858" i="1" s="1"/>
  <c r="U857" i="1"/>
  <c r="S857" i="1"/>
  <c r="R857" i="1"/>
  <c r="Q857" i="1"/>
  <c r="T857" i="1" s="1"/>
  <c r="U856" i="1"/>
  <c r="T856" i="1"/>
  <c r="S856" i="1"/>
  <c r="R856" i="1"/>
  <c r="Q856" i="1"/>
  <c r="U855" i="1"/>
  <c r="T855" i="1"/>
  <c r="R855" i="1"/>
  <c r="Q855" i="1"/>
  <c r="S855" i="1" s="1"/>
  <c r="U854" i="1"/>
  <c r="R854" i="1"/>
  <c r="Q854" i="1"/>
  <c r="U853" i="1"/>
  <c r="T853" i="1"/>
  <c r="R853" i="1"/>
  <c r="Q853" i="1"/>
  <c r="S853" i="1" s="1"/>
  <c r="U852" i="1"/>
  <c r="S852" i="1"/>
  <c r="R852" i="1"/>
  <c r="Q852" i="1"/>
  <c r="T852" i="1" s="1"/>
  <c r="U851" i="1"/>
  <c r="T851" i="1"/>
  <c r="S851" i="1"/>
  <c r="R851" i="1"/>
  <c r="Q851" i="1"/>
  <c r="U850" i="1"/>
  <c r="S850" i="1"/>
  <c r="R850" i="1"/>
  <c r="Q850" i="1"/>
  <c r="T850" i="1" s="1"/>
  <c r="U849" i="1"/>
  <c r="S849" i="1"/>
  <c r="R849" i="1"/>
  <c r="Q849" i="1"/>
  <c r="T849" i="1" s="1"/>
  <c r="U848" i="1"/>
  <c r="T848" i="1"/>
  <c r="S848" i="1"/>
  <c r="R848" i="1"/>
  <c r="Q848" i="1"/>
  <c r="U847" i="1"/>
  <c r="T847" i="1"/>
  <c r="R847" i="1"/>
  <c r="Q847" i="1"/>
  <c r="S847" i="1" s="1"/>
  <c r="U846" i="1"/>
  <c r="R846" i="1"/>
  <c r="Q846" i="1"/>
  <c r="U845" i="1"/>
  <c r="T845" i="1"/>
  <c r="R845" i="1"/>
  <c r="Q845" i="1"/>
  <c r="S845" i="1" s="1"/>
  <c r="U844" i="1"/>
  <c r="R844" i="1"/>
  <c r="Q844" i="1"/>
  <c r="T844" i="1" s="1"/>
  <c r="U843" i="1"/>
  <c r="T843" i="1"/>
  <c r="S843" i="1"/>
  <c r="R843" i="1"/>
  <c r="Q843" i="1"/>
  <c r="U842" i="1"/>
  <c r="S842" i="1"/>
  <c r="R842" i="1"/>
  <c r="Q842" i="1"/>
  <c r="T842" i="1" s="1"/>
  <c r="U841" i="1"/>
  <c r="S841" i="1"/>
  <c r="R841" i="1"/>
  <c r="Q841" i="1"/>
  <c r="T841" i="1" s="1"/>
  <c r="U840" i="1"/>
  <c r="T840" i="1"/>
  <c r="S840" i="1"/>
  <c r="R840" i="1"/>
  <c r="Q840" i="1"/>
  <c r="U839" i="1"/>
  <c r="T839" i="1"/>
  <c r="R839" i="1"/>
  <c r="Q839" i="1"/>
  <c r="S839" i="1" s="1"/>
  <c r="U838" i="1"/>
  <c r="R838" i="1"/>
  <c r="Q838" i="1"/>
  <c r="S838" i="1" s="1"/>
  <c r="U837" i="1"/>
  <c r="T837" i="1"/>
  <c r="R837" i="1"/>
  <c r="Q837" i="1"/>
  <c r="S837" i="1" s="1"/>
  <c r="U836" i="1"/>
  <c r="R836" i="1"/>
  <c r="Q836" i="1"/>
  <c r="T836" i="1" s="1"/>
  <c r="U835" i="1"/>
  <c r="T835" i="1"/>
  <c r="S835" i="1"/>
  <c r="R835" i="1"/>
  <c r="Q835" i="1"/>
  <c r="U834" i="1"/>
  <c r="S834" i="1"/>
  <c r="R834" i="1"/>
  <c r="Q834" i="1"/>
  <c r="T834" i="1" s="1"/>
  <c r="U833" i="1"/>
  <c r="S833" i="1"/>
  <c r="R833" i="1"/>
  <c r="Q833" i="1"/>
  <c r="T833" i="1" s="1"/>
  <c r="U832" i="1"/>
  <c r="T832" i="1"/>
  <c r="S832" i="1"/>
  <c r="R832" i="1"/>
  <c r="Q832" i="1"/>
  <c r="U831" i="1"/>
  <c r="T831" i="1"/>
  <c r="R831" i="1"/>
  <c r="Q831" i="1"/>
  <c r="S831" i="1" s="1"/>
  <c r="U830" i="1"/>
  <c r="R830" i="1"/>
  <c r="Q830" i="1"/>
  <c r="S830" i="1" s="1"/>
  <c r="U829" i="1"/>
  <c r="R829" i="1"/>
  <c r="Q829" i="1"/>
  <c r="S829" i="1" s="1"/>
  <c r="U828" i="1"/>
  <c r="R828" i="1"/>
  <c r="Q828" i="1"/>
  <c r="T828" i="1" s="1"/>
  <c r="U827" i="1"/>
  <c r="T827" i="1"/>
  <c r="S827" i="1"/>
  <c r="R827" i="1"/>
  <c r="Q827" i="1"/>
  <c r="U826" i="1"/>
  <c r="S826" i="1"/>
  <c r="R826" i="1"/>
  <c r="Q826" i="1"/>
  <c r="T826" i="1" s="1"/>
  <c r="U825" i="1"/>
  <c r="S825" i="1"/>
  <c r="R825" i="1"/>
  <c r="Q825" i="1"/>
  <c r="T825" i="1" s="1"/>
  <c r="U824" i="1"/>
  <c r="T824" i="1"/>
  <c r="S824" i="1"/>
  <c r="R824" i="1"/>
  <c r="Q824" i="1"/>
  <c r="U823" i="1"/>
  <c r="T823" i="1"/>
  <c r="R823" i="1"/>
  <c r="Q823" i="1"/>
  <c r="S823" i="1" s="1"/>
  <c r="U822" i="1"/>
  <c r="T822" i="1"/>
  <c r="R822" i="1"/>
  <c r="Q822" i="1"/>
  <c r="S822" i="1" s="1"/>
  <c r="U821" i="1"/>
  <c r="R821" i="1"/>
  <c r="Q821" i="1"/>
  <c r="S821" i="1" s="1"/>
  <c r="U820" i="1"/>
  <c r="S820" i="1"/>
  <c r="R820" i="1"/>
  <c r="Q820" i="1"/>
  <c r="T820" i="1" s="1"/>
  <c r="U819" i="1"/>
  <c r="T819" i="1"/>
  <c r="S819" i="1"/>
  <c r="R819" i="1"/>
  <c r="Q819" i="1"/>
  <c r="U818" i="1"/>
  <c r="S818" i="1"/>
  <c r="R818" i="1"/>
  <c r="Q818" i="1"/>
  <c r="T818" i="1" s="1"/>
  <c r="U817" i="1"/>
  <c r="S817" i="1"/>
  <c r="R817" i="1"/>
  <c r="Q817" i="1"/>
  <c r="T817" i="1" s="1"/>
  <c r="U816" i="1"/>
  <c r="T816" i="1"/>
  <c r="S816" i="1"/>
  <c r="R816" i="1"/>
  <c r="Q816" i="1"/>
  <c r="U815" i="1"/>
  <c r="T815" i="1"/>
  <c r="R815" i="1"/>
  <c r="Q815" i="1"/>
  <c r="S815" i="1" s="1"/>
  <c r="U814" i="1"/>
  <c r="R814" i="1"/>
  <c r="Q814" i="1"/>
  <c r="S814" i="1" s="1"/>
  <c r="U813" i="1"/>
  <c r="R813" i="1"/>
  <c r="Q813" i="1"/>
  <c r="S813" i="1" s="1"/>
  <c r="U812" i="1"/>
  <c r="R812" i="1"/>
  <c r="Q812" i="1"/>
  <c r="T812" i="1" s="1"/>
  <c r="U811" i="1"/>
  <c r="T811" i="1"/>
  <c r="S811" i="1"/>
  <c r="R811" i="1"/>
  <c r="Q811" i="1"/>
  <c r="U810" i="1"/>
  <c r="S810" i="1"/>
  <c r="R810" i="1"/>
  <c r="Q810" i="1"/>
  <c r="T810" i="1" s="1"/>
  <c r="U809" i="1"/>
  <c r="S809" i="1"/>
  <c r="R809" i="1"/>
  <c r="Q809" i="1"/>
  <c r="T809" i="1" s="1"/>
  <c r="U808" i="1"/>
  <c r="T808" i="1"/>
  <c r="S808" i="1"/>
  <c r="R808" i="1"/>
  <c r="Q808" i="1"/>
  <c r="U807" i="1"/>
  <c r="T807" i="1"/>
  <c r="R807" i="1"/>
  <c r="Q807" i="1"/>
  <c r="S807" i="1" s="1"/>
  <c r="U806" i="1"/>
  <c r="R806" i="1"/>
  <c r="Q806" i="1"/>
  <c r="S806" i="1" s="1"/>
  <c r="U805" i="1"/>
  <c r="T805" i="1"/>
  <c r="R805" i="1"/>
  <c r="Q805" i="1"/>
  <c r="S805" i="1" s="1"/>
  <c r="U804" i="1"/>
  <c r="R804" i="1"/>
  <c r="Q804" i="1"/>
  <c r="T804" i="1" s="1"/>
  <c r="U803" i="1"/>
  <c r="T803" i="1"/>
  <c r="S803" i="1"/>
  <c r="R803" i="1"/>
  <c r="Q803" i="1"/>
  <c r="U802" i="1"/>
  <c r="S802" i="1"/>
  <c r="R802" i="1"/>
  <c r="Q802" i="1"/>
  <c r="T802" i="1" s="1"/>
  <c r="U801" i="1"/>
  <c r="S801" i="1"/>
  <c r="R801" i="1"/>
  <c r="Q801" i="1"/>
  <c r="T801" i="1" s="1"/>
  <c r="U800" i="1"/>
  <c r="T800" i="1"/>
  <c r="S800" i="1"/>
  <c r="R800" i="1"/>
  <c r="Q800" i="1"/>
  <c r="U799" i="1"/>
  <c r="T799" i="1"/>
  <c r="R799" i="1"/>
  <c r="Q799" i="1"/>
  <c r="S799" i="1" s="1"/>
  <c r="U798" i="1"/>
  <c r="R798" i="1"/>
  <c r="Q798" i="1"/>
  <c r="S798" i="1" s="1"/>
  <c r="U797" i="1"/>
  <c r="R797" i="1"/>
  <c r="Q797" i="1"/>
  <c r="S797" i="1" s="1"/>
  <c r="U796" i="1"/>
  <c r="R796" i="1"/>
  <c r="Q796" i="1"/>
  <c r="T796" i="1" s="1"/>
  <c r="U795" i="1"/>
  <c r="R795" i="1"/>
  <c r="Q795" i="1"/>
  <c r="T795" i="1" s="1"/>
  <c r="U794" i="1"/>
  <c r="S794" i="1"/>
  <c r="R794" i="1"/>
  <c r="Q794" i="1"/>
  <c r="T794" i="1" s="1"/>
  <c r="U793" i="1"/>
  <c r="S793" i="1"/>
  <c r="R793" i="1"/>
  <c r="Q793" i="1"/>
  <c r="T793" i="1" s="1"/>
  <c r="U792" i="1"/>
  <c r="T792" i="1"/>
  <c r="S792" i="1"/>
  <c r="R792" i="1"/>
  <c r="Q792" i="1"/>
  <c r="U791" i="1"/>
  <c r="T791" i="1"/>
  <c r="R791" i="1"/>
  <c r="Q791" i="1"/>
  <c r="S791" i="1" s="1"/>
  <c r="U790" i="1"/>
  <c r="T790" i="1"/>
  <c r="R790" i="1"/>
  <c r="Q790" i="1"/>
  <c r="S790" i="1" s="1"/>
  <c r="U789" i="1"/>
  <c r="R789" i="1"/>
  <c r="Q789" i="1"/>
  <c r="T789" i="1" s="1"/>
  <c r="U788" i="1"/>
  <c r="T788" i="1"/>
  <c r="R788" i="1"/>
  <c r="Q788" i="1"/>
  <c r="S788" i="1" s="1"/>
  <c r="U787" i="1"/>
  <c r="S787" i="1"/>
  <c r="R787" i="1"/>
  <c r="Q787" i="1"/>
  <c r="T787" i="1" s="1"/>
  <c r="U786" i="1"/>
  <c r="R786" i="1"/>
  <c r="Q786" i="1"/>
  <c r="T786" i="1" s="1"/>
  <c r="U785" i="1"/>
  <c r="S785" i="1"/>
  <c r="R785" i="1"/>
  <c r="Q785" i="1"/>
  <c r="T785" i="1" s="1"/>
  <c r="U784" i="1"/>
  <c r="T784" i="1"/>
  <c r="S784" i="1"/>
  <c r="R784" i="1"/>
  <c r="Q784" i="1"/>
  <c r="U783" i="1"/>
  <c r="T783" i="1"/>
  <c r="R783" i="1"/>
  <c r="Q783" i="1"/>
  <c r="S783" i="1" s="1"/>
  <c r="U782" i="1"/>
  <c r="T782" i="1"/>
  <c r="R782" i="1"/>
  <c r="Q782" i="1"/>
  <c r="S782" i="1" s="1"/>
  <c r="U781" i="1"/>
  <c r="T781" i="1"/>
  <c r="R781" i="1"/>
  <c r="Q781" i="1"/>
  <c r="S781" i="1" s="1"/>
  <c r="U780" i="1"/>
  <c r="R780" i="1"/>
  <c r="Q780" i="1"/>
  <c r="T780" i="1" s="1"/>
  <c r="U779" i="1"/>
  <c r="R779" i="1"/>
  <c r="Q779" i="1"/>
  <c r="T779" i="1" s="1"/>
  <c r="U778" i="1"/>
  <c r="S778" i="1"/>
  <c r="R778" i="1"/>
  <c r="Q778" i="1"/>
  <c r="T778" i="1" s="1"/>
  <c r="U777" i="1"/>
  <c r="S777" i="1"/>
  <c r="R777" i="1"/>
  <c r="Q777" i="1"/>
  <c r="T777" i="1" s="1"/>
  <c r="U776" i="1"/>
  <c r="T776" i="1"/>
  <c r="S776" i="1"/>
  <c r="R776" i="1"/>
  <c r="Q776" i="1"/>
  <c r="U775" i="1"/>
  <c r="T775" i="1"/>
  <c r="R775" i="1"/>
  <c r="Q775" i="1"/>
  <c r="S775" i="1" s="1"/>
  <c r="U774" i="1"/>
  <c r="T774" i="1"/>
  <c r="R774" i="1"/>
  <c r="Q774" i="1"/>
  <c r="S774" i="1" s="1"/>
  <c r="U773" i="1"/>
  <c r="R773" i="1"/>
  <c r="Q773" i="1"/>
  <c r="T773" i="1" s="1"/>
  <c r="U772" i="1"/>
  <c r="T772" i="1"/>
  <c r="S772" i="1"/>
  <c r="R772" i="1"/>
  <c r="Q772" i="1"/>
  <c r="U771" i="1"/>
  <c r="S771" i="1"/>
  <c r="R771" i="1"/>
  <c r="Q771" i="1"/>
  <c r="T771" i="1" s="1"/>
  <c r="U770" i="1"/>
  <c r="R770" i="1"/>
  <c r="Q770" i="1"/>
  <c r="T770" i="1" s="1"/>
  <c r="U769" i="1"/>
  <c r="S769" i="1"/>
  <c r="R769" i="1"/>
  <c r="Q769" i="1"/>
  <c r="T769" i="1" s="1"/>
  <c r="U768" i="1"/>
  <c r="T768" i="1"/>
  <c r="S768" i="1"/>
  <c r="R768" i="1"/>
  <c r="Q768" i="1"/>
  <c r="U767" i="1"/>
  <c r="T767" i="1"/>
  <c r="R767" i="1"/>
  <c r="Q767" i="1"/>
  <c r="S767" i="1" s="1"/>
  <c r="U766" i="1"/>
  <c r="T766" i="1"/>
  <c r="R766" i="1"/>
  <c r="Q766" i="1"/>
  <c r="S766" i="1" s="1"/>
  <c r="U765" i="1"/>
  <c r="T765" i="1"/>
  <c r="R765" i="1"/>
  <c r="Q765" i="1"/>
  <c r="S765" i="1" s="1"/>
  <c r="U764" i="1"/>
  <c r="R764" i="1"/>
  <c r="Q764" i="1"/>
  <c r="T764" i="1" s="1"/>
  <c r="U763" i="1"/>
  <c r="R763" i="1"/>
  <c r="Q763" i="1"/>
  <c r="T763" i="1" s="1"/>
  <c r="U762" i="1"/>
  <c r="S762" i="1"/>
  <c r="R762" i="1"/>
  <c r="Q762" i="1"/>
  <c r="T762" i="1" s="1"/>
  <c r="U761" i="1"/>
  <c r="S761" i="1"/>
  <c r="R761" i="1"/>
  <c r="Q761" i="1"/>
  <c r="T761" i="1" s="1"/>
  <c r="U760" i="1"/>
  <c r="T760" i="1"/>
  <c r="S760" i="1"/>
  <c r="R760" i="1"/>
  <c r="Q760" i="1"/>
  <c r="U759" i="1"/>
  <c r="R759" i="1"/>
  <c r="Q759" i="1"/>
  <c r="S759" i="1" s="1"/>
  <c r="U758" i="1"/>
  <c r="T758" i="1"/>
  <c r="R758" i="1"/>
  <c r="Q758" i="1"/>
  <c r="S758" i="1" s="1"/>
  <c r="U757" i="1"/>
  <c r="R757" i="1"/>
  <c r="Q757" i="1"/>
  <c r="T757" i="1" s="1"/>
  <c r="U756" i="1"/>
  <c r="T756" i="1"/>
  <c r="S756" i="1"/>
  <c r="R756" i="1"/>
  <c r="Q756" i="1"/>
  <c r="U755" i="1"/>
  <c r="S755" i="1"/>
  <c r="R755" i="1"/>
  <c r="Q755" i="1"/>
  <c r="T755" i="1" s="1"/>
  <c r="U754" i="1"/>
  <c r="R754" i="1"/>
  <c r="Q754" i="1"/>
  <c r="T754" i="1" s="1"/>
  <c r="U753" i="1"/>
  <c r="S753" i="1"/>
  <c r="R753" i="1"/>
  <c r="Q753" i="1"/>
  <c r="T753" i="1" s="1"/>
  <c r="U752" i="1"/>
  <c r="T752" i="1"/>
  <c r="S752" i="1"/>
  <c r="R752" i="1"/>
  <c r="Q752" i="1"/>
  <c r="U751" i="1"/>
  <c r="T751" i="1"/>
  <c r="R751" i="1"/>
  <c r="Q751" i="1"/>
  <c r="S751" i="1" s="1"/>
  <c r="U750" i="1"/>
  <c r="R750" i="1"/>
  <c r="Q750" i="1"/>
  <c r="S750" i="1" s="1"/>
  <c r="U749" i="1"/>
  <c r="T749" i="1"/>
  <c r="R749" i="1"/>
  <c r="Q749" i="1"/>
  <c r="S749" i="1" s="1"/>
  <c r="U748" i="1"/>
  <c r="R748" i="1"/>
  <c r="Q748" i="1"/>
  <c r="T748" i="1" s="1"/>
  <c r="U747" i="1"/>
  <c r="R747" i="1"/>
  <c r="Q747" i="1"/>
  <c r="T747" i="1" s="1"/>
  <c r="U746" i="1"/>
  <c r="S746" i="1"/>
  <c r="R746" i="1"/>
  <c r="Q746" i="1"/>
  <c r="T746" i="1" s="1"/>
  <c r="U745" i="1"/>
  <c r="S745" i="1"/>
  <c r="R745" i="1"/>
  <c r="Q745" i="1"/>
  <c r="T745" i="1" s="1"/>
  <c r="U744" i="1"/>
  <c r="T744" i="1"/>
  <c r="S744" i="1"/>
  <c r="R744" i="1"/>
  <c r="Q744" i="1"/>
  <c r="U743" i="1"/>
  <c r="R743" i="1"/>
  <c r="Q743" i="1"/>
  <c r="S743" i="1" s="1"/>
  <c r="U742" i="1"/>
  <c r="T742" i="1"/>
  <c r="R742" i="1"/>
  <c r="Q742" i="1"/>
  <c r="S742" i="1" s="1"/>
  <c r="U741" i="1"/>
  <c r="R741" i="1"/>
  <c r="Q741" i="1"/>
  <c r="T741" i="1" s="1"/>
  <c r="U740" i="1"/>
  <c r="T740" i="1"/>
  <c r="S740" i="1"/>
  <c r="R740" i="1"/>
  <c r="Q740" i="1"/>
  <c r="U739" i="1"/>
  <c r="T739" i="1"/>
  <c r="S739" i="1"/>
  <c r="R739" i="1"/>
  <c r="Q739" i="1"/>
  <c r="U738" i="1"/>
  <c r="T738" i="1"/>
  <c r="R738" i="1"/>
  <c r="Q738" i="1"/>
  <c r="S738" i="1" s="1"/>
  <c r="U737" i="1"/>
  <c r="S737" i="1"/>
  <c r="R737" i="1"/>
  <c r="Q737" i="1"/>
  <c r="T737" i="1" s="1"/>
  <c r="U736" i="1"/>
  <c r="T736" i="1"/>
  <c r="S736" i="1"/>
  <c r="R736" i="1"/>
  <c r="Q736" i="1"/>
  <c r="U735" i="1"/>
  <c r="T735" i="1"/>
  <c r="S735" i="1"/>
  <c r="R735" i="1"/>
  <c r="Q735" i="1"/>
  <c r="U734" i="1"/>
  <c r="R734" i="1"/>
  <c r="Q734" i="1"/>
  <c r="S734" i="1" s="1"/>
  <c r="U733" i="1"/>
  <c r="R733" i="1"/>
  <c r="Q733" i="1"/>
  <c r="T733" i="1" s="1"/>
  <c r="U732" i="1"/>
  <c r="T732" i="1"/>
  <c r="S732" i="1"/>
  <c r="R732" i="1"/>
  <c r="Q732" i="1"/>
  <c r="U731" i="1"/>
  <c r="R731" i="1"/>
  <c r="Q731" i="1"/>
  <c r="T731" i="1" s="1"/>
  <c r="U730" i="1"/>
  <c r="T730" i="1"/>
  <c r="S730" i="1"/>
  <c r="R730" i="1"/>
  <c r="Q730" i="1"/>
  <c r="U729" i="1"/>
  <c r="R729" i="1"/>
  <c r="Q729" i="1"/>
  <c r="T729" i="1" s="1"/>
  <c r="U728" i="1"/>
  <c r="T728" i="1"/>
  <c r="S728" i="1"/>
  <c r="R728" i="1"/>
  <c r="Q728" i="1"/>
  <c r="U727" i="1"/>
  <c r="T727" i="1"/>
  <c r="S727" i="1"/>
  <c r="R727" i="1"/>
  <c r="Q727" i="1"/>
  <c r="U726" i="1"/>
  <c r="R726" i="1"/>
  <c r="Q726" i="1"/>
  <c r="S726" i="1" s="1"/>
  <c r="U725" i="1"/>
  <c r="T725" i="1"/>
  <c r="R725" i="1"/>
  <c r="Q725" i="1"/>
  <c r="S725" i="1" s="1"/>
  <c r="U724" i="1"/>
  <c r="R724" i="1"/>
  <c r="Q724" i="1"/>
  <c r="T724" i="1" s="1"/>
  <c r="U723" i="1"/>
  <c r="R723" i="1"/>
  <c r="Q723" i="1"/>
  <c r="T723" i="1" s="1"/>
  <c r="U722" i="1"/>
  <c r="T722" i="1"/>
  <c r="S722" i="1"/>
  <c r="R722" i="1"/>
  <c r="Q722" i="1"/>
  <c r="U721" i="1"/>
  <c r="R721" i="1"/>
  <c r="Q721" i="1"/>
  <c r="T721" i="1" s="1"/>
  <c r="U720" i="1"/>
  <c r="T720" i="1"/>
  <c r="S720" i="1"/>
  <c r="R720" i="1"/>
  <c r="Q720" i="1"/>
  <c r="U719" i="1"/>
  <c r="R719" i="1"/>
  <c r="Q719" i="1"/>
  <c r="T719" i="1" s="1"/>
  <c r="U718" i="1"/>
  <c r="T718" i="1"/>
  <c r="R718" i="1"/>
  <c r="Q718" i="1"/>
  <c r="S718" i="1" s="1"/>
  <c r="U717" i="1"/>
  <c r="S717" i="1"/>
  <c r="R717" i="1"/>
  <c r="Q717" i="1"/>
  <c r="T717" i="1" s="1"/>
  <c r="U716" i="1"/>
  <c r="T716" i="1"/>
  <c r="R716" i="1"/>
  <c r="Q716" i="1"/>
  <c r="S716" i="1" s="1"/>
  <c r="U715" i="1"/>
  <c r="T715" i="1"/>
  <c r="R715" i="1"/>
  <c r="Q715" i="1"/>
  <c r="S715" i="1" s="1"/>
  <c r="U714" i="1"/>
  <c r="R714" i="1"/>
  <c r="Q714" i="1"/>
  <c r="T714" i="1" s="1"/>
  <c r="U713" i="1"/>
  <c r="S713" i="1"/>
  <c r="R713" i="1"/>
  <c r="Q713" i="1"/>
  <c r="T713" i="1" s="1"/>
  <c r="U712" i="1"/>
  <c r="T712" i="1"/>
  <c r="S712" i="1"/>
  <c r="R712" i="1"/>
  <c r="Q712" i="1"/>
  <c r="U711" i="1"/>
  <c r="T711" i="1"/>
  <c r="R711" i="1"/>
  <c r="Q711" i="1"/>
  <c r="S711" i="1" s="1"/>
  <c r="U710" i="1"/>
  <c r="T710" i="1"/>
  <c r="R710" i="1"/>
  <c r="Q710" i="1"/>
  <c r="S710" i="1" s="1"/>
  <c r="U709" i="1"/>
  <c r="R709" i="1"/>
  <c r="Q709" i="1"/>
  <c r="T709" i="1" s="1"/>
  <c r="U708" i="1"/>
  <c r="T708" i="1"/>
  <c r="S708" i="1"/>
  <c r="R708" i="1"/>
  <c r="Q708" i="1"/>
  <c r="U707" i="1"/>
  <c r="S707" i="1"/>
  <c r="R707" i="1"/>
  <c r="Q707" i="1"/>
  <c r="T707" i="1" s="1"/>
  <c r="U706" i="1"/>
  <c r="T706" i="1"/>
  <c r="R706" i="1"/>
  <c r="Q706" i="1"/>
  <c r="S706" i="1" s="1"/>
  <c r="U705" i="1"/>
  <c r="S705" i="1"/>
  <c r="R705" i="1"/>
  <c r="Q705" i="1"/>
  <c r="T705" i="1" s="1"/>
  <c r="U704" i="1"/>
  <c r="T704" i="1"/>
  <c r="S704" i="1"/>
  <c r="R704" i="1"/>
  <c r="Q704" i="1"/>
  <c r="U703" i="1"/>
  <c r="T703" i="1"/>
  <c r="S703" i="1"/>
  <c r="R703" i="1"/>
  <c r="Q703" i="1"/>
  <c r="U702" i="1"/>
  <c r="R702" i="1"/>
  <c r="Q702" i="1"/>
  <c r="S702" i="1" s="1"/>
  <c r="U701" i="1"/>
  <c r="R701" i="1"/>
  <c r="Q701" i="1"/>
  <c r="T701" i="1" s="1"/>
  <c r="U700" i="1"/>
  <c r="T700" i="1"/>
  <c r="S700" i="1"/>
  <c r="R700" i="1"/>
  <c r="Q700" i="1"/>
  <c r="U699" i="1"/>
  <c r="R699" i="1"/>
  <c r="Q699" i="1"/>
  <c r="T699" i="1" s="1"/>
  <c r="U698" i="1"/>
  <c r="T698" i="1"/>
  <c r="S698" i="1"/>
  <c r="R698" i="1"/>
  <c r="Q698" i="1"/>
  <c r="U697" i="1"/>
  <c r="R697" i="1"/>
  <c r="Q697" i="1"/>
  <c r="T697" i="1" s="1"/>
  <c r="U696" i="1"/>
  <c r="T696" i="1"/>
  <c r="S696" i="1"/>
  <c r="R696" i="1"/>
  <c r="Q696" i="1"/>
  <c r="U695" i="1"/>
  <c r="T695" i="1"/>
  <c r="S695" i="1"/>
  <c r="R695" i="1"/>
  <c r="Q695" i="1"/>
  <c r="U694" i="1"/>
  <c r="R694" i="1"/>
  <c r="Q694" i="1"/>
  <c r="S694" i="1" s="1"/>
  <c r="U693" i="1"/>
  <c r="T693" i="1"/>
  <c r="R693" i="1"/>
  <c r="Q693" i="1"/>
  <c r="S693" i="1" s="1"/>
  <c r="U692" i="1"/>
  <c r="R692" i="1"/>
  <c r="Q692" i="1"/>
  <c r="T692" i="1" s="1"/>
  <c r="U691" i="1"/>
  <c r="R691" i="1"/>
  <c r="Q691" i="1"/>
  <c r="T691" i="1" s="1"/>
  <c r="U690" i="1"/>
  <c r="T690" i="1"/>
  <c r="S690" i="1"/>
  <c r="R690" i="1"/>
  <c r="Q690" i="1"/>
  <c r="U689" i="1"/>
  <c r="R689" i="1"/>
  <c r="Q689" i="1"/>
  <c r="T689" i="1" s="1"/>
  <c r="U688" i="1"/>
  <c r="T688" i="1"/>
  <c r="S688" i="1"/>
  <c r="R688" i="1"/>
  <c r="Q688" i="1"/>
  <c r="U687" i="1"/>
  <c r="R687" i="1"/>
  <c r="Q687" i="1"/>
  <c r="T687" i="1" s="1"/>
  <c r="U686" i="1"/>
  <c r="T686" i="1"/>
  <c r="R686" i="1"/>
  <c r="Q686" i="1"/>
  <c r="S686" i="1" s="1"/>
  <c r="U685" i="1"/>
  <c r="S685" i="1"/>
  <c r="R685" i="1"/>
  <c r="Q685" i="1"/>
  <c r="T685" i="1" s="1"/>
  <c r="U684" i="1"/>
  <c r="T684" i="1"/>
  <c r="R684" i="1"/>
  <c r="Q684" i="1"/>
  <c r="S684" i="1" s="1"/>
  <c r="U683" i="1"/>
  <c r="T683" i="1"/>
  <c r="R683" i="1"/>
  <c r="Q683" i="1"/>
  <c r="S683" i="1" s="1"/>
  <c r="U682" i="1"/>
  <c r="R682" i="1"/>
  <c r="Q682" i="1"/>
  <c r="T682" i="1" s="1"/>
  <c r="U681" i="1"/>
  <c r="S681" i="1"/>
  <c r="R681" i="1"/>
  <c r="Q681" i="1"/>
  <c r="T681" i="1" s="1"/>
  <c r="U680" i="1"/>
  <c r="T680" i="1"/>
  <c r="S680" i="1"/>
  <c r="R680" i="1"/>
  <c r="Q680" i="1"/>
  <c r="U679" i="1"/>
  <c r="T679" i="1"/>
  <c r="R679" i="1"/>
  <c r="Q679" i="1"/>
  <c r="S679" i="1" s="1"/>
  <c r="U678" i="1"/>
  <c r="T678" i="1"/>
  <c r="R678" i="1"/>
  <c r="Q678" i="1"/>
  <c r="S678" i="1" s="1"/>
  <c r="U677" i="1"/>
  <c r="R677" i="1"/>
  <c r="Q677" i="1"/>
  <c r="T677" i="1" s="1"/>
  <c r="U676" i="1"/>
  <c r="T676" i="1"/>
  <c r="S676" i="1"/>
  <c r="R676" i="1"/>
  <c r="Q676" i="1"/>
  <c r="U675" i="1"/>
  <c r="S675" i="1"/>
  <c r="R675" i="1"/>
  <c r="Q675" i="1"/>
  <c r="T675" i="1" s="1"/>
  <c r="U674" i="1"/>
  <c r="T674" i="1"/>
  <c r="R674" i="1"/>
  <c r="Q674" i="1"/>
  <c r="S674" i="1" s="1"/>
  <c r="U673" i="1"/>
  <c r="S673" i="1"/>
  <c r="R673" i="1"/>
  <c r="Q673" i="1"/>
  <c r="T673" i="1" s="1"/>
  <c r="U672" i="1"/>
  <c r="T672" i="1"/>
  <c r="S672" i="1"/>
  <c r="R672" i="1"/>
  <c r="Q672" i="1"/>
  <c r="U671" i="1"/>
  <c r="T671" i="1"/>
  <c r="S671" i="1"/>
  <c r="R671" i="1"/>
  <c r="Q671" i="1"/>
  <c r="U670" i="1"/>
  <c r="R670" i="1"/>
  <c r="Q670" i="1"/>
  <c r="S670" i="1" s="1"/>
  <c r="U669" i="1"/>
  <c r="S669" i="1"/>
  <c r="R669" i="1"/>
  <c r="Q669" i="1"/>
  <c r="T669" i="1" s="1"/>
  <c r="U668" i="1"/>
  <c r="T668" i="1"/>
  <c r="S668" i="1"/>
  <c r="R668" i="1"/>
  <c r="Q668" i="1"/>
  <c r="U667" i="1"/>
  <c r="R667" i="1"/>
  <c r="Q667" i="1"/>
  <c r="T667" i="1" s="1"/>
  <c r="U666" i="1"/>
  <c r="T666" i="1"/>
  <c r="S666" i="1"/>
  <c r="R666" i="1"/>
  <c r="Q666" i="1"/>
  <c r="U665" i="1"/>
  <c r="R665" i="1"/>
  <c r="Q665" i="1"/>
  <c r="T665" i="1" s="1"/>
  <c r="U664" i="1"/>
  <c r="T664" i="1"/>
  <c r="S664" i="1"/>
  <c r="R664" i="1"/>
  <c r="Q664" i="1"/>
  <c r="U663" i="1"/>
  <c r="T663" i="1"/>
  <c r="S663" i="1"/>
  <c r="R663" i="1"/>
  <c r="Q663" i="1"/>
  <c r="U662" i="1"/>
  <c r="R662" i="1"/>
  <c r="Q662" i="1"/>
  <c r="S662" i="1" s="1"/>
  <c r="U661" i="1"/>
  <c r="T661" i="1"/>
  <c r="R661" i="1"/>
  <c r="Q661" i="1"/>
  <c r="S661" i="1" s="1"/>
  <c r="U660" i="1"/>
  <c r="R660" i="1"/>
  <c r="Q660" i="1"/>
  <c r="T660" i="1" s="1"/>
  <c r="U659" i="1"/>
  <c r="S659" i="1"/>
  <c r="R659" i="1"/>
  <c r="Q659" i="1"/>
  <c r="T659" i="1" s="1"/>
  <c r="U658" i="1"/>
  <c r="T658" i="1"/>
  <c r="S658" i="1"/>
  <c r="R658" i="1"/>
  <c r="Q658" i="1"/>
  <c r="U657" i="1"/>
  <c r="R657" i="1"/>
  <c r="Q657" i="1"/>
  <c r="T657" i="1" s="1"/>
  <c r="U656" i="1"/>
  <c r="T656" i="1"/>
  <c r="S656" i="1"/>
  <c r="R656" i="1"/>
  <c r="Q656" i="1"/>
  <c r="U655" i="1"/>
  <c r="S655" i="1"/>
  <c r="R655" i="1"/>
  <c r="Q655" i="1"/>
  <c r="T655" i="1" s="1"/>
  <c r="U654" i="1"/>
  <c r="T654" i="1"/>
  <c r="R654" i="1"/>
  <c r="Q654" i="1"/>
  <c r="S654" i="1" s="1"/>
  <c r="U653" i="1"/>
  <c r="T653" i="1"/>
  <c r="R653" i="1"/>
  <c r="Q653" i="1"/>
  <c r="S653" i="1" s="1"/>
  <c r="U652" i="1"/>
  <c r="R652" i="1"/>
  <c r="Q652" i="1"/>
  <c r="T652" i="1" s="1"/>
  <c r="U651" i="1"/>
  <c r="S651" i="1"/>
  <c r="R651" i="1"/>
  <c r="Q651" i="1"/>
  <c r="T651" i="1" s="1"/>
  <c r="U650" i="1"/>
  <c r="T650" i="1"/>
  <c r="S650" i="1"/>
  <c r="R650" i="1"/>
  <c r="Q650" i="1"/>
  <c r="U649" i="1"/>
  <c r="R649" i="1"/>
  <c r="Q649" i="1"/>
  <c r="T649" i="1" s="1"/>
  <c r="U648" i="1"/>
  <c r="T648" i="1"/>
  <c r="S648" i="1"/>
  <c r="R648" i="1"/>
  <c r="Q648" i="1"/>
  <c r="U647" i="1"/>
  <c r="S647" i="1"/>
  <c r="R647" i="1"/>
  <c r="Q647" i="1"/>
  <c r="T647" i="1" s="1"/>
  <c r="U646" i="1"/>
  <c r="T646" i="1"/>
  <c r="R646" i="1"/>
  <c r="Q646" i="1"/>
  <c r="S646" i="1" s="1"/>
  <c r="U645" i="1"/>
  <c r="T645" i="1"/>
  <c r="R645" i="1"/>
  <c r="Q645" i="1"/>
  <c r="S645" i="1" s="1"/>
  <c r="U644" i="1"/>
  <c r="R644" i="1"/>
  <c r="Q644" i="1"/>
  <c r="T644" i="1" s="1"/>
  <c r="U643" i="1"/>
  <c r="S643" i="1"/>
  <c r="R643" i="1"/>
  <c r="Q643" i="1"/>
  <c r="T643" i="1" s="1"/>
  <c r="U642" i="1"/>
  <c r="T642" i="1"/>
  <c r="S642" i="1"/>
  <c r="R642" i="1"/>
  <c r="Q642" i="1"/>
  <c r="U641" i="1"/>
  <c r="R641" i="1"/>
  <c r="Q641" i="1"/>
  <c r="T641" i="1" s="1"/>
  <c r="U640" i="1"/>
  <c r="T640" i="1"/>
  <c r="S640" i="1"/>
  <c r="R640" i="1"/>
  <c r="Q640" i="1"/>
  <c r="U639" i="1"/>
  <c r="S639" i="1"/>
  <c r="R639" i="1"/>
  <c r="Q639" i="1"/>
  <c r="T639" i="1" s="1"/>
  <c r="U638" i="1"/>
  <c r="T638" i="1"/>
  <c r="R638" i="1"/>
  <c r="Q638" i="1"/>
  <c r="S638" i="1" s="1"/>
  <c r="U637" i="1"/>
  <c r="T637" i="1"/>
  <c r="R637" i="1"/>
  <c r="Q637" i="1"/>
  <c r="S637" i="1" s="1"/>
  <c r="U636" i="1"/>
  <c r="R636" i="1"/>
  <c r="Q636" i="1"/>
  <c r="T636" i="1" s="1"/>
  <c r="U635" i="1"/>
  <c r="S635" i="1"/>
  <c r="R635" i="1"/>
  <c r="Q635" i="1"/>
  <c r="T635" i="1" s="1"/>
  <c r="U634" i="1"/>
  <c r="T634" i="1"/>
  <c r="S634" i="1"/>
  <c r="R634" i="1"/>
  <c r="Q634" i="1"/>
  <c r="U633" i="1"/>
  <c r="R633" i="1"/>
  <c r="Q633" i="1"/>
  <c r="T633" i="1" s="1"/>
  <c r="U632" i="1"/>
  <c r="T632" i="1"/>
  <c r="S632" i="1"/>
  <c r="R632" i="1"/>
  <c r="Q632" i="1"/>
  <c r="U631" i="1"/>
  <c r="S631" i="1"/>
  <c r="R631" i="1"/>
  <c r="Q631" i="1"/>
  <c r="T631" i="1" s="1"/>
  <c r="U630" i="1"/>
  <c r="T630" i="1"/>
  <c r="R630" i="1"/>
  <c r="Q630" i="1"/>
  <c r="S630" i="1" s="1"/>
  <c r="U629" i="1"/>
  <c r="T629" i="1"/>
  <c r="R629" i="1"/>
  <c r="Q629" i="1"/>
  <c r="S629" i="1" s="1"/>
  <c r="U628" i="1"/>
  <c r="R628" i="1"/>
  <c r="Q628" i="1"/>
  <c r="T628" i="1" s="1"/>
  <c r="U627" i="1"/>
  <c r="S627" i="1"/>
  <c r="R627" i="1"/>
  <c r="Q627" i="1"/>
  <c r="T627" i="1" s="1"/>
  <c r="U626" i="1"/>
  <c r="T626" i="1"/>
  <c r="S626" i="1"/>
  <c r="R626" i="1"/>
  <c r="Q626" i="1"/>
  <c r="U625" i="1"/>
  <c r="R625" i="1"/>
  <c r="Q625" i="1"/>
  <c r="T625" i="1" s="1"/>
  <c r="U624" i="1"/>
  <c r="T624" i="1"/>
  <c r="S624" i="1"/>
  <c r="R624" i="1"/>
  <c r="Q624" i="1"/>
  <c r="U623" i="1"/>
  <c r="S623" i="1"/>
  <c r="R623" i="1"/>
  <c r="Q623" i="1"/>
  <c r="T623" i="1" s="1"/>
  <c r="U622" i="1"/>
  <c r="T622" i="1"/>
  <c r="R622" i="1"/>
  <c r="Q622" i="1"/>
  <c r="S622" i="1" s="1"/>
  <c r="U621" i="1"/>
  <c r="T621" i="1"/>
  <c r="R621" i="1"/>
  <c r="Q621" i="1"/>
  <c r="S621" i="1" s="1"/>
  <c r="U620" i="1"/>
  <c r="R620" i="1"/>
  <c r="Q620" i="1"/>
  <c r="T620" i="1" s="1"/>
  <c r="U619" i="1"/>
  <c r="S619" i="1"/>
  <c r="R619" i="1"/>
  <c r="Q619" i="1"/>
  <c r="T619" i="1" s="1"/>
  <c r="U618" i="1"/>
  <c r="T618" i="1"/>
  <c r="S618" i="1"/>
  <c r="R618" i="1"/>
  <c r="Q618" i="1"/>
  <c r="U617" i="1"/>
  <c r="R617" i="1"/>
  <c r="Q617" i="1"/>
  <c r="T617" i="1" s="1"/>
  <c r="U616" i="1"/>
  <c r="T616" i="1"/>
  <c r="S616" i="1"/>
  <c r="R616" i="1"/>
  <c r="Q616" i="1"/>
  <c r="U615" i="1"/>
  <c r="S615" i="1"/>
  <c r="R615" i="1"/>
  <c r="Q615" i="1"/>
  <c r="T615" i="1" s="1"/>
  <c r="U614" i="1"/>
  <c r="T614" i="1"/>
  <c r="R614" i="1"/>
  <c r="Q614" i="1"/>
  <c r="S614" i="1" s="1"/>
  <c r="U613" i="1"/>
  <c r="T613" i="1"/>
  <c r="R613" i="1"/>
  <c r="Q613" i="1"/>
  <c r="S613" i="1" s="1"/>
  <c r="U612" i="1"/>
  <c r="R612" i="1"/>
  <c r="Q612" i="1"/>
  <c r="T612" i="1" s="1"/>
  <c r="U611" i="1"/>
  <c r="S611" i="1"/>
  <c r="R611" i="1"/>
  <c r="Q611" i="1"/>
  <c r="T611" i="1" s="1"/>
  <c r="U610" i="1"/>
  <c r="T610" i="1"/>
  <c r="S610" i="1"/>
  <c r="R610" i="1"/>
  <c r="Q610" i="1"/>
  <c r="U609" i="1"/>
  <c r="R609" i="1"/>
  <c r="Q609" i="1"/>
  <c r="T609" i="1" s="1"/>
  <c r="U608" i="1"/>
  <c r="R608" i="1"/>
  <c r="Q608" i="1"/>
  <c r="T608" i="1" s="1"/>
  <c r="U607" i="1"/>
  <c r="S607" i="1"/>
  <c r="R607" i="1"/>
  <c r="Q607" i="1"/>
  <c r="T607" i="1" s="1"/>
  <c r="U606" i="1"/>
  <c r="T606" i="1"/>
  <c r="S606" i="1"/>
  <c r="R606" i="1"/>
  <c r="Q606" i="1"/>
  <c r="U605" i="1"/>
  <c r="T605" i="1"/>
  <c r="R605" i="1"/>
  <c r="Q605" i="1"/>
  <c r="S605" i="1" s="1"/>
  <c r="U604" i="1"/>
  <c r="R604" i="1"/>
  <c r="Q604" i="1"/>
  <c r="T604" i="1" s="1"/>
  <c r="U603" i="1"/>
  <c r="S603" i="1"/>
  <c r="R603" i="1"/>
  <c r="Q603" i="1"/>
  <c r="T603" i="1" s="1"/>
  <c r="U602" i="1"/>
  <c r="T602" i="1"/>
  <c r="S602" i="1"/>
  <c r="R602" i="1"/>
  <c r="Q602" i="1"/>
  <c r="U601" i="1"/>
  <c r="R601" i="1"/>
  <c r="Q601" i="1"/>
  <c r="T601" i="1" s="1"/>
  <c r="U600" i="1"/>
  <c r="R600" i="1"/>
  <c r="Q600" i="1"/>
  <c r="T600" i="1" s="1"/>
  <c r="U599" i="1"/>
  <c r="S599" i="1"/>
  <c r="R599" i="1"/>
  <c r="Q599" i="1"/>
  <c r="T599" i="1" s="1"/>
  <c r="U598" i="1"/>
  <c r="T598" i="1"/>
  <c r="S598" i="1"/>
  <c r="R598" i="1"/>
  <c r="Q598" i="1"/>
  <c r="U597" i="1"/>
  <c r="T597" i="1"/>
  <c r="R597" i="1"/>
  <c r="Q597" i="1"/>
  <c r="S597" i="1" s="1"/>
  <c r="U596" i="1"/>
  <c r="R596" i="1"/>
  <c r="Q596" i="1"/>
  <c r="T596" i="1" s="1"/>
  <c r="U595" i="1"/>
  <c r="S595" i="1"/>
  <c r="R595" i="1"/>
  <c r="Q595" i="1"/>
  <c r="T595" i="1" s="1"/>
  <c r="U594" i="1"/>
  <c r="T594" i="1"/>
  <c r="S594" i="1"/>
  <c r="R594" i="1"/>
  <c r="Q594" i="1"/>
  <c r="U593" i="1"/>
  <c r="R593" i="1"/>
  <c r="Q593" i="1"/>
  <c r="T593" i="1" s="1"/>
  <c r="U592" i="1"/>
  <c r="R592" i="1"/>
  <c r="Q592" i="1"/>
  <c r="T592" i="1" s="1"/>
  <c r="U591" i="1"/>
  <c r="S591" i="1"/>
  <c r="R591" i="1"/>
  <c r="Q591" i="1"/>
  <c r="T591" i="1" s="1"/>
  <c r="U590" i="1"/>
  <c r="T590" i="1"/>
  <c r="S590" i="1"/>
  <c r="R590" i="1"/>
  <c r="Q590" i="1"/>
  <c r="U589" i="1"/>
  <c r="T589" i="1"/>
  <c r="R589" i="1"/>
  <c r="Q589" i="1"/>
  <c r="S589" i="1" s="1"/>
  <c r="U588" i="1"/>
  <c r="R588" i="1"/>
  <c r="Q588" i="1"/>
  <c r="T588" i="1" s="1"/>
  <c r="U587" i="1"/>
  <c r="S587" i="1"/>
  <c r="R587" i="1"/>
  <c r="Q587" i="1"/>
  <c r="T587" i="1" s="1"/>
  <c r="U586" i="1"/>
  <c r="T586" i="1"/>
  <c r="S586" i="1"/>
  <c r="R586" i="1"/>
  <c r="Q586" i="1"/>
  <c r="U585" i="1"/>
  <c r="R585" i="1"/>
  <c r="Q585" i="1"/>
  <c r="T585" i="1" s="1"/>
  <c r="U584" i="1"/>
  <c r="R584" i="1"/>
  <c r="Q584" i="1"/>
  <c r="T584" i="1" s="1"/>
  <c r="U583" i="1"/>
  <c r="S583" i="1"/>
  <c r="R583" i="1"/>
  <c r="Q583" i="1"/>
  <c r="T583" i="1" s="1"/>
  <c r="U582" i="1"/>
  <c r="T582" i="1"/>
  <c r="S582" i="1"/>
  <c r="R582" i="1"/>
  <c r="Q582" i="1"/>
  <c r="U581" i="1"/>
  <c r="T581" i="1"/>
  <c r="R581" i="1"/>
  <c r="Q581" i="1"/>
  <c r="S581" i="1" s="1"/>
  <c r="U580" i="1"/>
  <c r="R580" i="1"/>
  <c r="Q580" i="1"/>
  <c r="T580" i="1" s="1"/>
  <c r="U579" i="1"/>
  <c r="S579" i="1"/>
  <c r="R579" i="1"/>
  <c r="Q579" i="1"/>
  <c r="T579" i="1" s="1"/>
  <c r="U578" i="1"/>
  <c r="T578" i="1"/>
  <c r="S578" i="1"/>
  <c r="R578" i="1"/>
  <c r="Q578" i="1"/>
  <c r="U577" i="1"/>
  <c r="R577" i="1"/>
  <c r="Q577" i="1"/>
  <c r="T577" i="1" s="1"/>
  <c r="U576" i="1"/>
  <c r="R576" i="1"/>
  <c r="Q576" i="1"/>
  <c r="T576" i="1" s="1"/>
  <c r="U575" i="1"/>
  <c r="S575" i="1"/>
  <c r="R575" i="1"/>
  <c r="Q575" i="1"/>
  <c r="T575" i="1" s="1"/>
  <c r="U574" i="1"/>
  <c r="T574" i="1"/>
  <c r="S574" i="1"/>
  <c r="R574" i="1"/>
  <c r="Q574" i="1"/>
  <c r="U573" i="1"/>
  <c r="T573" i="1"/>
  <c r="R573" i="1"/>
  <c r="Q573" i="1"/>
  <c r="S573" i="1" s="1"/>
  <c r="U572" i="1"/>
  <c r="R572" i="1"/>
  <c r="Q572" i="1"/>
  <c r="T572" i="1" s="1"/>
  <c r="U571" i="1"/>
  <c r="S571" i="1"/>
  <c r="R571" i="1"/>
  <c r="Q571" i="1"/>
  <c r="T571" i="1" s="1"/>
  <c r="U570" i="1"/>
  <c r="T570" i="1"/>
  <c r="S570" i="1"/>
  <c r="R570" i="1"/>
  <c r="Q570" i="1"/>
  <c r="U569" i="1"/>
  <c r="R569" i="1"/>
  <c r="Q569" i="1"/>
  <c r="T569" i="1" s="1"/>
  <c r="U568" i="1"/>
  <c r="R568" i="1"/>
  <c r="Q568" i="1"/>
  <c r="T568" i="1" s="1"/>
  <c r="U567" i="1"/>
  <c r="S567" i="1"/>
  <c r="R567" i="1"/>
  <c r="Q567" i="1"/>
  <c r="T567" i="1" s="1"/>
  <c r="U566" i="1"/>
  <c r="T566" i="1"/>
  <c r="S566" i="1"/>
  <c r="R566" i="1"/>
  <c r="Q566" i="1"/>
  <c r="U565" i="1"/>
  <c r="T565" i="1"/>
  <c r="R565" i="1"/>
  <c r="Q565" i="1"/>
  <c r="S565" i="1" s="1"/>
  <c r="U564" i="1"/>
  <c r="R564" i="1"/>
  <c r="Q564" i="1"/>
  <c r="T564" i="1" s="1"/>
  <c r="U563" i="1"/>
  <c r="S563" i="1"/>
  <c r="R563" i="1"/>
  <c r="Q563" i="1"/>
  <c r="T563" i="1" s="1"/>
  <c r="U562" i="1"/>
  <c r="T562" i="1"/>
  <c r="S562" i="1"/>
  <c r="R562" i="1"/>
  <c r="Q562" i="1"/>
  <c r="U561" i="1"/>
  <c r="R561" i="1"/>
  <c r="Q561" i="1"/>
  <c r="T561" i="1" s="1"/>
  <c r="U560" i="1"/>
  <c r="R560" i="1"/>
  <c r="Q560" i="1"/>
  <c r="T560" i="1" s="1"/>
  <c r="U559" i="1"/>
  <c r="S559" i="1"/>
  <c r="R559" i="1"/>
  <c r="Q559" i="1"/>
  <c r="T559" i="1" s="1"/>
  <c r="U558" i="1"/>
  <c r="T558" i="1"/>
  <c r="S558" i="1"/>
  <c r="R558" i="1"/>
  <c r="Q558" i="1"/>
  <c r="U557" i="1"/>
  <c r="T557" i="1"/>
  <c r="R557" i="1"/>
  <c r="Q557" i="1"/>
  <c r="S557" i="1" s="1"/>
  <c r="U556" i="1"/>
  <c r="R556" i="1"/>
  <c r="Q556" i="1"/>
  <c r="T556" i="1" s="1"/>
  <c r="U555" i="1"/>
  <c r="S555" i="1"/>
  <c r="R555" i="1"/>
  <c r="Q555" i="1"/>
  <c r="T555" i="1" s="1"/>
  <c r="U554" i="1"/>
  <c r="T554" i="1"/>
  <c r="S554" i="1"/>
  <c r="R554" i="1"/>
  <c r="Q554" i="1"/>
  <c r="U553" i="1"/>
  <c r="R553" i="1"/>
  <c r="Q553" i="1"/>
  <c r="T553" i="1" s="1"/>
  <c r="U552" i="1"/>
  <c r="R552" i="1"/>
  <c r="Q552" i="1"/>
  <c r="T552" i="1" s="1"/>
  <c r="U551" i="1"/>
  <c r="S551" i="1"/>
  <c r="R551" i="1"/>
  <c r="Q551" i="1"/>
  <c r="T551" i="1" s="1"/>
  <c r="U550" i="1"/>
  <c r="T550" i="1"/>
  <c r="S550" i="1"/>
  <c r="R550" i="1"/>
  <c r="Q550" i="1"/>
  <c r="U549" i="1"/>
  <c r="T549" i="1"/>
  <c r="R549" i="1"/>
  <c r="Q549" i="1"/>
  <c r="S549" i="1" s="1"/>
  <c r="U548" i="1"/>
  <c r="R548" i="1"/>
  <c r="Q548" i="1"/>
  <c r="T548" i="1" s="1"/>
  <c r="U547" i="1"/>
  <c r="S547" i="1"/>
  <c r="R547" i="1"/>
  <c r="Q547" i="1"/>
  <c r="T547" i="1" s="1"/>
  <c r="U546" i="1"/>
  <c r="T546" i="1"/>
  <c r="S546" i="1"/>
  <c r="R546" i="1"/>
  <c r="Q546" i="1"/>
  <c r="U545" i="1"/>
  <c r="R545" i="1"/>
  <c r="Q545" i="1"/>
  <c r="T545" i="1" s="1"/>
  <c r="U544" i="1"/>
  <c r="R544" i="1"/>
  <c r="Q544" i="1"/>
  <c r="T544" i="1" s="1"/>
  <c r="U543" i="1"/>
  <c r="S543" i="1"/>
  <c r="R543" i="1"/>
  <c r="Q543" i="1"/>
  <c r="T543" i="1" s="1"/>
  <c r="U542" i="1"/>
  <c r="T542" i="1"/>
  <c r="S542" i="1"/>
  <c r="R542" i="1"/>
  <c r="Q542" i="1"/>
  <c r="U541" i="1"/>
  <c r="T541" i="1"/>
  <c r="R541" i="1"/>
  <c r="Q541" i="1"/>
  <c r="S541" i="1" s="1"/>
  <c r="U540" i="1"/>
  <c r="R540" i="1"/>
  <c r="Q540" i="1"/>
  <c r="T540" i="1" s="1"/>
  <c r="U539" i="1"/>
  <c r="S539" i="1"/>
  <c r="R539" i="1"/>
  <c r="Q539" i="1"/>
  <c r="T539" i="1" s="1"/>
  <c r="U538" i="1"/>
  <c r="T538" i="1"/>
  <c r="S538" i="1"/>
  <c r="R538" i="1"/>
  <c r="Q538" i="1"/>
  <c r="U537" i="1"/>
  <c r="R537" i="1"/>
  <c r="Q537" i="1"/>
  <c r="T537" i="1" s="1"/>
  <c r="U536" i="1"/>
  <c r="R536" i="1"/>
  <c r="Q536" i="1"/>
  <c r="T536" i="1" s="1"/>
  <c r="U535" i="1"/>
  <c r="S535" i="1"/>
  <c r="R535" i="1"/>
  <c r="Q535" i="1"/>
  <c r="T535" i="1" s="1"/>
  <c r="U534" i="1"/>
  <c r="T534" i="1"/>
  <c r="S534" i="1"/>
  <c r="R534" i="1"/>
  <c r="Q534" i="1"/>
  <c r="U533" i="1"/>
  <c r="T533" i="1"/>
  <c r="R533" i="1"/>
  <c r="Q533" i="1"/>
  <c r="S533" i="1" s="1"/>
  <c r="U532" i="1"/>
  <c r="R532" i="1"/>
  <c r="Q532" i="1"/>
  <c r="T532" i="1" s="1"/>
  <c r="U531" i="1"/>
  <c r="S531" i="1"/>
  <c r="R531" i="1"/>
  <c r="Q531" i="1"/>
  <c r="T531" i="1" s="1"/>
  <c r="U530" i="1"/>
  <c r="T530" i="1"/>
  <c r="S530" i="1"/>
  <c r="R530" i="1"/>
  <c r="Q530" i="1"/>
  <c r="U529" i="1"/>
  <c r="R529" i="1"/>
  <c r="Q529" i="1"/>
  <c r="T529" i="1" s="1"/>
  <c r="U528" i="1"/>
  <c r="R528" i="1"/>
  <c r="Q528" i="1"/>
  <c r="T528" i="1" s="1"/>
  <c r="U527" i="1"/>
  <c r="S527" i="1"/>
  <c r="R527" i="1"/>
  <c r="Q527" i="1"/>
  <c r="T527" i="1" s="1"/>
  <c r="U526" i="1"/>
  <c r="T526" i="1"/>
  <c r="S526" i="1"/>
  <c r="R526" i="1"/>
  <c r="Q526" i="1"/>
  <c r="U525" i="1"/>
  <c r="T525" i="1"/>
  <c r="R525" i="1"/>
  <c r="Q525" i="1"/>
  <c r="S525" i="1" s="1"/>
  <c r="U524" i="1"/>
  <c r="R524" i="1"/>
  <c r="Q524" i="1"/>
  <c r="T524" i="1" s="1"/>
  <c r="U523" i="1"/>
  <c r="S523" i="1"/>
  <c r="R523" i="1"/>
  <c r="Q523" i="1"/>
  <c r="T523" i="1" s="1"/>
  <c r="U522" i="1"/>
  <c r="T522" i="1"/>
  <c r="S522" i="1"/>
  <c r="R522" i="1"/>
  <c r="Q522" i="1"/>
  <c r="U521" i="1"/>
  <c r="R521" i="1"/>
  <c r="Q521" i="1"/>
  <c r="T521" i="1" s="1"/>
  <c r="U520" i="1"/>
  <c r="R520" i="1"/>
  <c r="Q520" i="1"/>
  <c r="T520" i="1" s="1"/>
  <c r="U519" i="1"/>
  <c r="S519" i="1"/>
  <c r="R519" i="1"/>
  <c r="Q519" i="1"/>
  <c r="T519" i="1" s="1"/>
  <c r="U518" i="1"/>
  <c r="T518" i="1"/>
  <c r="S518" i="1"/>
  <c r="R518" i="1"/>
  <c r="Q518" i="1"/>
  <c r="U517" i="1"/>
  <c r="T517" i="1"/>
  <c r="R517" i="1"/>
  <c r="Q517" i="1"/>
  <c r="S517" i="1" s="1"/>
  <c r="U516" i="1"/>
  <c r="R516" i="1"/>
  <c r="Q516" i="1"/>
  <c r="T516" i="1" s="1"/>
  <c r="U515" i="1"/>
  <c r="S515" i="1"/>
  <c r="R515" i="1"/>
  <c r="Q515" i="1"/>
  <c r="T515" i="1" s="1"/>
  <c r="U514" i="1"/>
  <c r="T514" i="1"/>
  <c r="S514" i="1"/>
  <c r="R514" i="1"/>
  <c r="Q514" i="1"/>
  <c r="U513" i="1"/>
  <c r="R513" i="1"/>
  <c r="Q513" i="1"/>
  <c r="T513" i="1" s="1"/>
  <c r="U512" i="1"/>
  <c r="R512" i="1"/>
  <c r="Q512" i="1"/>
  <c r="T512" i="1" s="1"/>
  <c r="U511" i="1"/>
  <c r="S511" i="1"/>
  <c r="R511" i="1"/>
  <c r="Q511" i="1"/>
  <c r="T511" i="1" s="1"/>
  <c r="U510" i="1"/>
  <c r="T510" i="1"/>
  <c r="S510" i="1"/>
  <c r="R510" i="1"/>
  <c r="Q510" i="1"/>
  <c r="U509" i="1"/>
  <c r="T509" i="1"/>
  <c r="R509" i="1"/>
  <c r="Q509" i="1"/>
  <c r="S509" i="1" s="1"/>
  <c r="U508" i="1"/>
  <c r="R508" i="1"/>
  <c r="Q508" i="1"/>
  <c r="T508" i="1" s="1"/>
  <c r="U507" i="1"/>
  <c r="S507" i="1"/>
  <c r="R507" i="1"/>
  <c r="Q507" i="1"/>
  <c r="T507" i="1" s="1"/>
  <c r="U506" i="1"/>
  <c r="T506" i="1"/>
  <c r="S506" i="1"/>
  <c r="R506" i="1"/>
  <c r="Q506" i="1"/>
  <c r="U505" i="1"/>
  <c r="R505" i="1"/>
  <c r="Q505" i="1"/>
  <c r="T505" i="1" s="1"/>
  <c r="U504" i="1"/>
  <c r="R504" i="1"/>
  <c r="Q504" i="1"/>
  <c r="T504" i="1" s="1"/>
  <c r="U503" i="1"/>
  <c r="S503" i="1"/>
  <c r="R503" i="1"/>
  <c r="Q503" i="1"/>
  <c r="T503" i="1" s="1"/>
  <c r="U502" i="1"/>
  <c r="T502" i="1"/>
  <c r="S502" i="1"/>
  <c r="R502" i="1"/>
  <c r="Q502" i="1"/>
  <c r="U501" i="1"/>
  <c r="T501" i="1"/>
  <c r="R501" i="1"/>
  <c r="Q501" i="1"/>
  <c r="S501" i="1" s="1"/>
  <c r="U500" i="1"/>
  <c r="R500" i="1"/>
  <c r="Q500" i="1"/>
  <c r="T500" i="1" s="1"/>
  <c r="U499" i="1"/>
  <c r="S499" i="1"/>
  <c r="R499" i="1"/>
  <c r="Q499" i="1"/>
  <c r="T499" i="1" s="1"/>
  <c r="U498" i="1"/>
  <c r="T498" i="1"/>
  <c r="S498" i="1"/>
  <c r="R498" i="1"/>
  <c r="Q498" i="1"/>
  <c r="U497" i="1"/>
  <c r="R497" i="1"/>
  <c r="Q497" i="1"/>
  <c r="T497" i="1" s="1"/>
  <c r="U496" i="1"/>
  <c r="R496" i="1"/>
  <c r="Q496" i="1"/>
  <c r="T496" i="1" s="1"/>
  <c r="U495" i="1"/>
  <c r="S495" i="1"/>
  <c r="R495" i="1"/>
  <c r="Q495" i="1"/>
  <c r="T495" i="1" s="1"/>
  <c r="U494" i="1"/>
  <c r="T494" i="1"/>
  <c r="S494" i="1"/>
  <c r="R494" i="1"/>
  <c r="Q494" i="1"/>
  <c r="U493" i="1"/>
  <c r="T493" i="1"/>
  <c r="R493" i="1"/>
  <c r="Q493" i="1"/>
  <c r="S493" i="1" s="1"/>
  <c r="U492" i="1"/>
  <c r="R492" i="1"/>
  <c r="Q492" i="1"/>
  <c r="T492" i="1" s="1"/>
  <c r="U491" i="1"/>
  <c r="S491" i="1"/>
  <c r="R491" i="1"/>
  <c r="Q491" i="1"/>
  <c r="T491" i="1" s="1"/>
  <c r="U490" i="1"/>
  <c r="T490" i="1"/>
  <c r="S490" i="1"/>
  <c r="R490" i="1"/>
  <c r="Q490" i="1"/>
  <c r="U489" i="1"/>
  <c r="R489" i="1"/>
  <c r="Q489" i="1"/>
  <c r="U488" i="1"/>
  <c r="R488" i="1"/>
  <c r="Q488" i="1"/>
  <c r="T488" i="1" s="1"/>
  <c r="U487" i="1"/>
  <c r="S487" i="1"/>
  <c r="R487" i="1"/>
  <c r="Q487" i="1"/>
  <c r="T487" i="1" s="1"/>
  <c r="U486" i="1"/>
  <c r="T486" i="1"/>
  <c r="S486" i="1"/>
  <c r="R486" i="1"/>
  <c r="Q486" i="1"/>
  <c r="U485" i="1"/>
  <c r="T485" i="1"/>
  <c r="R485" i="1"/>
  <c r="Q485" i="1"/>
  <c r="S485" i="1" s="1"/>
  <c r="U484" i="1"/>
  <c r="R484" i="1"/>
  <c r="Q484" i="1"/>
  <c r="U483" i="1"/>
  <c r="S483" i="1"/>
  <c r="R483" i="1"/>
  <c r="Q483" i="1"/>
  <c r="T483" i="1" s="1"/>
  <c r="U482" i="1"/>
  <c r="T482" i="1"/>
  <c r="S482" i="1"/>
  <c r="R482" i="1"/>
  <c r="Q482" i="1"/>
  <c r="U481" i="1"/>
  <c r="R481" i="1"/>
  <c r="Q481" i="1"/>
  <c r="U480" i="1"/>
  <c r="R480" i="1"/>
  <c r="Q480" i="1"/>
  <c r="T480" i="1" s="1"/>
  <c r="U479" i="1"/>
  <c r="S479" i="1"/>
  <c r="R479" i="1"/>
  <c r="Q479" i="1"/>
  <c r="T479" i="1" s="1"/>
  <c r="U478" i="1"/>
  <c r="T478" i="1"/>
  <c r="S478" i="1"/>
  <c r="R478" i="1"/>
  <c r="Q478" i="1"/>
  <c r="U477" i="1"/>
  <c r="T477" i="1"/>
  <c r="R477" i="1"/>
  <c r="Q477" i="1"/>
  <c r="S477" i="1" s="1"/>
  <c r="U476" i="1"/>
  <c r="R476" i="1"/>
  <c r="Q476" i="1"/>
  <c r="U475" i="1"/>
  <c r="S475" i="1"/>
  <c r="R475" i="1"/>
  <c r="Q475" i="1"/>
  <c r="T475" i="1" s="1"/>
  <c r="U474" i="1"/>
  <c r="T474" i="1"/>
  <c r="S474" i="1"/>
  <c r="R474" i="1"/>
  <c r="Q474" i="1"/>
  <c r="U473" i="1"/>
  <c r="R473" i="1"/>
  <c r="Q473" i="1"/>
  <c r="U472" i="1"/>
  <c r="R472" i="1"/>
  <c r="Q472" i="1"/>
  <c r="T472" i="1" s="1"/>
  <c r="U471" i="1"/>
  <c r="S471" i="1"/>
  <c r="R471" i="1"/>
  <c r="Q471" i="1"/>
  <c r="T471" i="1" s="1"/>
  <c r="U470" i="1"/>
  <c r="T470" i="1"/>
  <c r="S470" i="1"/>
  <c r="R470" i="1"/>
  <c r="Q470" i="1"/>
  <c r="U469" i="1"/>
  <c r="T469" i="1"/>
  <c r="R469" i="1"/>
  <c r="Q469" i="1"/>
  <c r="S469" i="1" s="1"/>
  <c r="U468" i="1"/>
  <c r="R468" i="1"/>
  <c r="Q468" i="1"/>
  <c r="U467" i="1"/>
  <c r="S467" i="1"/>
  <c r="R467" i="1"/>
  <c r="Q467" i="1"/>
  <c r="T467" i="1" s="1"/>
  <c r="U466" i="1"/>
  <c r="T466" i="1"/>
  <c r="S466" i="1"/>
  <c r="R466" i="1"/>
  <c r="Q466" i="1"/>
  <c r="U465" i="1"/>
  <c r="R465" i="1"/>
  <c r="Q465" i="1"/>
  <c r="U464" i="1"/>
  <c r="R464" i="1"/>
  <c r="Q464" i="1"/>
  <c r="T464" i="1" s="1"/>
  <c r="U463" i="1"/>
  <c r="S463" i="1"/>
  <c r="R463" i="1"/>
  <c r="Q463" i="1"/>
  <c r="T463" i="1" s="1"/>
  <c r="U462" i="1"/>
  <c r="T462" i="1"/>
  <c r="S462" i="1"/>
  <c r="R462" i="1"/>
  <c r="Q462" i="1"/>
  <c r="U461" i="1"/>
  <c r="T461" i="1"/>
  <c r="R461" i="1"/>
  <c r="Q461" i="1"/>
  <c r="S461" i="1" s="1"/>
  <c r="U460" i="1"/>
  <c r="R460" i="1"/>
  <c r="Q460" i="1"/>
  <c r="U459" i="1"/>
  <c r="S459" i="1"/>
  <c r="R459" i="1"/>
  <c r="Q459" i="1"/>
  <c r="T459" i="1" s="1"/>
  <c r="U458" i="1"/>
  <c r="T458" i="1"/>
  <c r="S458" i="1"/>
  <c r="R458" i="1"/>
  <c r="Q458" i="1"/>
  <c r="U457" i="1"/>
  <c r="R457" i="1"/>
  <c r="Q457" i="1"/>
  <c r="U456" i="1"/>
  <c r="R456" i="1"/>
  <c r="Q456" i="1"/>
  <c r="T456" i="1" s="1"/>
  <c r="U455" i="1"/>
  <c r="S455" i="1"/>
  <c r="R455" i="1"/>
  <c r="Q455" i="1"/>
  <c r="T455" i="1" s="1"/>
  <c r="U454" i="1"/>
  <c r="T454" i="1"/>
  <c r="S454" i="1"/>
  <c r="R454" i="1"/>
  <c r="Q454" i="1"/>
  <c r="U453" i="1"/>
  <c r="T453" i="1"/>
  <c r="R453" i="1"/>
  <c r="Q453" i="1"/>
  <c r="S453" i="1" s="1"/>
  <c r="U452" i="1"/>
  <c r="R452" i="1"/>
  <c r="Q452" i="1"/>
  <c r="U451" i="1"/>
  <c r="S451" i="1"/>
  <c r="R451" i="1"/>
  <c r="Q451" i="1"/>
  <c r="T451" i="1" s="1"/>
  <c r="U450" i="1"/>
  <c r="T450" i="1"/>
  <c r="S450" i="1"/>
  <c r="R450" i="1"/>
  <c r="Q450" i="1"/>
  <c r="U449" i="1"/>
  <c r="R449" i="1"/>
  <c r="Q449" i="1"/>
  <c r="U448" i="1"/>
  <c r="R448" i="1"/>
  <c r="Q448" i="1"/>
  <c r="T448" i="1" s="1"/>
  <c r="U447" i="1"/>
  <c r="S447" i="1"/>
  <c r="R447" i="1"/>
  <c r="Q447" i="1"/>
  <c r="T447" i="1" s="1"/>
  <c r="U446" i="1"/>
  <c r="T446" i="1"/>
  <c r="S446" i="1"/>
  <c r="R446" i="1"/>
  <c r="Q446" i="1"/>
  <c r="U445" i="1"/>
  <c r="T445" i="1"/>
  <c r="R445" i="1"/>
  <c r="Q445" i="1"/>
  <c r="S445" i="1" s="1"/>
  <c r="U444" i="1"/>
  <c r="R444" i="1"/>
  <c r="Q444" i="1"/>
  <c r="U443" i="1"/>
  <c r="S443" i="1"/>
  <c r="R443" i="1"/>
  <c r="Q443" i="1"/>
  <c r="T443" i="1" s="1"/>
  <c r="U442" i="1"/>
  <c r="T442" i="1"/>
  <c r="S442" i="1"/>
  <c r="R442" i="1"/>
  <c r="Q442" i="1"/>
  <c r="U441" i="1"/>
  <c r="R441" i="1"/>
  <c r="Q441" i="1"/>
  <c r="U440" i="1"/>
  <c r="R440" i="1"/>
  <c r="Q440" i="1"/>
  <c r="T440" i="1" s="1"/>
  <c r="U439" i="1"/>
  <c r="S439" i="1"/>
  <c r="R439" i="1"/>
  <c r="Q439" i="1"/>
  <c r="T439" i="1" s="1"/>
  <c r="U438" i="1"/>
  <c r="T438" i="1"/>
  <c r="S438" i="1"/>
  <c r="R438" i="1"/>
  <c r="Q438" i="1"/>
  <c r="U437" i="1"/>
  <c r="T437" i="1"/>
  <c r="R437" i="1"/>
  <c r="Q437" i="1"/>
  <c r="S437" i="1" s="1"/>
  <c r="U436" i="1"/>
  <c r="R436" i="1"/>
  <c r="Q436" i="1"/>
  <c r="U435" i="1"/>
  <c r="S435" i="1"/>
  <c r="R435" i="1"/>
  <c r="Q435" i="1"/>
  <c r="T435" i="1" s="1"/>
  <c r="U434" i="1"/>
  <c r="T434" i="1"/>
  <c r="S434" i="1"/>
  <c r="R434" i="1"/>
  <c r="Q434" i="1"/>
  <c r="U433" i="1"/>
  <c r="R433" i="1"/>
  <c r="Q433" i="1"/>
  <c r="U432" i="1"/>
  <c r="R432" i="1"/>
  <c r="Q432" i="1"/>
  <c r="T432" i="1" s="1"/>
  <c r="U431" i="1"/>
  <c r="S431" i="1"/>
  <c r="R431" i="1"/>
  <c r="Q431" i="1"/>
  <c r="T431" i="1" s="1"/>
  <c r="U430" i="1"/>
  <c r="T430" i="1"/>
  <c r="S430" i="1"/>
  <c r="R430" i="1"/>
  <c r="Q430" i="1"/>
  <c r="U429" i="1"/>
  <c r="T429" i="1"/>
  <c r="R429" i="1"/>
  <c r="Q429" i="1"/>
  <c r="S429" i="1" s="1"/>
  <c r="U428" i="1"/>
  <c r="R428" i="1"/>
  <c r="Q428" i="1"/>
  <c r="U427" i="1"/>
  <c r="S427" i="1"/>
  <c r="R427" i="1"/>
  <c r="Q427" i="1"/>
  <c r="T427" i="1" s="1"/>
  <c r="U426" i="1"/>
  <c r="T426" i="1"/>
  <c r="S426" i="1"/>
  <c r="R426" i="1"/>
  <c r="Q426" i="1"/>
  <c r="U425" i="1"/>
  <c r="R425" i="1"/>
  <c r="Q425" i="1"/>
  <c r="U424" i="1"/>
  <c r="R424" i="1"/>
  <c r="Q424" i="1"/>
  <c r="T424" i="1" s="1"/>
  <c r="U423" i="1"/>
  <c r="S423" i="1"/>
  <c r="R423" i="1"/>
  <c r="Q423" i="1"/>
  <c r="T423" i="1" s="1"/>
  <c r="U422" i="1"/>
  <c r="T422" i="1"/>
  <c r="S422" i="1"/>
  <c r="R422" i="1"/>
  <c r="Q422" i="1"/>
  <c r="U421" i="1"/>
  <c r="T421" i="1"/>
  <c r="R421" i="1"/>
  <c r="Q421" i="1"/>
  <c r="S421" i="1" s="1"/>
  <c r="U420" i="1"/>
  <c r="R420" i="1"/>
  <c r="Q420" i="1"/>
  <c r="U419" i="1"/>
  <c r="S419" i="1"/>
  <c r="R419" i="1"/>
  <c r="Q419" i="1"/>
  <c r="T419" i="1" s="1"/>
  <c r="U418" i="1"/>
  <c r="T418" i="1"/>
  <c r="S418" i="1"/>
  <c r="R418" i="1"/>
  <c r="Q418" i="1"/>
  <c r="U417" i="1"/>
  <c r="R417" i="1"/>
  <c r="Q417" i="1"/>
  <c r="U416" i="1"/>
  <c r="R416" i="1"/>
  <c r="Q416" i="1"/>
  <c r="T416" i="1" s="1"/>
  <c r="U415" i="1"/>
  <c r="S415" i="1"/>
  <c r="R415" i="1"/>
  <c r="Q415" i="1"/>
  <c r="T415" i="1" s="1"/>
  <c r="U414" i="1"/>
  <c r="T414" i="1"/>
  <c r="S414" i="1"/>
  <c r="R414" i="1"/>
  <c r="Q414" i="1"/>
  <c r="U413" i="1"/>
  <c r="T413" i="1"/>
  <c r="R413" i="1"/>
  <c r="Q413" i="1"/>
  <c r="S413" i="1" s="1"/>
  <c r="U412" i="1"/>
  <c r="R412" i="1"/>
  <c r="Q412" i="1"/>
  <c r="U411" i="1"/>
  <c r="S411" i="1"/>
  <c r="R411" i="1"/>
  <c r="Q411" i="1"/>
  <c r="T411" i="1" s="1"/>
  <c r="U410" i="1"/>
  <c r="T410" i="1"/>
  <c r="S410" i="1"/>
  <c r="R410" i="1"/>
  <c r="Q410" i="1"/>
  <c r="U409" i="1"/>
  <c r="R409" i="1"/>
  <c r="Q409" i="1"/>
  <c r="U408" i="1"/>
  <c r="S408" i="1"/>
  <c r="R408" i="1"/>
  <c r="Q408" i="1"/>
  <c r="T408" i="1" s="1"/>
  <c r="U407" i="1"/>
  <c r="S407" i="1"/>
  <c r="R407" i="1"/>
  <c r="Q407" i="1"/>
  <c r="T407" i="1" s="1"/>
  <c r="U406" i="1"/>
  <c r="T406" i="1"/>
  <c r="S406" i="1"/>
  <c r="R406" i="1"/>
  <c r="Q406" i="1"/>
  <c r="U405" i="1"/>
  <c r="T405" i="1"/>
  <c r="R405" i="1"/>
  <c r="Q405" i="1"/>
  <c r="S405" i="1" s="1"/>
  <c r="U404" i="1"/>
  <c r="R404" i="1"/>
  <c r="Q404" i="1"/>
  <c r="U403" i="1"/>
  <c r="S403" i="1"/>
  <c r="R403" i="1"/>
  <c r="Q403" i="1"/>
  <c r="T403" i="1" s="1"/>
  <c r="U402" i="1"/>
  <c r="T402" i="1"/>
  <c r="S402" i="1"/>
  <c r="R402" i="1"/>
  <c r="Q402" i="1"/>
  <c r="U401" i="1"/>
  <c r="R401" i="1"/>
  <c r="Q401" i="1"/>
  <c r="U400" i="1"/>
  <c r="S400" i="1"/>
  <c r="R400" i="1"/>
  <c r="Q400" i="1"/>
  <c r="T400" i="1" s="1"/>
  <c r="U399" i="1"/>
  <c r="S399" i="1"/>
  <c r="R399" i="1"/>
  <c r="Q399" i="1"/>
  <c r="T399" i="1" s="1"/>
  <c r="U398" i="1"/>
  <c r="T398" i="1"/>
  <c r="S398" i="1"/>
  <c r="R398" i="1"/>
  <c r="Q398" i="1"/>
  <c r="U397" i="1"/>
  <c r="R397" i="1"/>
  <c r="Q397" i="1"/>
  <c r="S397" i="1" s="1"/>
  <c r="U396" i="1"/>
  <c r="R396" i="1"/>
  <c r="Q396" i="1"/>
  <c r="U395" i="1"/>
  <c r="S395" i="1"/>
  <c r="R395" i="1"/>
  <c r="Q395" i="1"/>
  <c r="T395" i="1" s="1"/>
  <c r="U394" i="1"/>
  <c r="T394" i="1"/>
  <c r="S394" i="1"/>
  <c r="R394" i="1"/>
  <c r="Q394" i="1"/>
  <c r="U393" i="1"/>
  <c r="R393" i="1"/>
  <c r="Q393" i="1"/>
  <c r="U392" i="1"/>
  <c r="S392" i="1"/>
  <c r="R392" i="1"/>
  <c r="Q392" i="1"/>
  <c r="T392" i="1" s="1"/>
  <c r="U391" i="1"/>
  <c r="S391" i="1"/>
  <c r="R391" i="1"/>
  <c r="Q391" i="1"/>
  <c r="T391" i="1" s="1"/>
  <c r="U390" i="1"/>
  <c r="T390" i="1"/>
  <c r="S390" i="1"/>
  <c r="R390" i="1"/>
  <c r="Q390" i="1"/>
  <c r="U389" i="1"/>
  <c r="R389" i="1"/>
  <c r="Q389" i="1"/>
  <c r="S389" i="1" s="1"/>
  <c r="U388" i="1"/>
  <c r="R388" i="1"/>
  <c r="Q388" i="1"/>
  <c r="U387" i="1"/>
  <c r="S387" i="1"/>
  <c r="R387" i="1"/>
  <c r="Q387" i="1"/>
  <c r="T387" i="1" s="1"/>
  <c r="U386" i="1"/>
  <c r="T386" i="1"/>
  <c r="S386" i="1"/>
  <c r="R386" i="1"/>
  <c r="Q386" i="1"/>
  <c r="U385" i="1"/>
  <c r="R385" i="1"/>
  <c r="Q385" i="1"/>
  <c r="U384" i="1"/>
  <c r="S384" i="1"/>
  <c r="R384" i="1"/>
  <c r="Q384" i="1"/>
  <c r="T384" i="1" s="1"/>
  <c r="U383" i="1"/>
  <c r="S383" i="1"/>
  <c r="R383" i="1"/>
  <c r="Q383" i="1"/>
  <c r="T383" i="1" s="1"/>
  <c r="U382" i="1"/>
  <c r="T382" i="1"/>
  <c r="S382" i="1"/>
  <c r="R382" i="1"/>
  <c r="Q382" i="1"/>
  <c r="U381" i="1"/>
  <c r="R381" i="1"/>
  <c r="Q381" i="1"/>
  <c r="S381" i="1" s="1"/>
  <c r="U380" i="1"/>
  <c r="R380" i="1"/>
  <c r="Q380" i="1"/>
  <c r="U379" i="1"/>
  <c r="S379" i="1"/>
  <c r="R379" i="1"/>
  <c r="Q379" i="1"/>
  <c r="T379" i="1" s="1"/>
  <c r="U378" i="1"/>
  <c r="T378" i="1"/>
  <c r="S378" i="1"/>
  <c r="R378" i="1"/>
  <c r="Q378" i="1"/>
  <c r="U377" i="1"/>
  <c r="R377" i="1"/>
  <c r="Q377" i="1"/>
  <c r="U376" i="1"/>
  <c r="S376" i="1"/>
  <c r="R376" i="1"/>
  <c r="Q376" i="1"/>
  <c r="T376" i="1" s="1"/>
  <c r="U375" i="1"/>
  <c r="S375" i="1"/>
  <c r="R375" i="1"/>
  <c r="Q375" i="1"/>
  <c r="T375" i="1" s="1"/>
  <c r="U374" i="1"/>
  <c r="T374" i="1"/>
  <c r="S374" i="1"/>
  <c r="R374" i="1"/>
  <c r="Q374" i="1"/>
  <c r="U373" i="1"/>
  <c r="R373" i="1"/>
  <c r="Q373" i="1"/>
  <c r="S373" i="1" s="1"/>
  <c r="U372" i="1"/>
  <c r="R372" i="1"/>
  <c r="Q372" i="1"/>
  <c r="U371" i="1"/>
  <c r="S371" i="1"/>
  <c r="R371" i="1"/>
  <c r="Q371" i="1"/>
  <c r="T371" i="1" s="1"/>
  <c r="U370" i="1"/>
  <c r="T370" i="1"/>
  <c r="S370" i="1"/>
  <c r="R370" i="1"/>
  <c r="Q370" i="1"/>
  <c r="U369" i="1"/>
  <c r="R369" i="1"/>
  <c r="Q369" i="1"/>
  <c r="U368" i="1"/>
  <c r="S368" i="1"/>
  <c r="R368" i="1"/>
  <c r="Q368" i="1"/>
  <c r="T368" i="1" s="1"/>
  <c r="U367" i="1"/>
  <c r="S367" i="1"/>
  <c r="R367" i="1"/>
  <c r="Q367" i="1"/>
  <c r="T367" i="1" s="1"/>
  <c r="U366" i="1"/>
  <c r="T366" i="1"/>
  <c r="S366" i="1"/>
  <c r="R366" i="1"/>
  <c r="Q366" i="1"/>
  <c r="U365" i="1"/>
  <c r="R365" i="1"/>
  <c r="Q365" i="1"/>
  <c r="S365" i="1" s="1"/>
  <c r="U364" i="1"/>
  <c r="R364" i="1"/>
  <c r="Q364" i="1"/>
  <c r="U363" i="1"/>
  <c r="S363" i="1"/>
  <c r="R363" i="1"/>
  <c r="Q363" i="1"/>
  <c r="T363" i="1" s="1"/>
  <c r="U362" i="1"/>
  <c r="T362" i="1"/>
  <c r="S362" i="1"/>
  <c r="R362" i="1"/>
  <c r="Q362" i="1"/>
  <c r="U361" i="1"/>
  <c r="R361" i="1"/>
  <c r="Q361" i="1"/>
  <c r="U360" i="1"/>
  <c r="S360" i="1"/>
  <c r="R360" i="1"/>
  <c r="Q360" i="1"/>
  <c r="T360" i="1" s="1"/>
  <c r="U359" i="1"/>
  <c r="S359" i="1"/>
  <c r="R359" i="1"/>
  <c r="Q359" i="1"/>
  <c r="T359" i="1" s="1"/>
  <c r="U358" i="1"/>
  <c r="T358" i="1"/>
  <c r="S358" i="1"/>
  <c r="R358" i="1"/>
  <c r="Q358" i="1"/>
  <c r="U357" i="1"/>
  <c r="R357" i="1"/>
  <c r="Q357" i="1"/>
  <c r="S357" i="1" s="1"/>
  <c r="U356" i="1"/>
  <c r="R356" i="1"/>
  <c r="Q356" i="1"/>
  <c r="U355" i="1"/>
  <c r="S355" i="1"/>
  <c r="R355" i="1"/>
  <c r="Q355" i="1"/>
  <c r="T355" i="1" s="1"/>
  <c r="U354" i="1"/>
  <c r="T354" i="1"/>
  <c r="S354" i="1"/>
  <c r="R354" i="1"/>
  <c r="Q354" i="1"/>
  <c r="U353" i="1"/>
  <c r="R353" i="1"/>
  <c r="Q353" i="1"/>
  <c r="U352" i="1"/>
  <c r="S352" i="1"/>
  <c r="R352" i="1"/>
  <c r="Q352" i="1"/>
  <c r="T352" i="1" s="1"/>
  <c r="U351" i="1"/>
  <c r="S351" i="1"/>
  <c r="R351" i="1"/>
  <c r="Q351" i="1"/>
  <c r="T351" i="1" s="1"/>
  <c r="U350" i="1"/>
  <c r="T350" i="1"/>
  <c r="S350" i="1"/>
  <c r="R350" i="1"/>
  <c r="Q350" i="1"/>
  <c r="U349" i="1"/>
  <c r="R349" i="1"/>
  <c r="Q349" i="1"/>
  <c r="S349" i="1" s="1"/>
  <c r="U348" i="1"/>
  <c r="R348" i="1"/>
  <c r="Q348" i="1"/>
  <c r="U347" i="1"/>
  <c r="T347" i="1"/>
  <c r="S347" i="1"/>
  <c r="R347" i="1"/>
  <c r="Q347" i="1"/>
  <c r="U346" i="1"/>
  <c r="T346" i="1"/>
  <c r="S346" i="1"/>
  <c r="R346" i="1"/>
  <c r="Q346" i="1"/>
  <c r="U345" i="1"/>
  <c r="R345" i="1"/>
  <c r="Q345" i="1"/>
  <c r="U344" i="1"/>
  <c r="S344" i="1"/>
  <c r="R344" i="1"/>
  <c r="Q344" i="1"/>
  <c r="T344" i="1" s="1"/>
  <c r="U343" i="1"/>
  <c r="S343" i="1"/>
  <c r="R343" i="1"/>
  <c r="Q343" i="1"/>
  <c r="T343" i="1" s="1"/>
  <c r="U342" i="1"/>
  <c r="T342" i="1"/>
  <c r="S342" i="1"/>
  <c r="R342" i="1"/>
  <c r="Q342" i="1"/>
  <c r="U341" i="1"/>
  <c r="T341" i="1"/>
  <c r="R341" i="1"/>
  <c r="Q341" i="1"/>
  <c r="S341" i="1" s="1"/>
  <c r="U340" i="1"/>
  <c r="R340" i="1"/>
  <c r="Q340" i="1"/>
  <c r="U339" i="1"/>
  <c r="T339" i="1"/>
  <c r="S339" i="1"/>
  <c r="R339" i="1"/>
  <c r="Q339" i="1"/>
  <c r="U338" i="1"/>
  <c r="T338" i="1"/>
  <c r="S338" i="1"/>
  <c r="R338" i="1"/>
  <c r="Q338" i="1"/>
  <c r="U337" i="1"/>
  <c r="R337" i="1"/>
  <c r="Q337" i="1"/>
  <c r="U336" i="1"/>
  <c r="S336" i="1"/>
  <c r="R336" i="1"/>
  <c r="Q336" i="1"/>
  <c r="T336" i="1" s="1"/>
  <c r="U335" i="1"/>
  <c r="S335" i="1"/>
  <c r="R335" i="1"/>
  <c r="Q335" i="1"/>
  <c r="T335" i="1" s="1"/>
  <c r="U334" i="1"/>
  <c r="T334" i="1"/>
  <c r="S334" i="1"/>
  <c r="R334" i="1"/>
  <c r="Q334" i="1"/>
  <c r="U333" i="1"/>
  <c r="T333" i="1"/>
  <c r="R333" i="1"/>
  <c r="Q333" i="1"/>
  <c r="S333" i="1" s="1"/>
  <c r="U332" i="1"/>
  <c r="R332" i="1"/>
  <c r="Q332" i="1"/>
  <c r="U331" i="1"/>
  <c r="T331" i="1"/>
  <c r="S331" i="1"/>
  <c r="R331" i="1"/>
  <c r="Q331" i="1"/>
  <c r="U330" i="1"/>
  <c r="T330" i="1"/>
  <c r="S330" i="1"/>
  <c r="R330" i="1"/>
  <c r="Q330" i="1"/>
  <c r="U329" i="1"/>
  <c r="R329" i="1"/>
  <c r="Q329" i="1"/>
  <c r="U328" i="1"/>
  <c r="S328" i="1"/>
  <c r="R328" i="1"/>
  <c r="Q328" i="1"/>
  <c r="T328" i="1" s="1"/>
  <c r="U327" i="1"/>
  <c r="S327" i="1"/>
  <c r="R327" i="1"/>
  <c r="Q327" i="1"/>
  <c r="T327" i="1" s="1"/>
  <c r="U326" i="1"/>
  <c r="T326" i="1"/>
  <c r="S326" i="1"/>
  <c r="R326" i="1"/>
  <c r="Q326" i="1"/>
  <c r="U325" i="1"/>
  <c r="T325" i="1"/>
  <c r="R325" i="1"/>
  <c r="Q325" i="1"/>
  <c r="S325" i="1" s="1"/>
  <c r="U324" i="1"/>
  <c r="R324" i="1"/>
  <c r="Q324" i="1"/>
  <c r="U323" i="1"/>
  <c r="T323" i="1"/>
  <c r="S323" i="1"/>
  <c r="R323" i="1"/>
  <c r="Q323" i="1"/>
  <c r="U322" i="1"/>
  <c r="T322" i="1"/>
  <c r="S322" i="1"/>
  <c r="R322" i="1"/>
  <c r="Q322" i="1"/>
  <c r="U321" i="1"/>
  <c r="R321" i="1"/>
  <c r="Q321" i="1"/>
  <c r="U320" i="1"/>
  <c r="S320" i="1"/>
  <c r="R320" i="1"/>
  <c r="Q320" i="1"/>
  <c r="T320" i="1" s="1"/>
  <c r="U319" i="1"/>
  <c r="S319" i="1"/>
  <c r="R319" i="1"/>
  <c r="Q319" i="1"/>
  <c r="T319" i="1" s="1"/>
  <c r="U318" i="1"/>
  <c r="T318" i="1"/>
  <c r="S318" i="1"/>
  <c r="R318" i="1"/>
  <c r="Q318" i="1"/>
  <c r="U317" i="1"/>
  <c r="T317" i="1"/>
  <c r="R317" i="1"/>
  <c r="Q317" i="1"/>
  <c r="S317" i="1" s="1"/>
  <c r="U316" i="1"/>
  <c r="R316" i="1"/>
  <c r="Q316" i="1"/>
  <c r="U315" i="1"/>
  <c r="T315" i="1"/>
  <c r="S315" i="1"/>
  <c r="R315" i="1"/>
  <c r="Q315" i="1"/>
  <c r="U314" i="1"/>
  <c r="T314" i="1"/>
  <c r="S314" i="1"/>
  <c r="R314" i="1"/>
  <c r="Q314" i="1"/>
  <c r="U313" i="1"/>
  <c r="R313" i="1"/>
  <c r="Q313" i="1"/>
  <c r="U312" i="1"/>
  <c r="S312" i="1"/>
  <c r="R312" i="1"/>
  <c r="Q312" i="1"/>
  <c r="T312" i="1" s="1"/>
  <c r="U311" i="1"/>
  <c r="S311" i="1"/>
  <c r="R311" i="1"/>
  <c r="Q311" i="1"/>
  <c r="T311" i="1" s="1"/>
  <c r="U310" i="1"/>
  <c r="T310" i="1"/>
  <c r="S310" i="1"/>
  <c r="R310" i="1"/>
  <c r="Q310" i="1"/>
  <c r="U309" i="1"/>
  <c r="R309" i="1"/>
  <c r="Q309" i="1"/>
  <c r="S309" i="1" s="1"/>
  <c r="U308" i="1"/>
  <c r="R308" i="1"/>
  <c r="Q308" i="1"/>
  <c r="U307" i="1"/>
  <c r="T307" i="1"/>
  <c r="S307" i="1"/>
  <c r="R307" i="1"/>
  <c r="Q307" i="1"/>
  <c r="U306" i="1"/>
  <c r="T306" i="1"/>
  <c r="S306" i="1"/>
  <c r="R306" i="1"/>
  <c r="Q306" i="1"/>
  <c r="U305" i="1"/>
  <c r="R305" i="1"/>
  <c r="Q305" i="1"/>
  <c r="U304" i="1"/>
  <c r="S304" i="1"/>
  <c r="R304" i="1"/>
  <c r="Q304" i="1"/>
  <c r="T304" i="1" s="1"/>
  <c r="U303" i="1"/>
  <c r="S303" i="1"/>
  <c r="R303" i="1"/>
  <c r="Q303" i="1"/>
  <c r="T303" i="1" s="1"/>
  <c r="U302" i="1"/>
  <c r="T302" i="1"/>
  <c r="S302" i="1"/>
  <c r="R302" i="1"/>
  <c r="Q302" i="1"/>
  <c r="U301" i="1"/>
  <c r="R301" i="1"/>
  <c r="Q301" i="1"/>
  <c r="S301" i="1" s="1"/>
  <c r="U300" i="1"/>
  <c r="R300" i="1"/>
  <c r="Q300" i="1"/>
  <c r="U299" i="1"/>
  <c r="T299" i="1"/>
  <c r="S299" i="1"/>
  <c r="R299" i="1"/>
  <c r="Q299" i="1"/>
  <c r="U298" i="1"/>
  <c r="T298" i="1"/>
  <c r="S298" i="1"/>
  <c r="R298" i="1"/>
  <c r="Q298" i="1"/>
  <c r="U297" i="1"/>
  <c r="R297" i="1"/>
  <c r="Q297" i="1"/>
  <c r="U296" i="1"/>
  <c r="S296" i="1"/>
  <c r="R296" i="1"/>
  <c r="Q296" i="1"/>
  <c r="T296" i="1" s="1"/>
  <c r="U295" i="1"/>
  <c r="S295" i="1"/>
  <c r="R295" i="1"/>
  <c r="Q295" i="1"/>
  <c r="T295" i="1" s="1"/>
  <c r="U294" i="1"/>
  <c r="T294" i="1"/>
  <c r="S294" i="1"/>
  <c r="R294" i="1"/>
  <c r="Q294" i="1"/>
  <c r="U293" i="1"/>
  <c r="R293" i="1"/>
  <c r="Q293" i="1"/>
  <c r="S293" i="1" s="1"/>
  <c r="U292" i="1"/>
  <c r="R292" i="1"/>
  <c r="Q292" i="1"/>
  <c r="U291" i="1"/>
  <c r="T291" i="1"/>
  <c r="S291" i="1"/>
  <c r="R291" i="1"/>
  <c r="Q291" i="1"/>
  <c r="U290" i="1"/>
  <c r="T290" i="1"/>
  <c r="S290" i="1"/>
  <c r="R290" i="1"/>
  <c r="Q290" i="1"/>
  <c r="U289" i="1"/>
  <c r="R289" i="1"/>
  <c r="Q289" i="1"/>
  <c r="U288" i="1"/>
  <c r="S288" i="1"/>
  <c r="R288" i="1"/>
  <c r="Q288" i="1"/>
  <c r="T288" i="1" s="1"/>
  <c r="U287" i="1"/>
  <c r="S287" i="1"/>
  <c r="R287" i="1"/>
  <c r="Q287" i="1"/>
  <c r="T287" i="1" s="1"/>
  <c r="U286" i="1"/>
  <c r="T286" i="1"/>
  <c r="S286" i="1"/>
  <c r="R286" i="1"/>
  <c r="Q286" i="1"/>
  <c r="U285" i="1"/>
  <c r="R285" i="1"/>
  <c r="Q285" i="1"/>
  <c r="S285" i="1" s="1"/>
  <c r="U284" i="1"/>
  <c r="R284" i="1"/>
  <c r="Q284" i="1"/>
  <c r="U283" i="1"/>
  <c r="T283" i="1"/>
  <c r="S283" i="1"/>
  <c r="R283" i="1"/>
  <c r="Q283" i="1"/>
  <c r="U282" i="1"/>
  <c r="T282" i="1"/>
  <c r="S282" i="1"/>
  <c r="R282" i="1"/>
  <c r="Q282" i="1"/>
  <c r="U281" i="1"/>
  <c r="R281" i="1"/>
  <c r="Q281" i="1"/>
  <c r="U280" i="1"/>
  <c r="S280" i="1"/>
  <c r="R280" i="1"/>
  <c r="Q280" i="1"/>
  <c r="T280" i="1" s="1"/>
  <c r="U279" i="1"/>
  <c r="S279" i="1"/>
  <c r="R279" i="1"/>
  <c r="Q279" i="1"/>
  <c r="T279" i="1" s="1"/>
  <c r="U278" i="1"/>
  <c r="T278" i="1"/>
  <c r="S278" i="1"/>
  <c r="R278" i="1"/>
  <c r="Q278" i="1"/>
  <c r="U277" i="1"/>
  <c r="T277" i="1"/>
  <c r="R277" i="1"/>
  <c r="Q277" i="1"/>
  <c r="S277" i="1" s="1"/>
  <c r="U276" i="1"/>
  <c r="R276" i="1"/>
  <c r="Q276" i="1"/>
  <c r="U275" i="1"/>
  <c r="T275" i="1"/>
  <c r="S275" i="1"/>
  <c r="R275" i="1"/>
  <c r="Q275" i="1"/>
  <c r="U274" i="1"/>
  <c r="T274" i="1"/>
  <c r="S274" i="1"/>
  <c r="R274" i="1"/>
  <c r="Q274" i="1"/>
  <c r="U273" i="1"/>
  <c r="R273" i="1"/>
  <c r="Q273" i="1"/>
  <c r="U272" i="1"/>
  <c r="S272" i="1"/>
  <c r="R272" i="1"/>
  <c r="Q272" i="1"/>
  <c r="T272" i="1" s="1"/>
  <c r="U271" i="1"/>
  <c r="S271" i="1"/>
  <c r="R271" i="1"/>
  <c r="Q271" i="1"/>
  <c r="T271" i="1" s="1"/>
  <c r="U270" i="1"/>
  <c r="T270" i="1"/>
  <c r="S270" i="1"/>
  <c r="R270" i="1"/>
  <c r="Q270" i="1"/>
  <c r="U269" i="1"/>
  <c r="T269" i="1"/>
  <c r="R269" i="1"/>
  <c r="Q269" i="1"/>
  <c r="S269" i="1" s="1"/>
  <c r="U268" i="1"/>
  <c r="R268" i="1"/>
  <c r="Q268" i="1"/>
  <c r="U267" i="1"/>
  <c r="T267" i="1"/>
  <c r="S267" i="1"/>
  <c r="R267" i="1"/>
  <c r="Q267" i="1"/>
  <c r="U266" i="1"/>
  <c r="T266" i="1"/>
  <c r="S266" i="1"/>
  <c r="R266" i="1"/>
  <c r="Q266" i="1"/>
  <c r="U265" i="1"/>
  <c r="R265" i="1"/>
  <c r="Q265" i="1"/>
  <c r="U264" i="1"/>
  <c r="S264" i="1"/>
  <c r="R264" i="1"/>
  <c r="Q264" i="1"/>
  <c r="T264" i="1" s="1"/>
  <c r="U263" i="1"/>
  <c r="S263" i="1"/>
  <c r="R263" i="1"/>
  <c r="Q263" i="1"/>
  <c r="T263" i="1" s="1"/>
  <c r="U262" i="1"/>
  <c r="T262" i="1"/>
  <c r="S262" i="1"/>
  <c r="R262" i="1"/>
  <c r="Q262" i="1"/>
  <c r="U261" i="1"/>
  <c r="R261" i="1"/>
  <c r="Q261" i="1"/>
  <c r="S261" i="1" s="1"/>
  <c r="U260" i="1"/>
  <c r="R260" i="1"/>
  <c r="Q260" i="1"/>
  <c r="U259" i="1"/>
  <c r="T259" i="1"/>
  <c r="S259" i="1"/>
  <c r="R259" i="1"/>
  <c r="Q259" i="1"/>
  <c r="U258" i="1"/>
  <c r="T258" i="1"/>
  <c r="S258" i="1"/>
  <c r="R258" i="1"/>
  <c r="Q258" i="1"/>
  <c r="U257" i="1"/>
  <c r="R257" i="1"/>
  <c r="Q257" i="1"/>
  <c r="U256" i="1"/>
  <c r="S256" i="1"/>
  <c r="R256" i="1"/>
  <c r="Q256" i="1"/>
  <c r="T256" i="1" s="1"/>
  <c r="U255" i="1"/>
  <c r="S255" i="1"/>
  <c r="R255" i="1"/>
  <c r="Q255" i="1"/>
  <c r="T255" i="1" s="1"/>
  <c r="U254" i="1"/>
  <c r="T254" i="1"/>
  <c r="S254" i="1"/>
  <c r="R254" i="1"/>
  <c r="Q254" i="1"/>
  <c r="U253" i="1"/>
  <c r="T253" i="1"/>
  <c r="R253" i="1"/>
  <c r="Q253" i="1"/>
  <c r="S253" i="1" s="1"/>
  <c r="U252" i="1"/>
  <c r="R252" i="1"/>
  <c r="Q252" i="1"/>
  <c r="U251" i="1"/>
  <c r="T251" i="1"/>
  <c r="S251" i="1"/>
  <c r="R251" i="1"/>
  <c r="Q251" i="1"/>
  <c r="U250" i="1"/>
  <c r="T250" i="1"/>
  <c r="S250" i="1"/>
  <c r="R250" i="1"/>
  <c r="Q250" i="1"/>
  <c r="U249" i="1"/>
  <c r="R249" i="1"/>
  <c r="Q249" i="1"/>
  <c r="U248" i="1"/>
  <c r="S248" i="1"/>
  <c r="R248" i="1"/>
  <c r="Q248" i="1"/>
  <c r="T248" i="1" s="1"/>
  <c r="U247" i="1"/>
  <c r="S247" i="1"/>
  <c r="R247" i="1"/>
  <c r="Q247" i="1"/>
  <c r="T247" i="1" s="1"/>
  <c r="U246" i="1"/>
  <c r="T246" i="1"/>
  <c r="S246" i="1"/>
  <c r="R246" i="1"/>
  <c r="Q246" i="1"/>
  <c r="U245" i="1"/>
  <c r="R245" i="1"/>
  <c r="Q245" i="1"/>
  <c r="S245" i="1" s="1"/>
  <c r="U244" i="1"/>
  <c r="T244" i="1"/>
  <c r="R244" i="1"/>
  <c r="Q244" i="1"/>
  <c r="S244" i="1" s="1"/>
  <c r="U243" i="1"/>
  <c r="R243" i="1"/>
  <c r="Q243" i="1"/>
  <c r="T243" i="1" s="1"/>
  <c r="U242" i="1"/>
  <c r="T242" i="1"/>
  <c r="S242" i="1"/>
  <c r="R242" i="1"/>
  <c r="Q242" i="1"/>
  <c r="U241" i="1"/>
  <c r="S241" i="1"/>
  <c r="R241" i="1"/>
  <c r="Q241" i="1"/>
  <c r="T241" i="1" s="1"/>
  <c r="U240" i="1"/>
  <c r="S240" i="1"/>
  <c r="R240" i="1"/>
  <c r="Q240" i="1"/>
  <c r="T240" i="1" s="1"/>
  <c r="U239" i="1"/>
  <c r="S239" i="1"/>
  <c r="R239" i="1"/>
  <c r="Q239" i="1"/>
  <c r="T239" i="1" s="1"/>
  <c r="U238" i="1"/>
  <c r="T238" i="1"/>
  <c r="S238" i="1"/>
  <c r="R238" i="1"/>
  <c r="Q238" i="1"/>
  <c r="U237" i="1"/>
  <c r="R237" i="1"/>
  <c r="Q237" i="1"/>
  <c r="S237" i="1" s="1"/>
  <c r="U236" i="1"/>
  <c r="T236" i="1"/>
  <c r="R236" i="1"/>
  <c r="Q236" i="1"/>
  <c r="S236" i="1" s="1"/>
  <c r="U235" i="1"/>
  <c r="S235" i="1"/>
  <c r="R235" i="1"/>
  <c r="Q235" i="1"/>
  <c r="T235" i="1" s="1"/>
  <c r="U234" i="1"/>
  <c r="R234" i="1"/>
  <c r="Q234" i="1"/>
  <c r="T234" i="1" s="1"/>
  <c r="U233" i="1"/>
  <c r="T233" i="1"/>
  <c r="S233" i="1"/>
  <c r="R233" i="1"/>
  <c r="Q233" i="1"/>
  <c r="U232" i="1"/>
  <c r="S232" i="1"/>
  <c r="R232" i="1"/>
  <c r="Q232" i="1"/>
  <c r="T232" i="1" s="1"/>
  <c r="U231" i="1"/>
  <c r="S231" i="1"/>
  <c r="R231" i="1"/>
  <c r="Q231" i="1"/>
  <c r="T231" i="1" s="1"/>
  <c r="U230" i="1"/>
  <c r="T230" i="1"/>
  <c r="S230" i="1"/>
  <c r="R230" i="1"/>
  <c r="Q230" i="1"/>
  <c r="U229" i="1"/>
  <c r="R229" i="1"/>
  <c r="Q229" i="1"/>
  <c r="S229" i="1" s="1"/>
  <c r="U228" i="1"/>
  <c r="R228" i="1"/>
  <c r="Q228" i="1"/>
  <c r="S228" i="1" s="1"/>
  <c r="U227" i="1"/>
  <c r="R227" i="1"/>
  <c r="Q227" i="1"/>
  <c r="T227" i="1" s="1"/>
  <c r="U226" i="1"/>
  <c r="T226" i="1"/>
  <c r="S226" i="1"/>
  <c r="R226" i="1"/>
  <c r="Q226" i="1"/>
  <c r="U225" i="1"/>
  <c r="S225" i="1"/>
  <c r="R225" i="1"/>
  <c r="Q225" i="1"/>
  <c r="T225" i="1" s="1"/>
  <c r="U224" i="1"/>
  <c r="S224" i="1"/>
  <c r="R224" i="1"/>
  <c r="Q224" i="1"/>
  <c r="T224" i="1" s="1"/>
  <c r="U223" i="1"/>
  <c r="S223" i="1"/>
  <c r="R223" i="1"/>
  <c r="Q223" i="1"/>
  <c r="T223" i="1" s="1"/>
  <c r="U222" i="1"/>
  <c r="T222" i="1"/>
  <c r="S222" i="1"/>
  <c r="R222" i="1"/>
  <c r="Q222" i="1"/>
  <c r="U221" i="1"/>
  <c r="R221" i="1"/>
  <c r="Q221" i="1"/>
  <c r="S221" i="1" s="1"/>
  <c r="U220" i="1"/>
  <c r="R220" i="1"/>
  <c r="Q220" i="1"/>
  <c r="S220" i="1" s="1"/>
  <c r="U219" i="1"/>
  <c r="S219" i="1"/>
  <c r="R219" i="1"/>
  <c r="Q219" i="1"/>
  <c r="T219" i="1" s="1"/>
  <c r="U218" i="1"/>
  <c r="T218" i="1"/>
  <c r="S218" i="1"/>
  <c r="R218" i="1"/>
  <c r="Q218" i="1"/>
  <c r="U217" i="1"/>
  <c r="T217" i="1"/>
  <c r="S217" i="1"/>
  <c r="R217" i="1"/>
  <c r="Q217" i="1"/>
  <c r="U216" i="1"/>
  <c r="S216" i="1"/>
  <c r="R216" i="1"/>
  <c r="Q216" i="1"/>
  <c r="T216" i="1" s="1"/>
  <c r="U215" i="1"/>
  <c r="S215" i="1"/>
  <c r="R215" i="1"/>
  <c r="Q215" i="1"/>
  <c r="T215" i="1" s="1"/>
  <c r="U214" i="1"/>
  <c r="T214" i="1"/>
  <c r="S214" i="1"/>
  <c r="R214" i="1"/>
  <c r="Q214" i="1"/>
  <c r="U213" i="1"/>
  <c r="R213" i="1"/>
  <c r="Q213" i="1"/>
  <c r="S213" i="1" s="1"/>
  <c r="U212" i="1"/>
  <c r="R212" i="1"/>
  <c r="Q212" i="1"/>
  <c r="S212" i="1" s="1"/>
  <c r="U211" i="1"/>
  <c r="R211" i="1"/>
  <c r="Q211" i="1"/>
  <c r="T211" i="1" s="1"/>
  <c r="U210" i="1"/>
  <c r="T210" i="1"/>
  <c r="S210" i="1"/>
  <c r="R210" i="1"/>
  <c r="Q210" i="1"/>
  <c r="U209" i="1"/>
  <c r="S209" i="1"/>
  <c r="R209" i="1"/>
  <c r="Q209" i="1"/>
  <c r="T209" i="1" s="1"/>
  <c r="U208" i="1"/>
  <c r="S208" i="1"/>
  <c r="R208" i="1"/>
  <c r="Q208" i="1"/>
  <c r="T208" i="1" s="1"/>
  <c r="U207" i="1"/>
  <c r="S207" i="1"/>
  <c r="R207" i="1"/>
  <c r="Q207" i="1"/>
  <c r="T207" i="1" s="1"/>
  <c r="U206" i="1"/>
  <c r="T206" i="1"/>
  <c r="S206" i="1"/>
  <c r="R206" i="1"/>
  <c r="Q206" i="1"/>
  <c r="U205" i="1"/>
  <c r="R205" i="1"/>
  <c r="Q205" i="1"/>
  <c r="S205" i="1" s="1"/>
  <c r="U204" i="1"/>
  <c r="R204" i="1"/>
  <c r="Q204" i="1"/>
  <c r="S204" i="1" s="1"/>
  <c r="U203" i="1"/>
  <c r="S203" i="1"/>
  <c r="R203" i="1"/>
  <c r="Q203" i="1"/>
  <c r="T203" i="1" s="1"/>
  <c r="U202" i="1"/>
  <c r="T202" i="1"/>
  <c r="S202" i="1"/>
  <c r="R202" i="1"/>
  <c r="Q202" i="1"/>
  <c r="U201" i="1"/>
  <c r="T201" i="1"/>
  <c r="S201" i="1"/>
  <c r="R201" i="1"/>
  <c r="Q201" i="1"/>
  <c r="U200" i="1"/>
  <c r="S200" i="1"/>
  <c r="R200" i="1"/>
  <c r="Q200" i="1"/>
  <c r="T200" i="1" s="1"/>
  <c r="U199" i="1"/>
  <c r="S199" i="1"/>
  <c r="R199" i="1"/>
  <c r="Q199" i="1"/>
  <c r="T199" i="1" s="1"/>
  <c r="U198" i="1"/>
  <c r="T198" i="1"/>
  <c r="S198" i="1"/>
  <c r="R198" i="1"/>
  <c r="Q198" i="1"/>
  <c r="U197" i="1"/>
  <c r="R197" i="1"/>
  <c r="Q197" i="1"/>
  <c r="S197" i="1" s="1"/>
  <c r="U196" i="1"/>
  <c r="R196" i="1"/>
  <c r="Q196" i="1"/>
  <c r="S196" i="1" s="1"/>
  <c r="U195" i="1"/>
  <c r="R195" i="1"/>
  <c r="Q195" i="1"/>
  <c r="T195" i="1" s="1"/>
  <c r="U194" i="1"/>
  <c r="T194" i="1"/>
  <c r="S194" i="1"/>
  <c r="R194" i="1"/>
  <c r="Q194" i="1"/>
  <c r="U193" i="1"/>
  <c r="S193" i="1"/>
  <c r="R193" i="1"/>
  <c r="Q193" i="1"/>
  <c r="T193" i="1" s="1"/>
  <c r="U192" i="1"/>
  <c r="S192" i="1"/>
  <c r="R192" i="1"/>
  <c r="Q192" i="1"/>
  <c r="T192" i="1" s="1"/>
  <c r="U191" i="1"/>
  <c r="S191" i="1"/>
  <c r="R191" i="1"/>
  <c r="Q191" i="1"/>
  <c r="T191" i="1" s="1"/>
  <c r="U190" i="1"/>
  <c r="T190" i="1"/>
  <c r="S190" i="1"/>
  <c r="R190" i="1"/>
  <c r="Q190" i="1"/>
  <c r="U189" i="1"/>
  <c r="R189" i="1"/>
  <c r="Q189" i="1"/>
  <c r="S189" i="1" s="1"/>
  <c r="U188" i="1"/>
  <c r="R188" i="1"/>
  <c r="Q188" i="1"/>
  <c r="S188" i="1" s="1"/>
  <c r="U187" i="1"/>
  <c r="S187" i="1"/>
  <c r="R187" i="1"/>
  <c r="Q187" i="1"/>
  <c r="T187" i="1" s="1"/>
  <c r="U186" i="1"/>
  <c r="T186" i="1"/>
  <c r="S186" i="1"/>
  <c r="R186" i="1"/>
  <c r="Q186" i="1"/>
  <c r="U185" i="1"/>
  <c r="T185" i="1"/>
  <c r="S185" i="1"/>
  <c r="R185" i="1"/>
  <c r="Q185" i="1"/>
  <c r="U184" i="1"/>
  <c r="S184" i="1"/>
  <c r="R184" i="1"/>
  <c r="Q184" i="1"/>
  <c r="T184" i="1" s="1"/>
  <c r="U183" i="1"/>
  <c r="S183" i="1"/>
  <c r="R183" i="1"/>
  <c r="Q183" i="1"/>
  <c r="T183" i="1" s="1"/>
  <c r="U182" i="1"/>
  <c r="T182" i="1"/>
  <c r="S182" i="1"/>
  <c r="R182" i="1"/>
  <c r="Q182" i="1"/>
  <c r="U181" i="1"/>
  <c r="R181" i="1"/>
  <c r="Q181" i="1"/>
  <c r="S181" i="1" s="1"/>
  <c r="U180" i="1"/>
  <c r="R180" i="1"/>
  <c r="Q180" i="1"/>
  <c r="S180" i="1" s="1"/>
  <c r="U179" i="1"/>
  <c r="R179" i="1"/>
  <c r="Q179" i="1"/>
  <c r="T179" i="1" s="1"/>
  <c r="U178" i="1"/>
  <c r="T178" i="1"/>
  <c r="S178" i="1"/>
  <c r="R178" i="1"/>
  <c r="Q178" i="1"/>
  <c r="U177" i="1"/>
  <c r="S177" i="1"/>
  <c r="R177" i="1"/>
  <c r="Q177" i="1"/>
  <c r="T177" i="1" s="1"/>
  <c r="U176" i="1"/>
  <c r="S176" i="1"/>
  <c r="R176" i="1"/>
  <c r="Q176" i="1"/>
  <c r="T176" i="1" s="1"/>
  <c r="U175" i="1"/>
  <c r="S175" i="1"/>
  <c r="R175" i="1"/>
  <c r="Q175" i="1"/>
  <c r="T175" i="1" s="1"/>
  <c r="U174" i="1"/>
  <c r="T174" i="1"/>
  <c r="S174" i="1"/>
  <c r="R174" i="1"/>
  <c r="Q174" i="1"/>
  <c r="U173" i="1"/>
  <c r="R173" i="1"/>
  <c r="Q173" i="1"/>
  <c r="S173" i="1" s="1"/>
  <c r="U172" i="1"/>
  <c r="R172" i="1"/>
  <c r="Q172" i="1"/>
  <c r="S172" i="1" s="1"/>
  <c r="U171" i="1"/>
  <c r="S171" i="1"/>
  <c r="R171" i="1"/>
  <c r="Q171" i="1"/>
  <c r="T171" i="1" s="1"/>
  <c r="U170" i="1"/>
  <c r="T170" i="1"/>
  <c r="S170" i="1"/>
  <c r="R170" i="1"/>
  <c r="Q170" i="1"/>
  <c r="U169" i="1"/>
  <c r="T169" i="1"/>
  <c r="S169" i="1"/>
  <c r="R169" i="1"/>
  <c r="Q169" i="1"/>
  <c r="U168" i="1"/>
  <c r="S168" i="1"/>
  <c r="R168" i="1"/>
  <c r="Q168" i="1"/>
  <c r="T168" i="1" s="1"/>
  <c r="U167" i="1"/>
  <c r="S167" i="1"/>
  <c r="R167" i="1"/>
  <c r="Q167" i="1"/>
  <c r="T167" i="1" s="1"/>
  <c r="U166" i="1"/>
  <c r="T166" i="1"/>
  <c r="S166" i="1"/>
  <c r="R166" i="1"/>
  <c r="Q166" i="1"/>
  <c r="U165" i="1"/>
  <c r="R165" i="1"/>
  <c r="Q165" i="1"/>
  <c r="S165" i="1" s="1"/>
  <c r="U164" i="1"/>
  <c r="R164" i="1"/>
  <c r="Q164" i="1"/>
  <c r="S164" i="1" s="1"/>
  <c r="U163" i="1"/>
  <c r="R163" i="1"/>
  <c r="Q163" i="1"/>
  <c r="T163" i="1" s="1"/>
  <c r="U162" i="1"/>
  <c r="T162" i="1"/>
  <c r="S162" i="1"/>
  <c r="R162" i="1"/>
  <c r="Q162" i="1"/>
  <c r="U161" i="1"/>
  <c r="S161" i="1"/>
  <c r="R161" i="1"/>
  <c r="Q161" i="1"/>
  <c r="T161" i="1" s="1"/>
  <c r="U160" i="1"/>
  <c r="S160" i="1"/>
  <c r="R160" i="1"/>
  <c r="Q160" i="1"/>
  <c r="T160" i="1" s="1"/>
  <c r="U159" i="1"/>
  <c r="S159" i="1"/>
  <c r="R159" i="1"/>
  <c r="Q159" i="1"/>
  <c r="T159" i="1" s="1"/>
  <c r="U158" i="1"/>
  <c r="T158" i="1"/>
  <c r="S158" i="1"/>
  <c r="R158" i="1"/>
  <c r="Q158" i="1"/>
  <c r="U157" i="1"/>
  <c r="R157" i="1"/>
  <c r="Q157" i="1"/>
  <c r="S157" i="1" s="1"/>
  <c r="U156" i="1"/>
  <c r="R156" i="1"/>
  <c r="Q156" i="1"/>
  <c r="S156" i="1" s="1"/>
  <c r="U155" i="1"/>
  <c r="S155" i="1"/>
  <c r="R155" i="1"/>
  <c r="Q155" i="1"/>
  <c r="T155" i="1" s="1"/>
  <c r="U154" i="1"/>
  <c r="T154" i="1"/>
  <c r="S154" i="1"/>
  <c r="R154" i="1"/>
  <c r="Q154" i="1"/>
  <c r="U153" i="1"/>
  <c r="T153" i="1"/>
  <c r="S153" i="1"/>
  <c r="R153" i="1"/>
  <c r="Q153" i="1"/>
  <c r="U152" i="1"/>
  <c r="S152" i="1"/>
  <c r="R152" i="1"/>
  <c r="Q152" i="1"/>
  <c r="T152" i="1" s="1"/>
  <c r="U151" i="1"/>
  <c r="S151" i="1"/>
  <c r="R151" i="1"/>
  <c r="Q151" i="1"/>
  <c r="T151" i="1" s="1"/>
  <c r="U150" i="1"/>
  <c r="T150" i="1"/>
  <c r="S150" i="1"/>
  <c r="R150" i="1"/>
  <c r="Q150" i="1"/>
  <c r="U149" i="1"/>
  <c r="R149" i="1"/>
  <c r="Q149" i="1"/>
  <c r="S149" i="1" s="1"/>
  <c r="U148" i="1"/>
  <c r="R148" i="1"/>
  <c r="Q148" i="1"/>
  <c r="S148" i="1" s="1"/>
  <c r="U147" i="1"/>
  <c r="R147" i="1"/>
  <c r="Q147" i="1"/>
  <c r="T147" i="1" s="1"/>
  <c r="U146" i="1"/>
  <c r="T146" i="1"/>
  <c r="S146" i="1"/>
  <c r="R146" i="1"/>
  <c r="Q146" i="1"/>
  <c r="U145" i="1"/>
  <c r="S145" i="1"/>
  <c r="R145" i="1"/>
  <c r="Q145" i="1"/>
  <c r="T145" i="1" s="1"/>
  <c r="U144" i="1"/>
  <c r="S144" i="1"/>
  <c r="R144" i="1"/>
  <c r="Q144" i="1"/>
  <c r="T144" i="1" s="1"/>
  <c r="U143" i="1"/>
  <c r="S143" i="1"/>
  <c r="R143" i="1"/>
  <c r="Q143" i="1"/>
  <c r="T143" i="1" s="1"/>
  <c r="U142" i="1"/>
  <c r="T142" i="1"/>
  <c r="S142" i="1"/>
  <c r="R142" i="1"/>
  <c r="Q142" i="1"/>
  <c r="U141" i="1"/>
  <c r="R141" i="1"/>
  <c r="Q141" i="1"/>
  <c r="S141" i="1" s="1"/>
  <c r="U140" i="1"/>
  <c r="R140" i="1"/>
  <c r="Q140" i="1"/>
  <c r="S140" i="1" s="1"/>
  <c r="U139" i="1"/>
  <c r="S139" i="1"/>
  <c r="R139" i="1"/>
  <c r="Q139" i="1"/>
  <c r="T139" i="1" s="1"/>
  <c r="U138" i="1"/>
  <c r="T138" i="1"/>
  <c r="S138" i="1"/>
  <c r="R138" i="1"/>
  <c r="Q138" i="1"/>
  <c r="U137" i="1"/>
  <c r="T137" i="1"/>
  <c r="S137" i="1"/>
  <c r="R137" i="1"/>
  <c r="Q137" i="1"/>
  <c r="U136" i="1"/>
  <c r="S136" i="1"/>
  <c r="R136" i="1"/>
  <c r="Q136" i="1"/>
  <c r="T136" i="1" s="1"/>
  <c r="U135" i="1"/>
  <c r="S135" i="1"/>
  <c r="R135" i="1"/>
  <c r="Q135" i="1"/>
  <c r="T135" i="1" s="1"/>
  <c r="U134" i="1"/>
  <c r="T134" i="1"/>
  <c r="S134" i="1"/>
  <c r="R134" i="1"/>
  <c r="Q134" i="1"/>
  <c r="U133" i="1"/>
  <c r="R133" i="1"/>
  <c r="Q133" i="1"/>
  <c r="S133" i="1" s="1"/>
  <c r="U132" i="1"/>
  <c r="R132" i="1"/>
  <c r="Q132" i="1"/>
  <c r="S132" i="1" s="1"/>
  <c r="U131" i="1"/>
  <c r="R131" i="1"/>
  <c r="Q131" i="1"/>
  <c r="T131" i="1" s="1"/>
  <c r="U130" i="1"/>
  <c r="T130" i="1"/>
  <c r="S130" i="1"/>
  <c r="R130" i="1"/>
  <c r="Q130" i="1"/>
  <c r="U129" i="1"/>
  <c r="S129" i="1"/>
  <c r="R129" i="1"/>
  <c r="Q129" i="1"/>
  <c r="T129" i="1" s="1"/>
  <c r="U128" i="1"/>
  <c r="S128" i="1"/>
  <c r="R128" i="1"/>
  <c r="Q128" i="1"/>
  <c r="T128" i="1" s="1"/>
  <c r="U127" i="1"/>
  <c r="S127" i="1"/>
  <c r="R127" i="1"/>
  <c r="Q127" i="1"/>
  <c r="T127" i="1" s="1"/>
  <c r="U126" i="1"/>
  <c r="T126" i="1"/>
  <c r="S126" i="1"/>
  <c r="R126" i="1"/>
  <c r="Q126" i="1"/>
  <c r="U125" i="1"/>
  <c r="R125" i="1"/>
  <c r="Q125" i="1"/>
  <c r="S125" i="1" s="1"/>
  <c r="U124" i="1"/>
  <c r="R124" i="1"/>
  <c r="Q124" i="1"/>
  <c r="S124" i="1" s="1"/>
  <c r="U123" i="1"/>
  <c r="S123" i="1"/>
  <c r="R123" i="1"/>
  <c r="Q123" i="1"/>
  <c r="T123" i="1" s="1"/>
  <c r="U122" i="1"/>
  <c r="T122" i="1"/>
  <c r="S122" i="1"/>
  <c r="R122" i="1"/>
  <c r="Q122" i="1"/>
  <c r="U121" i="1"/>
  <c r="T121" i="1"/>
  <c r="S121" i="1"/>
  <c r="R121" i="1"/>
  <c r="Q121" i="1"/>
  <c r="U120" i="1"/>
  <c r="T120" i="1"/>
  <c r="R120" i="1"/>
  <c r="Q120" i="1"/>
  <c r="S120" i="1" s="1"/>
  <c r="U119" i="1"/>
  <c r="R119" i="1"/>
  <c r="Q119" i="1"/>
  <c r="T119" i="1" s="1"/>
  <c r="U118" i="1"/>
  <c r="T118" i="1"/>
  <c r="S118" i="1"/>
  <c r="R118" i="1"/>
  <c r="Q118" i="1"/>
  <c r="U117" i="1"/>
  <c r="T117" i="1"/>
  <c r="S117" i="1"/>
  <c r="R117" i="1"/>
  <c r="Q117" i="1"/>
  <c r="U116" i="1"/>
  <c r="T116" i="1"/>
  <c r="R116" i="1"/>
  <c r="Q116" i="1"/>
  <c r="S116" i="1" s="1"/>
  <c r="U115" i="1"/>
  <c r="S115" i="1"/>
  <c r="R115" i="1"/>
  <c r="Q115" i="1"/>
  <c r="T115" i="1" s="1"/>
  <c r="U114" i="1"/>
  <c r="R114" i="1"/>
  <c r="Q114" i="1"/>
  <c r="T114" i="1" s="1"/>
  <c r="U113" i="1"/>
  <c r="S113" i="1"/>
  <c r="R113" i="1"/>
  <c r="Q113" i="1"/>
  <c r="T113" i="1" s="1"/>
  <c r="U112" i="1"/>
  <c r="T112" i="1"/>
  <c r="S112" i="1"/>
  <c r="R112" i="1"/>
  <c r="Q112" i="1"/>
  <c r="U111" i="1"/>
  <c r="S111" i="1"/>
  <c r="R111" i="1"/>
  <c r="Q111" i="1"/>
  <c r="T111" i="1" s="1"/>
  <c r="U110" i="1"/>
  <c r="T110" i="1"/>
  <c r="S110" i="1"/>
  <c r="R110" i="1"/>
  <c r="Q110" i="1"/>
  <c r="U109" i="1"/>
  <c r="R109" i="1"/>
  <c r="Q109" i="1"/>
  <c r="T109" i="1" s="1"/>
  <c r="U108" i="1"/>
  <c r="R108" i="1"/>
  <c r="Q108" i="1"/>
  <c r="S108" i="1" s="1"/>
  <c r="U107" i="1"/>
  <c r="R107" i="1"/>
  <c r="Q107" i="1"/>
  <c r="T107" i="1" s="1"/>
  <c r="U106" i="1"/>
  <c r="T106" i="1"/>
  <c r="S106" i="1"/>
  <c r="R106" i="1"/>
  <c r="Q106" i="1"/>
  <c r="U105" i="1"/>
  <c r="S105" i="1"/>
  <c r="R105" i="1"/>
  <c r="Q105" i="1"/>
  <c r="T105" i="1" s="1"/>
  <c r="U104" i="1"/>
  <c r="R104" i="1"/>
  <c r="Q104" i="1"/>
  <c r="T104" i="1" s="1"/>
  <c r="U103" i="1"/>
  <c r="S103" i="1"/>
  <c r="R103" i="1"/>
  <c r="Q103" i="1"/>
  <c r="T103" i="1" s="1"/>
  <c r="U102" i="1"/>
  <c r="T102" i="1"/>
  <c r="S102" i="1"/>
  <c r="R102" i="1"/>
  <c r="Q102" i="1"/>
  <c r="U101" i="1"/>
  <c r="T101" i="1"/>
  <c r="S101" i="1"/>
  <c r="R101" i="1"/>
  <c r="Q101" i="1"/>
  <c r="U100" i="1"/>
  <c r="T100" i="1"/>
  <c r="R100" i="1"/>
  <c r="Q100" i="1"/>
  <c r="S100" i="1" s="1"/>
  <c r="U99" i="1"/>
  <c r="R99" i="1"/>
  <c r="Q99" i="1"/>
  <c r="T99" i="1" s="1"/>
  <c r="U98" i="1"/>
  <c r="T98" i="1"/>
  <c r="S98" i="1"/>
  <c r="R98" i="1"/>
  <c r="Q98" i="1"/>
  <c r="U97" i="1"/>
  <c r="S97" i="1"/>
  <c r="R97" i="1"/>
  <c r="Q97" i="1"/>
  <c r="T97" i="1" s="1"/>
  <c r="U96" i="1"/>
  <c r="R96" i="1"/>
  <c r="Q96" i="1"/>
  <c r="T96" i="1" s="1"/>
  <c r="U95" i="1"/>
  <c r="S95" i="1"/>
  <c r="R95" i="1"/>
  <c r="Q95" i="1"/>
  <c r="T95" i="1" s="1"/>
  <c r="U94" i="1"/>
  <c r="T94" i="1"/>
  <c r="S94" i="1"/>
  <c r="R94" i="1"/>
  <c r="Q94" i="1"/>
  <c r="U93" i="1"/>
  <c r="T93" i="1"/>
  <c r="S93" i="1"/>
  <c r="R93" i="1"/>
  <c r="Q93" i="1"/>
  <c r="U92" i="1"/>
  <c r="T92" i="1"/>
  <c r="R92" i="1"/>
  <c r="Q92" i="1"/>
  <c r="S92" i="1" s="1"/>
  <c r="U91" i="1"/>
  <c r="R91" i="1"/>
  <c r="Q91" i="1"/>
  <c r="T91" i="1" s="1"/>
  <c r="U90" i="1"/>
  <c r="T90" i="1"/>
  <c r="S90" i="1"/>
  <c r="R90" i="1"/>
  <c r="Q90" i="1"/>
  <c r="U89" i="1"/>
  <c r="S89" i="1"/>
  <c r="R89" i="1"/>
  <c r="Q89" i="1"/>
  <c r="T89" i="1" s="1"/>
  <c r="U88" i="1"/>
  <c r="R88" i="1"/>
  <c r="Q88" i="1"/>
  <c r="T88" i="1" s="1"/>
  <c r="U87" i="1"/>
  <c r="S87" i="1"/>
  <c r="R87" i="1"/>
  <c r="Q87" i="1"/>
  <c r="T87" i="1" s="1"/>
  <c r="U86" i="1"/>
  <c r="T86" i="1"/>
  <c r="S86" i="1"/>
  <c r="R86" i="1"/>
  <c r="Q86" i="1"/>
  <c r="U85" i="1"/>
  <c r="T85" i="1"/>
  <c r="S85" i="1"/>
  <c r="R85" i="1"/>
  <c r="Q85" i="1"/>
  <c r="U84" i="1"/>
  <c r="T84" i="1"/>
  <c r="R84" i="1"/>
  <c r="Q84" i="1"/>
  <c r="S84" i="1" s="1"/>
  <c r="U83" i="1"/>
  <c r="R83" i="1"/>
  <c r="Q83" i="1"/>
  <c r="T83" i="1" s="1"/>
  <c r="U82" i="1"/>
  <c r="T82" i="1"/>
  <c r="S82" i="1"/>
  <c r="R82" i="1"/>
  <c r="Q82" i="1"/>
  <c r="U81" i="1"/>
  <c r="S81" i="1"/>
  <c r="R81" i="1"/>
  <c r="Q81" i="1"/>
  <c r="T81" i="1" s="1"/>
  <c r="U80" i="1"/>
  <c r="R80" i="1"/>
  <c r="Q80" i="1"/>
  <c r="T80" i="1" s="1"/>
  <c r="U79" i="1"/>
  <c r="S79" i="1"/>
  <c r="R79" i="1"/>
  <c r="Q79" i="1"/>
  <c r="T79" i="1" s="1"/>
  <c r="U78" i="1"/>
  <c r="T78" i="1"/>
  <c r="S78" i="1"/>
  <c r="R78" i="1"/>
  <c r="Q78" i="1"/>
  <c r="U77" i="1"/>
  <c r="T77" i="1"/>
  <c r="S77" i="1"/>
  <c r="R77" i="1"/>
  <c r="Q77" i="1"/>
  <c r="U76" i="1"/>
  <c r="R76" i="1"/>
  <c r="Q76" i="1"/>
  <c r="T76" i="1" s="1"/>
  <c r="U75" i="1"/>
  <c r="R75" i="1"/>
  <c r="Q75" i="1"/>
  <c r="T75" i="1" s="1"/>
  <c r="U74" i="1"/>
  <c r="T74" i="1"/>
  <c r="S74" i="1"/>
  <c r="R74" i="1"/>
  <c r="Q74" i="1"/>
  <c r="U73" i="1"/>
  <c r="S73" i="1"/>
  <c r="R73" i="1"/>
  <c r="Q73" i="1"/>
  <c r="T73" i="1" s="1"/>
  <c r="U72" i="1"/>
  <c r="R72" i="1"/>
  <c r="Q72" i="1"/>
  <c r="T72" i="1" s="1"/>
  <c r="U71" i="1"/>
  <c r="S71" i="1"/>
  <c r="R71" i="1"/>
  <c r="Q71" i="1"/>
  <c r="T71" i="1" s="1"/>
  <c r="U70" i="1"/>
  <c r="T70" i="1"/>
  <c r="S70" i="1"/>
  <c r="R70" i="1"/>
  <c r="Q70" i="1"/>
  <c r="U69" i="1"/>
  <c r="T69" i="1"/>
  <c r="S69" i="1"/>
  <c r="R69" i="1"/>
  <c r="Q69" i="1"/>
  <c r="U68" i="1"/>
  <c r="R68" i="1"/>
  <c r="Q68" i="1"/>
  <c r="T68" i="1" s="1"/>
  <c r="U67" i="1"/>
  <c r="R67" i="1"/>
  <c r="Q67" i="1"/>
  <c r="T67" i="1" s="1"/>
  <c r="U66" i="1"/>
  <c r="T66" i="1"/>
  <c r="S66" i="1"/>
  <c r="R66" i="1"/>
  <c r="Q66" i="1"/>
  <c r="U65" i="1"/>
  <c r="S65" i="1"/>
  <c r="R65" i="1"/>
  <c r="Q65" i="1"/>
  <c r="T65" i="1" s="1"/>
  <c r="U64" i="1"/>
  <c r="R64" i="1"/>
  <c r="Q64" i="1"/>
  <c r="T64" i="1" s="1"/>
  <c r="U63" i="1"/>
  <c r="S63" i="1"/>
  <c r="R63" i="1"/>
  <c r="Q63" i="1"/>
  <c r="T63" i="1" s="1"/>
  <c r="U62" i="1"/>
  <c r="T62" i="1"/>
  <c r="S62" i="1"/>
  <c r="R62" i="1"/>
  <c r="Q62" i="1"/>
  <c r="U61" i="1"/>
  <c r="T61" i="1"/>
  <c r="S61" i="1"/>
  <c r="R61" i="1"/>
  <c r="Q61" i="1"/>
  <c r="U60" i="1"/>
  <c r="R60" i="1"/>
  <c r="Q60" i="1"/>
  <c r="T60" i="1" s="1"/>
  <c r="U59" i="1"/>
  <c r="R59" i="1"/>
  <c r="Q59" i="1"/>
  <c r="T59" i="1" s="1"/>
  <c r="U58" i="1"/>
  <c r="T58" i="1"/>
  <c r="S58" i="1"/>
  <c r="R58" i="1"/>
  <c r="Q58" i="1"/>
  <c r="U57" i="1"/>
  <c r="S57" i="1"/>
  <c r="R57" i="1"/>
  <c r="Q57" i="1"/>
  <c r="T57" i="1" s="1"/>
  <c r="U56" i="1"/>
  <c r="R56" i="1"/>
  <c r="Q56" i="1"/>
  <c r="T56" i="1" s="1"/>
  <c r="U55" i="1"/>
  <c r="S55" i="1"/>
  <c r="R55" i="1"/>
  <c r="Q55" i="1"/>
  <c r="T55" i="1" s="1"/>
  <c r="U54" i="1"/>
  <c r="T54" i="1"/>
  <c r="S54" i="1"/>
  <c r="R54" i="1"/>
  <c r="Q54" i="1"/>
  <c r="U53" i="1"/>
  <c r="T53" i="1"/>
  <c r="S53" i="1"/>
  <c r="R53" i="1"/>
  <c r="Q53" i="1"/>
  <c r="U52" i="1"/>
  <c r="R52" i="1"/>
  <c r="Q52" i="1"/>
  <c r="T52" i="1" s="1"/>
  <c r="U51" i="1"/>
  <c r="R51" i="1"/>
  <c r="Q51" i="1"/>
  <c r="T51" i="1" s="1"/>
  <c r="U50" i="1"/>
  <c r="T50" i="1"/>
  <c r="S50" i="1"/>
  <c r="R50" i="1"/>
  <c r="Q50" i="1"/>
  <c r="U49" i="1"/>
  <c r="S49" i="1"/>
  <c r="R49" i="1"/>
  <c r="Q49" i="1"/>
  <c r="T49" i="1" s="1"/>
  <c r="U48" i="1"/>
  <c r="R48" i="1"/>
  <c r="Q48" i="1"/>
  <c r="T48" i="1" s="1"/>
  <c r="U47" i="1"/>
  <c r="S47" i="1"/>
  <c r="R47" i="1"/>
  <c r="Q47" i="1"/>
  <c r="T47" i="1" s="1"/>
  <c r="U46" i="1"/>
  <c r="T46" i="1"/>
  <c r="S46" i="1"/>
  <c r="R46" i="1"/>
  <c r="Q46" i="1"/>
  <c r="U45" i="1"/>
  <c r="T45" i="1"/>
  <c r="S45" i="1"/>
  <c r="R45" i="1"/>
  <c r="Q45" i="1"/>
  <c r="U44" i="1"/>
  <c r="R44" i="1"/>
  <c r="Q44" i="1"/>
  <c r="T44" i="1" s="1"/>
  <c r="U43" i="1"/>
  <c r="R43" i="1"/>
  <c r="Q43" i="1"/>
  <c r="T43" i="1" s="1"/>
  <c r="U42" i="1"/>
  <c r="T42" i="1"/>
  <c r="S42" i="1"/>
  <c r="R42" i="1"/>
  <c r="Q42" i="1"/>
  <c r="U41" i="1"/>
  <c r="S41" i="1"/>
  <c r="R41" i="1"/>
  <c r="Q41" i="1"/>
  <c r="T41" i="1" s="1"/>
  <c r="U40" i="1"/>
  <c r="R40" i="1"/>
  <c r="Q40" i="1"/>
  <c r="T40" i="1" s="1"/>
  <c r="U39" i="1"/>
  <c r="S39" i="1"/>
  <c r="R39" i="1"/>
  <c r="Q39" i="1"/>
  <c r="T39" i="1" s="1"/>
  <c r="U38" i="1"/>
  <c r="T38" i="1"/>
  <c r="S38" i="1"/>
  <c r="R38" i="1"/>
  <c r="Q38" i="1"/>
  <c r="U37" i="1"/>
  <c r="T37" i="1"/>
  <c r="S37" i="1"/>
  <c r="R37" i="1"/>
  <c r="Q37" i="1"/>
  <c r="U36" i="1"/>
  <c r="R36" i="1"/>
  <c r="Q36" i="1"/>
  <c r="T36" i="1" s="1"/>
  <c r="U35" i="1"/>
  <c r="R35" i="1"/>
  <c r="Q35" i="1"/>
  <c r="T35" i="1" s="1"/>
  <c r="U34" i="1"/>
  <c r="T34" i="1"/>
  <c r="S34" i="1"/>
  <c r="R34" i="1"/>
  <c r="Q34" i="1"/>
  <c r="U33" i="1"/>
  <c r="S33" i="1"/>
  <c r="R33" i="1"/>
  <c r="Q33" i="1"/>
  <c r="T33" i="1" s="1"/>
  <c r="U32" i="1"/>
  <c r="T32" i="1"/>
  <c r="R32" i="1"/>
  <c r="Q32" i="1"/>
  <c r="S32" i="1" s="1"/>
  <c r="U31" i="1"/>
  <c r="S31" i="1"/>
  <c r="R31" i="1"/>
  <c r="Q31" i="1"/>
  <c r="T31" i="1" s="1"/>
  <c r="U30" i="1"/>
  <c r="T30" i="1"/>
  <c r="S30" i="1"/>
  <c r="R30" i="1"/>
  <c r="Q30" i="1"/>
  <c r="U29" i="1"/>
  <c r="T29" i="1"/>
  <c r="S29" i="1"/>
  <c r="R29" i="1"/>
  <c r="Q29" i="1"/>
  <c r="U28" i="1"/>
  <c r="R28" i="1"/>
  <c r="Q28" i="1"/>
  <c r="T28" i="1" s="1"/>
  <c r="U27" i="1"/>
  <c r="R27" i="1"/>
  <c r="Q27" i="1"/>
  <c r="T27" i="1" s="1"/>
  <c r="U26" i="1"/>
  <c r="T26" i="1"/>
  <c r="S26" i="1"/>
  <c r="R26" i="1"/>
  <c r="Q26" i="1"/>
  <c r="U25" i="1"/>
  <c r="S25" i="1"/>
  <c r="R25" i="1"/>
  <c r="Q25" i="1"/>
  <c r="T25" i="1" s="1"/>
  <c r="U24" i="1"/>
  <c r="T24" i="1"/>
  <c r="R24" i="1"/>
  <c r="Q24" i="1"/>
  <c r="S24" i="1" s="1"/>
  <c r="U23" i="1"/>
  <c r="R23" i="1"/>
  <c r="Q23" i="1"/>
  <c r="T23" i="1" s="1"/>
  <c r="U22" i="1"/>
  <c r="T22" i="1"/>
  <c r="S22" i="1"/>
  <c r="R22" i="1"/>
  <c r="Q22" i="1"/>
  <c r="U21" i="1"/>
  <c r="T21" i="1"/>
  <c r="S21" i="1"/>
  <c r="R21" i="1"/>
  <c r="Q21" i="1"/>
  <c r="U20" i="1"/>
  <c r="R20" i="1"/>
  <c r="Q20" i="1"/>
  <c r="T20" i="1" s="1"/>
  <c r="U19" i="1"/>
  <c r="R19" i="1"/>
  <c r="Q19" i="1"/>
  <c r="T19" i="1" s="1"/>
  <c r="U18" i="1"/>
  <c r="T18" i="1"/>
  <c r="S18" i="1"/>
  <c r="R18" i="1"/>
  <c r="Q18" i="1"/>
  <c r="U17" i="1"/>
  <c r="S17" i="1"/>
  <c r="R17" i="1"/>
  <c r="Q17" i="1"/>
  <c r="T17" i="1" s="1"/>
  <c r="U16" i="1"/>
  <c r="T16" i="1"/>
  <c r="R16" i="1"/>
  <c r="Q16" i="1"/>
  <c r="S16" i="1" s="1"/>
  <c r="U15" i="1"/>
  <c r="R15" i="1"/>
  <c r="Q15" i="1"/>
  <c r="T15" i="1" s="1"/>
  <c r="U14" i="1"/>
  <c r="T14" i="1"/>
  <c r="S14" i="1"/>
  <c r="R14" i="1"/>
  <c r="Q14" i="1"/>
  <c r="U13" i="1"/>
  <c r="T13" i="1"/>
  <c r="S13" i="1"/>
  <c r="R13" i="1"/>
  <c r="Q13" i="1"/>
  <c r="U12" i="1"/>
  <c r="R12" i="1"/>
  <c r="Q12" i="1"/>
  <c r="T12" i="1" s="1"/>
  <c r="U11" i="1"/>
  <c r="R11" i="1"/>
  <c r="Q11" i="1"/>
  <c r="T11" i="1" s="1"/>
  <c r="U10" i="1"/>
  <c r="T10" i="1"/>
  <c r="S10" i="1"/>
  <c r="R10" i="1"/>
  <c r="Q10" i="1"/>
  <c r="U9" i="1"/>
  <c r="S9" i="1"/>
  <c r="R9" i="1"/>
  <c r="Q9" i="1"/>
  <c r="T9" i="1" s="1"/>
  <c r="U8" i="1"/>
  <c r="T8" i="1"/>
  <c r="R8" i="1"/>
  <c r="Q8" i="1"/>
  <c r="S8" i="1" s="1"/>
  <c r="U7" i="1"/>
  <c r="R7" i="1"/>
  <c r="Q7" i="1"/>
  <c r="T7" i="1" s="1"/>
  <c r="U6" i="1"/>
  <c r="T6" i="1"/>
  <c r="S6" i="1"/>
  <c r="R6" i="1"/>
  <c r="Q6" i="1"/>
  <c r="U5" i="1"/>
  <c r="T5" i="1"/>
  <c r="S5" i="1"/>
  <c r="R5" i="1"/>
  <c r="Q5" i="1"/>
  <c r="U4" i="1"/>
  <c r="R4" i="1"/>
  <c r="Q4" i="1"/>
  <c r="T4" i="1" s="1"/>
  <c r="U3" i="1"/>
  <c r="R3" i="1"/>
  <c r="Q3" i="1"/>
  <c r="T3" i="1" s="1"/>
  <c r="U2" i="1"/>
  <c r="T2" i="1"/>
  <c r="S2" i="1"/>
  <c r="R2" i="1"/>
  <c r="Q2" i="1"/>
  <c r="S15" i="1" l="1"/>
  <c r="S23" i="1"/>
  <c r="T252" i="1"/>
  <c r="S252" i="1"/>
  <c r="T289" i="1"/>
  <c r="S289" i="1"/>
  <c r="T316" i="1"/>
  <c r="S316" i="1"/>
  <c r="T353" i="1"/>
  <c r="S353" i="1"/>
  <c r="T361" i="1"/>
  <c r="S361" i="1"/>
  <c r="T369" i="1"/>
  <c r="S369" i="1"/>
  <c r="T377" i="1"/>
  <c r="S377" i="1"/>
  <c r="T385" i="1"/>
  <c r="S385" i="1"/>
  <c r="T393" i="1"/>
  <c r="S393" i="1"/>
  <c r="T401" i="1"/>
  <c r="S401" i="1"/>
  <c r="T409" i="1"/>
  <c r="S409" i="1"/>
  <c r="T444" i="1"/>
  <c r="S444" i="1"/>
  <c r="T473" i="1"/>
  <c r="S473" i="1"/>
  <c r="S7" i="1"/>
  <c r="S4" i="1"/>
  <c r="S12" i="1"/>
  <c r="S20" i="1"/>
  <c r="S28" i="1"/>
  <c r="S36" i="1"/>
  <c r="S44" i="1"/>
  <c r="S52" i="1"/>
  <c r="S60" i="1"/>
  <c r="S68" i="1"/>
  <c r="S76" i="1"/>
  <c r="T108" i="1"/>
  <c r="T125" i="1"/>
  <c r="T132" i="1"/>
  <c r="T141" i="1"/>
  <c r="T148" i="1"/>
  <c r="T157" i="1"/>
  <c r="T164" i="1"/>
  <c r="T173" i="1"/>
  <c r="T180" i="1"/>
  <c r="T189" i="1"/>
  <c r="T196" i="1"/>
  <c r="T205" i="1"/>
  <c r="T212" i="1"/>
  <c r="T221" i="1"/>
  <c r="T228" i="1"/>
  <c r="T237" i="1"/>
  <c r="T260" i="1"/>
  <c r="S260" i="1"/>
  <c r="T285" i="1"/>
  <c r="T297" i="1"/>
  <c r="S297" i="1"/>
  <c r="T324" i="1"/>
  <c r="S324" i="1"/>
  <c r="T349" i="1"/>
  <c r="T357" i="1"/>
  <c r="T365" i="1"/>
  <c r="T373" i="1"/>
  <c r="T381" i="1"/>
  <c r="T389" i="1"/>
  <c r="T397" i="1"/>
  <c r="T436" i="1"/>
  <c r="S436" i="1"/>
  <c r="T465" i="1"/>
  <c r="S465" i="1"/>
  <c r="T268" i="1"/>
  <c r="S268" i="1"/>
  <c r="T293" i="1"/>
  <c r="T305" i="1"/>
  <c r="S305" i="1"/>
  <c r="T332" i="1"/>
  <c r="S332" i="1"/>
  <c r="T428" i="1"/>
  <c r="S428" i="1"/>
  <c r="T457" i="1"/>
  <c r="S457" i="1"/>
  <c r="S234" i="1"/>
  <c r="S243" i="1"/>
  <c r="T249" i="1"/>
  <c r="S249" i="1"/>
  <c r="T276" i="1"/>
  <c r="S276" i="1"/>
  <c r="T301" i="1"/>
  <c r="T313" i="1"/>
  <c r="S313" i="1"/>
  <c r="T340" i="1"/>
  <c r="S340" i="1"/>
  <c r="T420" i="1"/>
  <c r="S420" i="1"/>
  <c r="T449" i="1"/>
  <c r="S449" i="1"/>
  <c r="T484" i="1"/>
  <c r="S484" i="1"/>
  <c r="S11" i="1"/>
  <c r="S27" i="1"/>
  <c r="S35" i="1"/>
  <c r="S43" i="1"/>
  <c r="S51" i="1"/>
  <c r="S59" i="1"/>
  <c r="S67" i="1"/>
  <c r="S75" i="1"/>
  <c r="S83" i="1"/>
  <c r="S91" i="1"/>
  <c r="S99" i="1"/>
  <c r="S107" i="1"/>
  <c r="S131" i="1"/>
  <c r="S147" i="1"/>
  <c r="S163" i="1"/>
  <c r="S179" i="1"/>
  <c r="S195" i="1"/>
  <c r="S211" i="1"/>
  <c r="S227" i="1"/>
  <c r="T245" i="1"/>
  <c r="T257" i="1"/>
  <c r="S257" i="1"/>
  <c r="T284" i="1"/>
  <c r="S284" i="1"/>
  <c r="T309" i="1"/>
  <c r="T321" i="1"/>
  <c r="S321" i="1"/>
  <c r="T348" i="1"/>
  <c r="S348" i="1"/>
  <c r="T356" i="1"/>
  <c r="S356" i="1"/>
  <c r="T364" i="1"/>
  <c r="S364" i="1"/>
  <c r="T372" i="1"/>
  <c r="S372" i="1"/>
  <c r="T380" i="1"/>
  <c r="S380" i="1"/>
  <c r="T388" i="1"/>
  <c r="S388" i="1"/>
  <c r="T396" i="1"/>
  <c r="S396" i="1"/>
  <c r="T404" i="1"/>
  <c r="S404" i="1"/>
  <c r="T412" i="1"/>
  <c r="S412" i="1"/>
  <c r="T441" i="1"/>
  <c r="S441" i="1"/>
  <c r="T476" i="1"/>
  <c r="S476" i="1"/>
  <c r="S3" i="1"/>
  <c r="S19" i="1"/>
  <c r="S40" i="1"/>
  <c r="S48" i="1"/>
  <c r="S56" i="1"/>
  <c r="S64" i="1"/>
  <c r="S72" i="1"/>
  <c r="S80" i="1"/>
  <c r="S88" i="1"/>
  <c r="S96" i="1"/>
  <c r="S104" i="1"/>
  <c r="S109" i="1"/>
  <c r="S114" i="1"/>
  <c r="S119" i="1"/>
  <c r="T124" i="1"/>
  <c r="T133" i="1"/>
  <c r="T140" i="1"/>
  <c r="T149" i="1"/>
  <c r="T156" i="1"/>
  <c r="T165" i="1"/>
  <c r="T172" i="1"/>
  <c r="T181" i="1"/>
  <c r="T188" i="1"/>
  <c r="T197" i="1"/>
  <c r="T204" i="1"/>
  <c r="T213" i="1"/>
  <c r="T220" i="1"/>
  <c r="T229" i="1"/>
  <c r="T265" i="1"/>
  <c r="S265" i="1"/>
  <c r="T292" i="1"/>
  <c r="S292" i="1"/>
  <c r="T329" i="1"/>
  <c r="S329" i="1"/>
  <c r="T433" i="1"/>
  <c r="S433" i="1"/>
  <c r="T468" i="1"/>
  <c r="S468" i="1"/>
  <c r="T261" i="1"/>
  <c r="T273" i="1"/>
  <c r="S273" i="1"/>
  <c r="T300" i="1"/>
  <c r="S300" i="1"/>
  <c r="T337" i="1"/>
  <c r="S337" i="1"/>
  <c r="T425" i="1"/>
  <c r="S425" i="1"/>
  <c r="T460" i="1"/>
  <c r="S460" i="1"/>
  <c r="T489" i="1"/>
  <c r="S489" i="1"/>
  <c r="T281" i="1"/>
  <c r="S281" i="1"/>
  <c r="T308" i="1"/>
  <c r="S308" i="1"/>
  <c r="T345" i="1"/>
  <c r="S345" i="1"/>
  <c r="T417" i="1"/>
  <c r="S417" i="1"/>
  <c r="T452" i="1"/>
  <c r="S452" i="1"/>
  <c r="T481" i="1"/>
  <c r="S481" i="1"/>
  <c r="T870" i="1"/>
  <c r="S870" i="1"/>
  <c r="T992" i="1"/>
  <c r="S992" i="1"/>
  <c r="T1185" i="1"/>
  <c r="S1185" i="1"/>
  <c r="T878" i="1"/>
  <c r="S878" i="1"/>
  <c r="S1130" i="1"/>
  <c r="T1130" i="1"/>
  <c r="T1409" i="1"/>
  <c r="S1409" i="1"/>
  <c r="T1481" i="1"/>
  <c r="S1481" i="1"/>
  <c r="T1529" i="1"/>
  <c r="S1529" i="1"/>
  <c r="T1537" i="1"/>
  <c r="S1537" i="1"/>
  <c r="S492" i="1"/>
  <c r="S500" i="1"/>
  <c r="S508" i="1"/>
  <c r="S516" i="1"/>
  <c r="S524" i="1"/>
  <c r="S532" i="1"/>
  <c r="S540" i="1"/>
  <c r="S548" i="1"/>
  <c r="S556" i="1"/>
  <c r="S564" i="1"/>
  <c r="S572" i="1"/>
  <c r="S580" i="1"/>
  <c r="S588" i="1"/>
  <c r="S596" i="1"/>
  <c r="S604" i="1"/>
  <c r="S612" i="1"/>
  <c r="S620" i="1"/>
  <c r="S628" i="1"/>
  <c r="S636" i="1"/>
  <c r="S644" i="1"/>
  <c r="S652" i="1"/>
  <c r="S660" i="1"/>
  <c r="S665" i="1"/>
  <c r="T670" i="1"/>
  <c r="S682" i="1"/>
  <c r="S687" i="1"/>
  <c r="S692" i="1"/>
  <c r="S697" i="1"/>
  <c r="T702" i="1"/>
  <c r="S714" i="1"/>
  <c r="S719" i="1"/>
  <c r="S724" i="1"/>
  <c r="S729" i="1"/>
  <c r="T734" i="1"/>
  <c r="S748" i="1"/>
  <c r="S764" i="1"/>
  <c r="S780" i="1"/>
  <c r="S796" i="1"/>
  <c r="S868" i="1"/>
  <c r="T886" i="1"/>
  <c r="S886" i="1"/>
  <c r="T1048" i="1"/>
  <c r="S1048" i="1"/>
  <c r="S497" i="1"/>
  <c r="S505" i="1"/>
  <c r="S513" i="1"/>
  <c r="S521" i="1"/>
  <c r="S529" i="1"/>
  <c r="S537" i="1"/>
  <c r="S545" i="1"/>
  <c r="S553" i="1"/>
  <c r="S561" i="1"/>
  <c r="S569" i="1"/>
  <c r="S577" i="1"/>
  <c r="S585" i="1"/>
  <c r="S593" i="1"/>
  <c r="S601" i="1"/>
  <c r="S609" i="1"/>
  <c r="S617" i="1"/>
  <c r="S625" i="1"/>
  <c r="S633" i="1"/>
  <c r="S641" i="1"/>
  <c r="S649" i="1"/>
  <c r="S657" i="1"/>
  <c r="S667" i="1"/>
  <c r="S677" i="1"/>
  <c r="S699" i="1"/>
  <c r="S709" i="1"/>
  <c r="S731" i="1"/>
  <c r="S741" i="1"/>
  <c r="S757" i="1"/>
  <c r="S773" i="1"/>
  <c r="S789" i="1"/>
  <c r="T798" i="1"/>
  <c r="T813" i="1"/>
  <c r="S828" i="1"/>
  <c r="T830" i="1"/>
  <c r="S876" i="1"/>
  <c r="T894" i="1"/>
  <c r="S894" i="1"/>
  <c r="T970" i="1"/>
  <c r="S970" i="1"/>
  <c r="T999" i="1"/>
  <c r="S999" i="1"/>
  <c r="S1290" i="1"/>
  <c r="T1290" i="1"/>
  <c r="T662" i="1"/>
  <c r="S689" i="1"/>
  <c r="T694" i="1"/>
  <c r="S721" i="1"/>
  <c r="T726" i="1"/>
  <c r="T743" i="1"/>
  <c r="T750" i="1"/>
  <c r="T759" i="1"/>
  <c r="T902" i="1"/>
  <c r="S902" i="1"/>
  <c r="S948" i="1"/>
  <c r="T948" i="1"/>
  <c r="S980" i="1"/>
  <c r="T980" i="1"/>
  <c r="T1065" i="1"/>
  <c r="S1065" i="1"/>
  <c r="T1071" i="1"/>
  <c r="S1071" i="1"/>
  <c r="S691" i="1"/>
  <c r="S701" i="1"/>
  <c r="S723" i="1"/>
  <c r="S733" i="1"/>
  <c r="S747" i="1"/>
  <c r="S754" i="1"/>
  <c r="S763" i="1"/>
  <c r="S770" i="1"/>
  <c r="S779" i="1"/>
  <c r="S786" i="1"/>
  <c r="S795" i="1"/>
  <c r="S804" i="1"/>
  <c r="T806" i="1"/>
  <c r="T821" i="1"/>
  <c r="S836" i="1"/>
  <c r="T838" i="1"/>
  <c r="T846" i="1"/>
  <c r="S846" i="1"/>
  <c r="S892" i="1"/>
  <c r="T908" i="1"/>
  <c r="S908" i="1"/>
  <c r="T916" i="1"/>
  <c r="S916" i="1"/>
  <c r="T924" i="1"/>
  <c r="S924" i="1"/>
  <c r="T932" i="1"/>
  <c r="S932" i="1"/>
  <c r="T940" i="1"/>
  <c r="S940" i="1"/>
  <c r="T960" i="1"/>
  <c r="S960" i="1"/>
  <c r="T1249" i="1"/>
  <c r="S1249" i="1"/>
  <c r="S416" i="1"/>
  <c r="S424" i="1"/>
  <c r="S432" i="1"/>
  <c r="S440" i="1"/>
  <c r="S448" i="1"/>
  <c r="S456" i="1"/>
  <c r="S464" i="1"/>
  <c r="S472" i="1"/>
  <c r="S480" i="1"/>
  <c r="S488" i="1"/>
  <c r="S496" i="1"/>
  <c r="S504" i="1"/>
  <c r="S512" i="1"/>
  <c r="S520" i="1"/>
  <c r="S528" i="1"/>
  <c r="S536" i="1"/>
  <c r="S544" i="1"/>
  <c r="S552" i="1"/>
  <c r="S560" i="1"/>
  <c r="S568" i="1"/>
  <c r="S576" i="1"/>
  <c r="S584" i="1"/>
  <c r="S592" i="1"/>
  <c r="S600" i="1"/>
  <c r="S608" i="1"/>
  <c r="T854" i="1"/>
  <c r="S854" i="1"/>
  <c r="S900" i="1"/>
  <c r="T1016" i="1"/>
  <c r="S1016" i="1"/>
  <c r="S1226" i="1"/>
  <c r="T1226" i="1"/>
  <c r="T797" i="1"/>
  <c r="S812" i="1"/>
  <c r="T814" i="1"/>
  <c r="T829" i="1"/>
  <c r="S844" i="1"/>
  <c r="T862" i="1"/>
  <c r="S862" i="1"/>
  <c r="T965" i="1"/>
  <c r="S965" i="1"/>
  <c r="T975" i="1"/>
  <c r="S975" i="1"/>
  <c r="T1031" i="1"/>
  <c r="S1031" i="1"/>
  <c r="T993" i="1"/>
  <c r="T1002" i="1"/>
  <c r="T1017" i="1"/>
  <c r="S1021" i="1"/>
  <c r="T1034" i="1"/>
  <c r="T1049" i="1"/>
  <c r="S1053" i="1"/>
  <c r="T1057" i="1"/>
  <c r="S1057" i="1"/>
  <c r="T1082" i="1"/>
  <c r="T1145" i="1"/>
  <c r="S1145" i="1"/>
  <c r="T1153" i="1"/>
  <c r="S1153" i="1"/>
  <c r="T1161" i="1"/>
  <c r="S1161" i="1"/>
  <c r="T1169" i="1"/>
  <c r="S1169" i="1"/>
  <c r="T1177" i="1"/>
  <c r="S1177" i="1"/>
  <c r="T1202" i="1"/>
  <c r="T1241" i="1"/>
  <c r="S1241" i="1"/>
  <c r="T1266" i="1"/>
  <c r="T1305" i="1"/>
  <c r="S1305" i="1"/>
  <c r="T1311" i="1"/>
  <c r="S985" i="1"/>
  <c r="T1010" i="1"/>
  <c r="T1025" i="1"/>
  <c r="S1029" i="1"/>
  <c r="T1042" i="1"/>
  <c r="S1063" i="1"/>
  <c r="T1073" i="1"/>
  <c r="S1073" i="1"/>
  <c r="T1122" i="1"/>
  <c r="T1193" i="1"/>
  <c r="S1193" i="1"/>
  <c r="T1218" i="1"/>
  <c r="T1257" i="1"/>
  <c r="S1257" i="1"/>
  <c r="T1282" i="1"/>
  <c r="T1081" i="1"/>
  <c r="S1081" i="1"/>
  <c r="T1201" i="1"/>
  <c r="S1201" i="1"/>
  <c r="T1265" i="1"/>
  <c r="S1265" i="1"/>
  <c r="T1310" i="1"/>
  <c r="S1310" i="1"/>
  <c r="T1316" i="1"/>
  <c r="S1316" i="1"/>
  <c r="T996" i="1"/>
  <c r="S996" i="1"/>
  <c r="T1089" i="1"/>
  <c r="S1089" i="1"/>
  <c r="T1097" i="1"/>
  <c r="S1097" i="1"/>
  <c r="T1105" i="1"/>
  <c r="S1105" i="1"/>
  <c r="T1113" i="1"/>
  <c r="S1113" i="1"/>
  <c r="T1209" i="1"/>
  <c r="S1209" i="1"/>
  <c r="T1273" i="1"/>
  <c r="S1273" i="1"/>
  <c r="T1320" i="1"/>
  <c r="S1320" i="1"/>
  <c r="S910" i="1"/>
  <c r="S918" i="1"/>
  <c r="S926" i="1"/>
  <c r="S934" i="1"/>
  <c r="S942" i="1"/>
  <c r="S952" i="1"/>
  <c r="S957" i="1"/>
  <c r="S962" i="1"/>
  <c r="S967" i="1"/>
  <c r="S1007" i="1"/>
  <c r="S1039" i="1"/>
  <c r="T1058" i="1"/>
  <c r="T1121" i="1"/>
  <c r="S1121" i="1"/>
  <c r="T1217" i="1"/>
  <c r="S1217" i="1"/>
  <c r="T1281" i="1"/>
  <c r="S1281" i="1"/>
  <c r="T1129" i="1"/>
  <c r="S1129" i="1"/>
  <c r="T1225" i="1"/>
  <c r="S1225" i="1"/>
  <c r="T1289" i="1"/>
  <c r="S1289" i="1"/>
  <c r="T1369" i="1"/>
  <c r="S1369" i="1"/>
  <c r="T1137" i="1"/>
  <c r="S1137" i="1"/>
  <c r="T1233" i="1"/>
  <c r="S1233" i="1"/>
  <c r="T1297" i="1"/>
  <c r="S1297" i="1"/>
  <c r="S1321" i="1"/>
  <c r="T1321" i="1"/>
  <c r="T1337" i="1"/>
  <c r="S1337" i="1"/>
  <c r="T1417" i="1"/>
  <c r="S1417" i="1"/>
  <c r="T1473" i="1"/>
  <c r="S1473" i="1"/>
  <c r="T1545" i="1"/>
  <c r="S1545" i="1"/>
  <c r="T1601" i="1"/>
  <c r="S1601" i="1"/>
  <c r="T1641" i="1"/>
  <c r="S1641" i="1"/>
  <c r="T1735" i="1"/>
  <c r="S1735" i="1"/>
  <c r="T1743" i="1"/>
  <c r="S1743" i="1"/>
  <c r="S1004" i="1"/>
  <c r="S1012" i="1"/>
  <c r="S1020" i="1"/>
  <c r="S1028" i="1"/>
  <c r="S1036" i="1"/>
  <c r="S1044" i="1"/>
  <c r="S1052" i="1"/>
  <c r="S1060" i="1"/>
  <c r="S1068" i="1"/>
  <c r="S1076" i="1"/>
  <c r="S1084" i="1"/>
  <c r="S1092" i="1"/>
  <c r="S1100" i="1"/>
  <c r="S1108" i="1"/>
  <c r="S1116" i="1"/>
  <c r="S1124" i="1"/>
  <c r="S1132" i="1"/>
  <c r="S1140" i="1"/>
  <c r="S1148" i="1"/>
  <c r="S1156" i="1"/>
  <c r="S1164" i="1"/>
  <c r="S1172" i="1"/>
  <c r="S1180" i="1"/>
  <c r="S1188" i="1"/>
  <c r="S1196" i="1"/>
  <c r="S1204" i="1"/>
  <c r="S1212" i="1"/>
  <c r="S1220" i="1"/>
  <c r="S1228" i="1"/>
  <c r="S1236" i="1"/>
  <c r="S1244" i="1"/>
  <c r="S1252" i="1"/>
  <c r="S1260" i="1"/>
  <c r="S1268" i="1"/>
  <c r="S1276" i="1"/>
  <c r="S1284" i="1"/>
  <c r="S1292" i="1"/>
  <c r="S1300" i="1"/>
  <c r="S1308" i="1"/>
  <c r="T1313" i="1"/>
  <c r="S1325" i="1"/>
  <c r="S1330" i="1"/>
  <c r="T1332" i="1"/>
  <c r="S1332" i="1"/>
  <c r="T1401" i="1"/>
  <c r="S1401" i="1"/>
  <c r="T1489" i="1"/>
  <c r="S1489" i="1"/>
  <c r="T1521" i="1"/>
  <c r="S1521" i="1"/>
  <c r="T1593" i="1"/>
  <c r="S1593" i="1"/>
  <c r="T1633" i="1"/>
  <c r="S1633" i="1"/>
  <c r="T1393" i="1"/>
  <c r="S1393" i="1"/>
  <c r="T1497" i="1"/>
  <c r="S1497" i="1"/>
  <c r="T1505" i="1"/>
  <c r="S1505" i="1"/>
  <c r="T1513" i="1"/>
  <c r="S1513" i="1"/>
  <c r="T1585" i="1"/>
  <c r="S1585" i="1"/>
  <c r="T1646" i="1"/>
  <c r="S1646" i="1"/>
  <c r="S1671" i="1"/>
  <c r="T1671" i="1"/>
  <c r="T1385" i="1"/>
  <c r="S1385" i="1"/>
  <c r="T1625" i="1"/>
  <c r="S1625" i="1"/>
  <c r="T1338" i="1"/>
  <c r="T1377" i="1"/>
  <c r="S1377" i="1"/>
  <c r="T1569" i="1"/>
  <c r="S1569" i="1"/>
  <c r="T1577" i="1"/>
  <c r="S1577" i="1"/>
  <c r="T1561" i="1"/>
  <c r="S1561" i="1"/>
  <c r="T1617" i="1"/>
  <c r="S1617" i="1"/>
  <c r="T1345" i="1"/>
  <c r="S1345" i="1"/>
  <c r="T1353" i="1"/>
  <c r="S1353" i="1"/>
  <c r="T1361" i="1"/>
  <c r="S1361" i="1"/>
  <c r="T1425" i="1"/>
  <c r="S1425" i="1"/>
  <c r="T1433" i="1"/>
  <c r="S1433" i="1"/>
  <c r="T1441" i="1"/>
  <c r="S1441" i="1"/>
  <c r="T1449" i="1"/>
  <c r="S1449" i="1"/>
  <c r="T1457" i="1"/>
  <c r="S1457" i="1"/>
  <c r="T1465" i="1"/>
  <c r="S1465" i="1"/>
  <c r="T1553" i="1"/>
  <c r="S1553" i="1"/>
  <c r="T1609" i="1"/>
  <c r="S1609" i="1"/>
  <c r="S1340" i="1"/>
  <c r="S1348" i="1"/>
  <c r="S1356" i="1"/>
  <c r="S1364" i="1"/>
  <c r="S1372" i="1"/>
  <c r="S1380" i="1"/>
  <c r="S1388" i="1"/>
  <c r="S1396" i="1"/>
  <c r="S1404" i="1"/>
  <c r="S1412" i="1"/>
  <c r="S1420" i="1"/>
  <c r="S1428" i="1"/>
  <c r="S1436" i="1"/>
  <c r="S1444" i="1"/>
  <c r="S1452" i="1"/>
  <c r="S1460" i="1"/>
  <c r="S1468" i="1"/>
  <c r="S1476" i="1"/>
  <c r="S1484" i="1"/>
  <c r="S1492" i="1"/>
  <c r="S1500" i="1"/>
  <c r="S1508" i="1"/>
  <c r="S1516" i="1"/>
  <c r="S1524" i="1"/>
  <c r="S1532" i="1"/>
  <c r="S1540" i="1"/>
  <c r="S1548" i="1"/>
  <c r="S1556" i="1"/>
  <c r="S1564" i="1"/>
  <c r="S1572" i="1"/>
  <c r="S1580" i="1"/>
  <c r="S1588" i="1"/>
  <c r="S1596" i="1"/>
  <c r="S1604" i="1"/>
  <c r="S1612" i="1"/>
  <c r="S1620" i="1"/>
  <c r="S1628" i="1"/>
  <c r="S1636" i="1"/>
  <c r="T1679" i="1"/>
  <c r="T1702" i="1"/>
  <c r="S1702" i="1"/>
  <c r="T1727" i="1"/>
  <c r="S1727" i="1"/>
  <c r="T1694" i="1"/>
  <c r="S1694" i="1"/>
  <c r="T1686" i="1"/>
  <c r="S1686" i="1"/>
  <c r="T1719" i="1"/>
  <c r="S1719" i="1"/>
  <c r="T1678" i="1"/>
  <c r="S1678" i="1"/>
  <c r="T1711" i="1"/>
  <c r="S1711" i="1"/>
  <c r="S1520" i="1"/>
  <c r="S1528" i="1"/>
  <c r="S1536" i="1"/>
  <c r="S1544" i="1"/>
  <c r="S1552" i="1"/>
  <c r="S1560" i="1"/>
  <c r="S1568" i="1"/>
  <c r="S1576" i="1"/>
  <c r="S1584" i="1"/>
  <c r="T1670" i="1"/>
  <c r="S1670" i="1"/>
  <c r="S1341" i="1"/>
  <c r="S1349" i="1"/>
  <c r="S1357" i="1"/>
  <c r="S1365" i="1"/>
  <c r="S1373" i="1"/>
  <c r="S1381" i="1"/>
  <c r="S1389" i="1"/>
  <c r="S1397" i="1"/>
  <c r="S1405" i="1"/>
  <c r="S1413" i="1"/>
  <c r="S1421" i="1"/>
  <c r="S1429" i="1"/>
  <c r="S1437" i="1"/>
  <c r="S1445" i="1"/>
  <c r="S1453" i="1"/>
  <c r="S1461" i="1"/>
  <c r="S1469" i="1"/>
  <c r="S1477" i="1"/>
  <c r="S1485" i="1"/>
  <c r="S1493" i="1"/>
  <c r="S1501" i="1"/>
  <c r="S1509" i="1"/>
  <c r="S1517" i="1"/>
  <c r="S1525" i="1"/>
  <c r="S1533" i="1"/>
  <c r="S1541" i="1"/>
  <c r="S1549" i="1"/>
  <c r="S1557" i="1"/>
  <c r="S1565" i="1"/>
  <c r="S1573" i="1"/>
  <c r="S1581" i="1"/>
  <c r="S1589" i="1"/>
  <c r="S1597" i="1"/>
  <c r="S1605" i="1"/>
  <c r="S1613" i="1"/>
  <c r="S1621" i="1"/>
  <c r="S1629" i="1"/>
  <c r="S1637" i="1"/>
  <c r="S1645" i="1"/>
  <c r="T1662" i="1"/>
  <c r="S1662" i="1"/>
  <c r="T1703" i="1"/>
  <c r="T1650" i="1"/>
  <c r="S1650" i="1"/>
  <c r="T1654" i="1"/>
  <c r="S1654" i="1"/>
  <c r="T1827" i="1"/>
  <c r="T1835" i="1"/>
  <c r="T1843" i="1"/>
  <c r="T1851" i="1"/>
  <c r="T1859" i="1"/>
  <c r="T1867" i="1"/>
  <c r="T1875" i="1"/>
  <c r="T1883" i="1"/>
  <c r="T1891" i="1"/>
  <c r="T1899" i="1"/>
  <c r="T1907" i="1"/>
  <c r="T1915" i="1"/>
  <c r="T1923" i="1"/>
  <c r="T1931" i="1"/>
  <c r="T1939" i="1"/>
  <c r="T1947" i="1"/>
  <c r="S1989" i="1"/>
  <c r="S1997" i="1"/>
  <c r="S1658" i="1"/>
  <c r="S1666" i="1"/>
  <c r="S1674" i="1"/>
  <c r="S1682" i="1"/>
  <c r="S1690" i="1"/>
  <c r="S1698" i="1"/>
  <c r="S1706" i="1"/>
  <c r="S1714" i="1"/>
  <c r="S1722" i="1"/>
  <c r="S1730" i="1"/>
  <c r="S1738" i="1"/>
  <c r="S1746" i="1"/>
  <c r="S1754" i="1"/>
  <c r="S1762" i="1"/>
  <c r="S1770" i="1"/>
  <c r="S1778" i="1"/>
  <c r="S1786" i="1"/>
  <c r="S1794" i="1"/>
  <c r="S1802" i="1"/>
  <c r="S1810" i="1"/>
  <c r="S1818" i="1"/>
  <c r="S1826" i="1"/>
  <c r="S1834" i="1"/>
  <c r="S1842" i="1"/>
  <c r="S1850" i="1"/>
  <c r="S1858" i="1"/>
  <c r="S1866" i="1"/>
  <c r="S1874" i="1"/>
  <c r="S1882" i="1"/>
  <c r="S1890" i="1"/>
  <c r="S1898" i="1"/>
  <c r="S1906" i="1"/>
  <c r="S1914" i="1"/>
  <c r="S1922" i="1"/>
  <c r="S1930" i="1"/>
  <c r="S1938" i="1"/>
  <c r="S1962" i="1"/>
  <c r="S1970" i="1"/>
  <c r="S1978" i="1"/>
  <c r="S1986" i="1"/>
  <c r="S1994" i="1"/>
  <c r="S1751" i="1"/>
  <c r="S1759" i="1"/>
  <c r="S1767" i="1"/>
  <c r="S1775" i="1"/>
  <c r="S1783" i="1"/>
  <c r="S1791" i="1"/>
  <c r="S1799" i="1"/>
  <c r="S1807" i="1"/>
  <c r="S1815" i="1"/>
  <c r="S1823" i="1"/>
  <c r="S1831" i="1"/>
  <c r="S1839" i="1"/>
  <c r="S1847" i="1"/>
  <c r="S1855" i="1"/>
  <c r="S1863" i="1"/>
  <c r="S1871" i="1"/>
  <c r="S1879" i="1"/>
  <c r="S1887" i="1"/>
  <c r="S1895" i="1"/>
  <c r="S1903" i="1"/>
  <c r="S1911" i="1"/>
  <c r="S1919" i="1"/>
  <c r="S1927" i="1"/>
  <c r="S1935" i="1"/>
  <c r="S1943" i="1"/>
  <c r="S1951" i="1"/>
  <c r="S1959" i="1"/>
  <c r="S1967" i="1"/>
  <c r="S1975" i="1"/>
  <c r="S1983" i="1"/>
  <c r="S1649" i="1"/>
  <c r="S1657" i="1"/>
  <c r="S1665" i="1"/>
  <c r="S1673" i="1"/>
  <c r="S1681" i="1"/>
  <c r="S1689" i="1"/>
  <c r="S1697" i="1"/>
  <c r="S1721" i="1"/>
  <c r="S1729" i="1"/>
  <c r="S1801" i="1"/>
  <c r="S1809" i="1"/>
  <c r="S1817" i="1"/>
  <c r="S1825" i="1"/>
  <c r="S1833" i="1"/>
  <c r="S1945" i="1"/>
  <c r="S1953" i="1"/>
  <c r="S1961" i="1"/>
  <c r="S1969" i="1"/>
  <c r="S1977" i="1"/>
  <c r="S1985" i="1"/>
  <c r="S1993" i="1"/>
  <c r="S2001" i="1"/>
  <c r="S1710" i="1"/>
  <c r="S1718" i="1"/>
  <c r="S1726" i="1"/>
  <c r="S1734" i="1"/>
  <c r="S1742" i="1"/>
  <c r="S1750" i="1"/>
  <c r="S1758" i="1"/>
  <c r="S1766" i="1"/>
  <c r="S1774" i="1"/>
  <c r="S1782" i="1"/>
  <c r="S1790" i="1"/>
  <c r="S1798" i="1"/>
  <c r="S1806" i="1"/>
  <c r="S1814" i="1"/>
  <c r="S1822" i="1"/>
  <c r="S1830" i="1"/>
  <c r="S1838" i="1"/>
  <c r="S1846" i="1"/>
  <c r="S1854" i="1"/>
  <c r="S1862" i="1"/>
  <c r="S1870" i="1"/>
  <c r="S1878" i="1"/>
  <c r="S1886" i="1"/>
  <c r="S1894" i="1"/>
  <c r="S1902" i="1"/>
  <c r="S1910" i="1"/>
  <c r="S1918" i="1"/>
  <c r="S1926" i="1"/>
  <c r="S1934" i="1"/>
  <c r="S1942" i="1"/>
  <c r="S1950" i="1"/>
  <c r="S1958" i="1"/>
  <c r="S1966" i="1"/>
  <c r="S1974" i="1"/>
  <c r="S1982" i="1"/>
  <c r="S1990" i="1"/>
</calcChain>
</file>

<file path=xl/sharedStrings.xml><?xml version="1.0" encoding="utf-8"?>
<sst xmlns="http://schemas.openxmlformats.org/spreadsheetml/2006/main" count="10098" uniqueCount="61">
  <si>
    <t>Country</t>
  </si>
  <si>
    <t>Sum of Total_Attacks</t>
  </si>
  <si>
    <t>Event_Type</t>
  </si>
  <si>
    <t>Sum of Total_Casualties</t>
  </si>
  <si>
    <t>Iran</t>
  </si>
  <si>
    <t>Airstrike</t>
  </si>
  <si>
    <t>Israel</t>
  </si>
  <si>
    <t>Cyber Attack</t>
  </si>
  <si>
    <t>Grand Total</t>
  </si>
  <si>
    <t>Drone Strike</t>
  </si>
  <si>
    <t>Missile Attack</t>
  </si>
  <si>
    <t>Rocket Attack</t>
  </si>
  <si>
    <t>Date</t>
  </si>
  <si>
    <t>Area</t>
  </si>
  <si>
    <t>Target_Type</t>
  </si>
  <si>
    <t>Weather</t>
  </si>
  <si>
    <t>Missiles_Launched</t>
  </si>
  <si>
    <t>Drones_Launched</t>
  </si>
  <si>
    <t>Defense_Interceptions</t>
  </si>
  <si>
    <t>Deaths</t>
  </si>
  <si>
    <t>Injuries</t>
  </si>
  <si>
    <t>Oil_Price_USD</t>
  </si>
  <si>
    <t>Gold_Price_USD</t>
  </si>
  <si>
    <t>Stock_Index</t>
  </si>
  <si>
    <t>Shipping_Index</t>
  </si>
  <si>
    <t>Media_Sentiment_Score</t>
  </si>
  <si>
    <t>Total_Attacks</t>
  </si>
  <si>
    <t>Total_Casualties</t>
  </si>
  <si>
    <t>Attack_success_Rate</t>
  </si>
  <si>
    <t>War_Intensity_Index</t>
  </si>
  <si>
    <t>Month</t>
  </si>
  <si>
    <t>Ashdod</t>
  </si>
  <si>
    <t>Radar Station</t>
  </si>
  <si>
    <t>Fog</t>
  </si>
  <si>
    <t>Qom</t>
  </si>
  <si>
    <t>Military Base</t>
  </si>
  <si>
    <t>Gaza Border</t>
  </si>
  <si>
    <t>Oil Facility</t>
  </si>
  <si>
    <t>Port</t>
  </si>
  <si>
    <t>Clear</t>
  </si>
  <si>
    <t>Isfahan</t>
  </si>
  <si>
    <t>Airport</t>
  </si>
  <si>
    <t>City Center</t>
  </si>
  <si>
    <t>Tehran</t>
  </si>
  <si>
    <t>Shiraz</t>
  </si>
  <si>
    <t>Rain</t>
  </si>
  <si>
    <t>Tel Aviv</t>
  </si>
  <si>
    <t>Power Grid</t>
  </si>
  <si>
    <t>West Bank</t>
  </si>
  <si>
    <t>Dust Storm</t>
  </si>
  <si>
    <t>Jerusalem</t>
  </si>
  <si>
    <t>Haifa</t>
  </si>
  <si>
    <t>Row Labels</t>
  </si>
  <si>
    <t>Feb</t>
  </si>
  <si>
    <t>Mar</t>
  </si>
  <si>
    <t>Apr</t>
  </si>
  <si>
    <t>(blank)</t>
  </si>
  <si>
    <t>&lt;15-02-2026</t>
  </si>
  <si>
    <t>Average of Oil_Price_USD</t>
  </si>
  <si>
    <t>Average of Gold_Price_USD</t>
  </si>
  <si>
    <t>Count of Event_Type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</si>
</sst>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lcome" refreshedDate="46098.499178240701" createdVersion="5" refreshedVersion="5" minRefreshableVersion="3" recordCount="2000" xr:uid="{00000000-000A-0000-FFFF-FFFF00000000}">
  <cacheSource type="worksheet">
    <worksheetSource ref="A1:U2001" sheet="geopolitical_war_impact_dataset"/>
  </cacheSource>
  <cacheFields count="21">
    <cacheField name="Date" numFmtId="14">
      <sharedItems containsSemiMixedTypes="0" containsNonDate="0" containsDate="1" containsString="0" minDate="2026-02-15T00:00:00" maxDate="2026-04-15T00:00:00" count="60">
        <d v="2026-04-03T00:00:00"/>
        <d v="2026-02-19T00:00:00"/>
        <d v="2026-03-12T00:00:00"/>
        <d v="2026-04-10T00:00:00"/>
        <d v="2026-02-18T00:00:00"/>
        <d v="2026-03-06T00:00:00"/>
        <d v="2026-03-10T00:00:00"/>
        <d v="2026-03-26T00:00:00"/>
        <d v="2026-03-15T00:00:00"/>
        <d v="2026-04-13T00:00:00"/>
        <d v="2026-03-01T00:00:00"/>
        <d v="2026-02-23T00:00:00"/>
        <d v="2026-04-02T00:00:00"/>
        <d v="2026-03-29T00:00:00"/>
        <d v="2026-03-13T00:00:00"/>
        <d v="2026-03-25T00:00:00"/>
        <d v="2026-04-04T00:00:00"/>
        <d v="2026-02-22T00:00:00"/>
        <d v="2026-03-31T00:00:00"/>
        <d v="2026-02-15T00:00:00"/>
        <d v="2026-02-26T00:00:00"/>
        <d v="2026-04-11T00:00:00"/>
        <d v="2026-04-14T00:00:00"/>
        <d v="2026-02-21T00:00:00"/>
        <d v="2026-02-20T00:00:00"/>
        <d v="2026-04-12T00:00:00"/>
        <d v="2026-03-11T00:00:00"/>
        <d v="2026-04-09T00:00:00"/>
        <d v="2026-04-15T00:00:00"/>
        <d v="2026-03-21T00:00:00"/>
        <d v="2026-02-24T00:00:00"/>
        <d v="2026-03-22T00:00:00"/>
        <d v="2026-02-16T00:00:00"/>
        <d v="2026-03-03T00:00:00"/>
        <d v="2026-03-18T00:00:00"/>
        <d v="2026-03-16T00:00:00"/>
        <d v="2026-02-25T00:00:00"/>
        <d v="2026-03-28T00:00:00"/>
        <d v="2026-03-19T00:00:00"/>
        <d v="2026-03-08T00:00:00"/>
        <d v="2026-03-23T00:00:00"/>
        <d v="2026-03-20T00:00:00"/>
        <d v="2026-03-14T00:00:00"/>
        <d v="2026-03-17T00:00:00"/>
        <d v="2026-03-24T00:00:00"/>
        <d v="2026-03-04T00:00:00"/>
        <d v="2026-02-17T00:00:00"/>
        <d v="2026-04-06T00:00:00"/>
        <d v="2026-03-05T00:00:00"/>
        <d v="2026-02-27T00:00:00"/>
        <d v="2026-03-30T00:00:00"/>
        <d v="2026-03-07T00:00:00"/>
        <d v="2026-03-02T00:00:00"/>
        <d v="2026-02-28T00:00:00"/>
        <d v="2026-04-08T00:00:00"/>
        <d v="2026-03-09T00:00:00"/>
        <d v="2026-03-27T00:00:00"/>
        <d v="2026-04-05T00:00:00"/>
        <d v="2026-04-07T00:00:00"/>
        <d v="2026-04-01T00:00:00"/>
      </sharedItems>
    </cacheField>
    <cacheField name="Country" numFmtId="0">
      <sharedItems count="2">
        <s v="Iran"/>
        <s v="Israel"/>
      </sharedItems>
    </cacheField>
    <cacheField name="Area" numFmtId="0">
      <sharedItems count="10">
        <s v="Ashdod"/>
        <s v="Qom"/>
        <s v="Gaza Border"/>
        <s v="Isfahan"/>
        <s v="Tehran"/>
        <s v="Shiraz"/>
        <s v="Tel Aviv"/>
        <s v="West Bank"/>
        <s v="Jerusalem"/>
        <s v="Haifa"/>
      </sharedItems>
    </cacheField>
    <cacheField name="Event_Type" numFmtId="0">
      <sharedItems count="5">
        <s v="Cyber Attack"/>
        <s v="Airstrike"/>
        <s v="Drone Strike"/>
        <s v="Missile Attack"/>
        <s v="Rocket Attack"/>
      </sharedItems>
    </cacheField>
    <cacheField name="Target_Type" numFmtId="0">
      <sharedItems count="7">
        <s v="Radar Station"/>
        <s v="Military Base"/>
        <s v="Oil Facility"/>
        <s v="Port"/>
        <s v="Airport"/>
        <s v="City Center"/>
        <s v="Power Grid"/>
      </sharedItems>
    </cacheField>
    <cacheField name="Weather" numFmtId="0">
      <sharedItems count="4">
        <s v="Fog"/>
        <s v="Clear"/>
        <s v="Rain"/>
        <s v="Dust Storm"/>
      </sharedItems>
    </cacheField>
    <cacheField name="Missiles_Launched" numFmtId="0">
      <sharedItems containsSemiMixedTypes="0" containsString="0" containsNumber="1" containsInteger="1" minValue="0" maxValue="119" count="120">
        <n v="36"/>
        <n v="82"/>
        <n v="22"/>
        <n v="8"/>
        <n v="1"/>
        <n v="107"/>
        <n v="51"/>
        <n v="6"/>
        <n v="50"/>
        <n v="83"/>
        <n v="11"/>
        <n v="17"/>
        <n v="3"/>
        <n v="119"/>
        <n v="67"/>
        <n v="68"/>
        <n v="97"/>
        <n v="104"/>
        <n v="30"/>
        <n v="31"/>
        <n v="77"/>
        <n v="114"/>
        <n v="58"/>
        <n v="37"/>
        <n v="40"/>
        <n v="52"/>
        <n v="74"/>
        <n v="27"/>
        <n v="39"/>
        <n v="45"/>
        <n v="111"/>
        <n v="15"/>
        <n v="100"/>
        <n v="99"/>
        <n v="115"/>
        <n v="59"/>
        <n v="90"/>
        <n v="18"/>
        <n v="38"/>
        <n v="24"/>
        <n v="13"/>
        <n v="55"/>
        <n v="113"/>
        <n v="33"/>
        <n v="62"/>
        <n v="5"/>
        <n v="14"/>
        <n v="42"/>
        <n v="21"/>
        <n v="65"/>
        <n v="78"/>
        <n v="76"/>
        <n v="117"/>
        <n v="69"/>
        <n v="102"/>
        <n v="46"/>
        <n v="53"/>
        <n v="118"/>
        <n v="86"/>
        <n v="73"/>
        <n v="64"/>
        <n v="116"/>
        <n v="91"/>
        <n v="70"/>
        <n v="48"/>
        <n v="95"/>
        <n v="72"/>
        <n v="106"/>
        <n v="25"/>
        <n v="7"/>
        <n v="87"/>
        <n v="98"/>
        <n v="103"/>
        <n v="88"/>
        <n v="85"/>
        <n v="2"/>
        <n v="57"/>
        <n v="49"/>
        <n v="80"/>
        <n v="93"/>
        <n v="41"/>
        <n v="108"/>
        <n v="29"/>
        <n v="19"/>
        <n v="112"/>
        <n v="9"/>
        <n v="54"/>
        <n v="61"/>
        <n v="94"/>
        <n v="16"/>
        <n v="79"/>
        <n v="60"/>
        <n v="35"/>
        <n v="84"/>
        <n v="47"/>
        <n v="105"/>
        <n v="96"/>
        <n v="56"/>
        <n v="4"/>
        <n v="43"/>
        <n v="26"/>
        <n v="20"/>
        <n v="0"/>
        <n v="89"/>
        <n v="101"/>
        <n v="110"/>
        <n v="32"/>
        <n v="10"/>
        <n v="92"/>
        <n v="71"/>
        <n v="12"/>
        <n v="75"/>
        <n v="34"/>
        <n v="28"/>
        <n v="81"/>
        <n v="66"/>
        <n v="23"/>
        <n v="109"/>
        <n v="44"/>
        <n v="63"/>
      </sharedItems>
    </cacheField>
    <cacheField name="Drones_Launched" numFmtId="0">
      <sharedItems containsSemiMixedTypes="0" containsString="0" containsNumber="1" containsInteger="1" minValue="0" maxValue="79" count="80">
        <n v="76"/>
        <n v="24"/>
        <n v="15"/>
        <n v="49"/>
        <n v="51"/>
        <n v="6"/>
        <n v="78"/>
        <n v="0"/>
        <n v="77"/>
        <n v="71"/>
        <n v="72"/>
        <n v="63"/>
        <n v="9"/>
        <n v="53"/>
        <n v="40"/>
        <n v="8"/>
        <n v="39"/>
        <n v="38"/>
        <n v="50"/>
        <n v="68"/>
        <n v="11"/>
        <n v="17"/>
        <n v="25"/>
        <n v="54"/>
        <n v="55"/>
        <n v="37"/>
        <n v="61"/>
        <n v="23"/>
        <n v="57"/>
        <n v="79"/>
        <n v="47"/>
        <n v="46"/>
        <n v="18"/>
        <n v="4"/>
        <n v="5"/>
        <n v="31"/>
        <n v="74"/>
        <n v="12"/>
        <n v="20"/>
        <n v="1"/>
        <n v="7"/>
        <n v="16"/>
        <n v="48"/>
        <n v="66"/>
        <n v="60"/>
        <n v="27"/>
        <n v="19"/>
        <n v="75"/>
        <n v="70"/>
        <n v="69"/>
        <n v="42"/>
        <n v="36"/>
        <n v="58"/>
        <n v="65"/>
        <n v="30"/>
        <n v="67"/>
        <n v="59"/>
        <n v="34"/>
        <n v="10"/>
        <n v="35"/>
        <n v="13"/>
        <n v="22"/>
        <n v="14"/>
        <n v="28"/>
        <n v="56"/>
        <n v="43"/>
        <n v="26"/>
        <n v="64"/>
        <n v="21"/>
        <n v="44"/>
        <n v="2"/>
        <n v="3"/>
        <n v="32"/>
        <n v="73"/>
        <n v="41"/>
        <n v="33"/>
        <n v="62"/>
        <n v="52"/>
        <n v="45"/>
        <n v="29"/>
      </sharedItems>
    </cacheField>
    <cacheField name="Defense_Interceptions" numFmtId="0">
      <sharedItems containsSemiMixedTypes="0" containsString="0" containsNumber="1" containsInteger="1" minValue="0" maxValue="89" count="90">
        <n v="21"/>
        <n v="18"/>
        <n v="22"/>
        <n v="24"/>
        <n v="60"/>
        <n v="86"/>
        <n v="10"/>
        <n v="33"/>
        <n v="40"/>
        <n v="45"/>
        <n v="4"/>
        <n v="85"/>
        <n v="87"/>
        <n v="58"/>
        <n v="27"/>
        <n v="32"/>
        <n v="66"/>
        <n v="72"/>
        <n v="48"/>
        <n v="43"/>
        <n v="79"/>
        <n v="51"/>
        <n v="3"/>
        <n v="49"/>
        <n v="37"/>
        <n v="46"/>
        <n v="5"/>
        <n v="17"/>
        <n v="61"/>
        <n v="59"/>
        <n v="63"/>
        <n v="12"/>
        <n v="36"/>
        <n v="16"/>
        <n v="23"/>
        <n v="26"/>
        <n v="83"/>
        <n v="35"/>
        <n v="1"/>
        <n v="9"/>
        <n v="67"/>
        <n v="30"/>
        <n v="81"/>
        <n v="13"/>
        <n v="78"/>
        <n v="69"/>
        <n v="88"/>
        <n v="52"/>
        <n v="38"/>
        <n v="54"/>
        <n v="7"/>
        <n v="62"/>
        <n v="71"/>
        <n v="2"/>
        <n v="29"/>
        <n v="44"/>
        <n v="70"/>
        <n v="20"/>
        <n v="0"/>
        <n v="64"/>
        <n v="89"/>
        <n v="76"/>
        <n v="56"/>
        <n v="84"/>
        <n v="75"/>
        <n v="55"/>
        <n v="80"/>
        <n v="41"/>
        <n v="42"/>
        <n v="53"/>
        <n v="11"/>
        <n v="73"/>
        <n v="19"/>
        <n v="74"/>
        <n v="82"/>
        <n v="65"/>
        <n v="28"/>
        <n v="34"/>
        <n v="77"/>
        <n v="47"/>
        <n v="50"/>
        <n v="68"/>
        <n v="6"/>
        <n v="14"/>
        <n v="57"/>
        <n v="25"/>
        <n v="31"/>
        <n v="8"/>
        <n v="39"/>
        <n v="15"/>
      </sharedItems>
    </cacheField>
    <cacheField name="Deaths" numFmtId="0">
      <sharedItems containsSemiMixedTypes="0" containsString="0" containsNumber="1" containsInteger="1" minValue="0" maxValue="159" count="160">
        <n v="17"/>
        <n v="86"/>
        <n v="100"/>
        <n v="141"/>
        <n v="158"/>
        <n v="14"/>
        <n v="67"/>
        <n v="47"/>
        <n v="8"/>
        <n v="36"/>
        <n v="61"/>
        <n v="12"/>
        <n v="55"/>
        <n v="104"/>
        <n v="54"/>
        <n v="92"/>
        <n v="46"/>
        <n v="5"/>
        <n v="23"/>
        <n v="137"/>
        <n v="15"/>
        <n v="28"/>
        <n v="58"/>
        <n v="96"/>
        <n v="94"/>
        <n v="111"/>
        <n v="66"/>
        <n v="93"/>
        <n v="74"/>
        <n v="88"/>
        <n v="151"/>
        <n v="27"/>
        <n v="19"/>
        <n v="10"/>
        <n v="38"/>
        <n v="119"/>
        <n v="82"/>
        <n v="44"/>
        <n v="133"/>
        <n v="59"/>
        <n v="16"/>
        <n v="72"/>
        <n v="153"/>
        <n v="53"/>
        <n v="146"/>
        <n v="139"/>
        <n v="136"/>
        <n v="21"/>
        <n v="98"/>
        <n v="152"/>
        <n v="3"/>
        <n v="24"/>
        <n v="84"/>
        <n v="90"/>
        <n v="97"/>
        <n v="33"/>
        <n v="73"/>
        <n v="144"/>
        <n v="7"/>
        <n v="63"/>
        <n v="1"/>
        <n v="31"/>
        <n v="9"/>
        <n v="155"/>
        <n v="76"/>
        <n v="41"/>
        <n v="77"/>
        <n v="22"/>
        <n v="129"/>
        <n v="80"/>
        <n v="29"/>
        <n v="123"/>
        <n v="39"/>
        <n v="40"/>
        <n v="52"/>
        <n v="30"/>
        <n v="13"/>
        <n v="115"/>
        <n v="75"/>
        <n v="103"/>
        <n v="70"/>
        <n v="4"/>
        <n v="83"/>
        <n v="135"/>
        <n v="140"/>
        <n v="128"/>
        <n v="48"/>
        <n v="99"/>
        <n v="143"/>
        <n v="89"/>
        <n v="107"/>
        <n v="79"/>
        <n v="118"/>
        <n v="120"/>
        <n v="117"/>
        <n v="0"/>
        <n v="148"/>
        <n v="49"/>
        <n v="65"/>
        <n v="134"/>
        <n v="87"/>
        <n v="42"/>
        <n v="131"/>
        <n v="125"/>
        <n v="147"/>
        <n v="2"/>
        <n v="108"/>
        <n v="43"/>
        <n v="64"/>
        <n v="127"/>
        <n v="145"/>
        <n v="149"/>
        <n v="110"/>
        <n v="114"/>
        <n v="25"/>
        <n v="85"/>
        <n v="150"/>
        <n v="112"/>
        <n v="113"/>
        <n v="138"/>
        <n v="68"/>
        <n v="57"/>
        <n v="78"/>
        <n v="81"/>
        <n v="20"/>
        <n v="102"/>
        <n v="130"/>
        <n v="124"/>
        <n v="71"/>
        <n v="142"/>
        <n v="101"/>
        <n v="106"/>
        <n v="105"/>
        <n v="122"/>
        <n v="121"/>
        <n v="154"/>
        <n v="60"/>
        <n v="156"/>
        <n v="91"/>
        <n v="157"/>
        <n v="18"/>
        <n v="132"/>
        <n v="126"/>
        <n v="50"/>
        <n v="95"/>
        <n v="6"/>
        <n v="109"/>
        <n v="35"/>
        <n v="159"/>
        <n v="56"/>
        <n v="37"/>
        <n v="26"/>
        <n v="116"/>
        <n v="11"/>
        <n v="32"/>
        <n v="62"/>
        <n v="69"/>
        <n v="51"/>
        <n v="45"/>
        <n v="34"/>
      </sharedItems>
    </cacheField>
    <cacheField name="Injuries" numFmtId="0">
      <sharedItems containsSemiMixedTypes="0" containsString="0" containsNumber="1" containsInteger="1" minValue="0" maxValue="449" count="446">
        <n v="165"/>
        <n v="30"/>
        <n v="417"/>
        <n v="413"/>
        <n v="420"/>
        <n v="259"/>
        <n v="232"/>
        <n v="156"/>
        <n v="123"/>
        <n v="349"/>
        <n v="111"/>
        <n v="270"/>
        <n v="115"/>
        <n v="252"/>
        <n v="443"/>
        <n v="231"/>
        <n v="53"/>
        <n v="284"/>
        <n v="439"/>
        <n v="299"/>
        <n v="372"/>
        <n v="33"/>
        <n v="79"/>
        <n v="206"/>
        <n v="13"/>
        <n v="131"/>
        <n v="175"/>
        <n v="32"/>
        <n v="61"/>
        <n v="159"/>
        <n v="399"/>
        <n v="317"/>
        <n v="245"/>
        <n v="283"/>
        <n v="311"/>
        <n v="136"/>
        <n v="331"/>
        <n v="415"/>
        <n v="17"/>
        <n v="260"/>
        <n v="396"/>
        <n v="27"/>
        <n v="219"/>
        <n v="86"/>
        <n v="126"/>
        <n v="274"/>
        <n v="312"/>
        <n v="377"/>
        <n v="142"/>
        <n v="6"/>
        <n v="375"/>
        <n v="211"/>
        <n v="91"/>
        <n v="196"/>
        <n v="40"/>
        <n v="112"/>
        <n v="151"/>
        <n v="310"/>
        <n v="26"/>
        <n v="125"/>
        <n v="1"/>
        <n v="295"/>
        <n v="387"/>
        <n v="117"/>
        <n v="133"/>
        <n v="440"/>
        <n v="265"/>
        <n v="138"/>
        <n v="180"/>
        <n v="234"/>
        <n v="144"/>
        <n v="339"/>
        <n v="50"/>
        <n v="438"/>
        <n v="152"/>
        <n v="293"/>
        <n v="404"/>
        <n v="155"/>
        <n v="48"/>
        <n v="227"/>
        <n v="368"/>
        <n v="357"/>
        <n v="330"/>
        <n v="297"/>
        <n v="77"/>
        <n v="147"/>
        <n v="21"/>
        <n v="290"/>
        <n v="358"/>
        <n v="164"/>
        <n v="418"/>
        <n v="388"/>
        <n v="222"/>
        <n v="437"/>
        <n v="173"/>
        <n v="54"/>
        <n v="344"/>
        <n v="185"/>
        <n v="322"/>
        <n v="253"/>
        <n v="69"/>
        <n v="389"/>
        <n v="160"/>
        <n v="248"/>
        <n v="338"/>
        <n v="153"/>
        <n v="205"/>
        <n v="163"/>
        <n v="0"/>
        <n v="92"/>
        <n v="303"/>
        <n v="65"/>
        <n v="213"/>
        <n v="409"/>
        <n v="9"/>
        <n v="100"/>
        <n v="251"/>
        <n v="373"/>
        <n v="38"/>
        <n v="379"/>
        <n v="99"/>
        <n v="423"/>
        <n v="75"/>
        <n v="347"/>
        <n v="412"/>
        <n v="374"/>
        <n v="201"/>
        <n v="428"/>
        <n v="149"/>
        <n v="41"/>
        <n v="278"/>
        <n v="178"/>
        <n v="362"/>
        <n v="296"/>
        <n v="247"/>
        <n v="269"/>
        <n v="371"/>
        <n v="109"/>
        <n v="241"/>
        <n v="174"/>
        <n v="15"/>
        <n v="386"/>
        <n v="275"/>
        <n v="381"/>
        <n v="122"/>
        <n v="325"/>
        <n v="432"/>
        <n v="114"/>
        <n v="200"/>
        <n v="298"/>
        <n v="193"/>
        <n v="62"/>
        <n v="380"/>
        <n v="391"/>
        <n v="334"/>
        <n v="320"/>
        <n v="326"/>
        <n v="204"/>
        <n v="308"/>
        <n v="188"/>
        <n v="255"/>
        <n v="306"/>
        <n v="336"/>
        <n v="107"/>
        <n v="110"/>
        <n v="37"/>
        <n v="217"/>
        <n v="98"/>
        <n v="329"/>
        <n v="302"/>
        <n v="307"/>
        <n v="158"/>
        <n v="19"/>
        <n v="328"/>
        <n v="244"/>
        <n v="68"/>
        <n v="143"/>
        <n v="4"/>
        <n v="340"/>
        <n v="403"/>
        <n v="18"/>
        <n v="3"/>
        <n v="301"/>
        <n v="154"/>
        <n v="216"/>
        <n v="64"/>
        <n v="361"/>
        <n v="63"/>
        <n v="315"/>
        <n v="402"/>
        <n v="289"/>
        <n v="224"/>
        <n v="385"/>
        <n v="66"/>
        <n v="422"/>
        <n v="447"/>
        <n v="46"/>
        <n v="419"/>
        <n v="352"/>
        <n v="436"/>
        <n v="104"/>
        <n v="35"/>
        <n v="264"/>
        <n v="20"/>
        <n v="57"/>
        <n v="337"/>
        <n v="214"/>
        <n v="343"/>
        <n v="44"/>
        <n v="95"/>
        <n v="209"/>
        <n v="246"/>
        <n v="279"/>
        <n v="187"/>
        <n v="309"/>
        <n v="305"/>
        <n v="51"/>
        <n v="118"/>
        <n v="145"/>
        <n v="228"/>
        <n v="324"/>
        <n v="162"/>
        <n v="286"/>
        <n v="256"/>
        <n v="351"/>
        <n v="393"/>
        <n v="426"/>
        <n v="257"/>
        <n v="218"/>
        <n v="410"/>
        <n v="179"/>
        <n v="10"/>
        <n v="363"/>
        <n v="42"/>
        <n v="16"/>
        <n v="85"/>
        <n v="262"/>
        <n v="429"/>
        <n v="273"/>
        <n v="55"/>
        <n v="89"/>
        <n v="416"/>
        <n v="239"/>
        <n v="382"/>
        <n v="56"/>
        <n v="81"/>
        <n v="333"/>
        <n v="300"/>
        <n v="171"/>
        <n v="124"/>
        <n v="130"/>
        <n v="52"/>
        <n v="190"/>
        <n v="431"/>
        <n v="191"/>
        <n v="405"/>
        <n v="82"/>
        <n v="277"/>
        <n v="291"/>
        <n v="282"/>
        <n v="80"/>
        <n v="261"/>
        <n v="233"/>
        <n v="390"/>
        <n v="446"/>
        <n v="254"/>
        <n v="313"/>
        <n v="229"/>
        <n v="354"/>
        <n v="342"/>
        <n v="96"/>
        <n v="22"/>
        <n v="294"/>
        <n v="198"/>
        <n v="210"/>
        <n v="208"/>
        <n v="25"/>
        <n v="323"/>
        <n v="43"/>
        <n v="406"/>
        <n v="105"/>
        <n v="230"/>
        <n v="360"/>
        <n v="72"/>
        <n v="441"/>
        <n v="249"/>
        <n v="401"/>
        <n v="427"/>
        <n v="237"/>
        <n v="31"/>
        <n v="445"/>
        <n v="73"/>
        <n v="319"/>
        <n v="186"/>
        <n v="397"/>
        <n v="166"/>
        <n v="378"/>
        <n v="408"/>
        <n v="106"/>
        <n v="263"/>
        <n v="223"/>
        <n v="243"/>
        <n v="34"/>
        <n v="236"/>
        <n v="74"/>
        <n v="195"/>
        <n v="28"/>
        <n v="272"/>
        <n v="128"/>
        <n v="134"/>
        <n v="271"/>
        <n v="318"/>
        <n v="250"/>
        <n v="139"/>
        <n v="120"/>
        <n v="70"/>
        <n v="356"/>
        <n v="292"/>
        <n v="121"/>
        <n v="226"/>
        <n v="220"/>
        <n v="29"/>
        <n v="335"/>
        <n v="449"/>
        <n v="258"/>
        <n v="240"/>
        <n v="424"/>
        <n v="365"/>
        <n v="76"/>
        <n v="36"/>
        <n v="367"/>
        <n v="421"/>
        <n v="23"/>
        <n v="341"/>
        <n v="59"/>
        <n v="392"/>
        <n v="67"/>
        <n v="199"/>
        <n v="168"/>
        <n v="353"/>
        <n v="90"/>
        <n v="376"/>
        <n v="129"/>
        <n v="148"/>
        <n v="442"/>
        <n v="84"/>
        <n v="39"/>
        <n v="345"/>
        <n v="407"/>
        <n v="383"/>
        <n v="346"/>
        <n v="276"/>
        <n v="103"/>
        <n v="83"/>
        <n v="14"/>
        <n v="161"/>
        <n v="2"/>
        <n v="7"/>
        <n v="448"/>
        <n v="197"/>
        <n v="78"/>
        <n v="355"/>
        <n v="140"/>
        <n v="364"/>
        <n v="287"/>
        <n v="170"/>
        <n v="202"/>
        <n v="88"/>
        <n v="94"/>
        <n v="157"/>
        <n v="395"/>
        <n v="267"/>
        <n v="203"/>
        <n v="430"/>
        <n v="366"/>
        <n v="181"/>
        <n v="58"/>
        <n v="24"/>
        <n v="433"/>
        <n v="212"/>
        <n v="215"/>
        <n v="369"/>
        <n v="172"/>
        <n v="97"/>
        <n v="280"/>
        <n v="314"/>
        <n v="176"/>
        <n v="281"/>
        <n v="400"/>
        <n v="332"/>
        <n v="348"/>
        <n v="119"/>
        <n v="327"/>
        <n v="394"/>
        <n v="411"/>
        <n v="288"/>
        <n v="116"/>
        <n v="398"/>
        <n v="102"/>
        <n v="177"/>
        <n v="132"/>
        <n v="146"/>
        <n v="266"/>
        <n v="207"/>
        <n v="12"/>
        <n v="47"/>
        <n v="434"/>
        <n v="321"/>
        <n v="60"/>
        <n v="11"/>
        <n v="150"/>
        <n v="167"/>
        <n v="359"/>
        <n v="182"/>
        <n v="242"/>
        <n v="444"/>
        <n v="101"/>
        <n v="304"/>
        <n v="184"/>
        <n v="225"/>
        <n v="268"/>
        <n v="108"/>
        <n v="49"/>
        <n v="285"/>
        <n v="8"/>
        <n v="316"/>
        <n v="5"/>
        <n v="414"/>
        <n v="137"/>
        <n v="93"/>
        <n v="221"/>
        <n v="189"/>
        <n v="45"/>
        <n v="183"/>
        <n v="194"/>
        <n v="141"/>
        <n v="127"/>
        <n v="135"/>
        <n v="435"/>
        <n v="113"/>
        <n v="169"/>
        <n v="71"/>
        <n v="350"/>
        <n v="425"/>
        <n v="192"/>
        <n v="235"/>
      </sharedItems>
    </cacheField>
    <cacheField name="Oil_Price_USD" numFmtId="0">
      <sharedItems containsSemiMixedTypes="0" containsString="0" containsNumber="1" minValue="80.02" maxValue="139.94" count="1697">
        <n v="97.47"/>
        <n v="136.66"/>
        <n v="127.12"/>
        <n v="88.27"/>
        <n v="123.47"/>
        <n v="107.71"/>
        <n v="118.42"/>
        <n v="103.92"/>
        <n v="99.51"/>
        <n v="136.13"/>
        <n v="106.99"/>
        <n v="98.27"/>
        <n v="83.2"/>
        <n v="90.16"/>
        <n v="119.6"/>
        <n v="105.47"/>
        <n v="111.95"/>
        <n v="114.48"/>
        <n v="86.43"/>
        <n v="114.86"/>
        <n v="88.78"/>
        <n v="123.7"/>
        <n v="110.68"/>
        <n v="128.53"/>
        <n v="88.81"/>
        <n v="106.72"/>
        <n v="91.17"/>
        <n v="116.42"/>
        <n v="84.27"/>
        <n v="104.41"/>
        <n v="110.89"/>
        <n v="139.9"/>
        <n v="102.89"/>
        <n v="111.38"/>
        <n v="89.12"/>
        <n v="92.16"/>
        <n v="95.39"/>
        <n v="136.08000000000001"/>
        <n v="137.38"/>
        <n v="123.66"/>
        <n v="136.41999999999999"/>
        <n v="132.18"/>
        <n v="133.16"/>
        <n v="82.34"/>
        <n v="105.21"/>
        <n v="104.05"/>
        <n v="132.07"/>
        <n v="107.34"/>
        <n v="137.71"/>
        <n v="98.04"/>
        <n v="113.07"/>
        <n v="117.82"/>
        <n v="113.37"/>
        <n v="99.72"/>
        <n v="80.959999999999994"/>
        <n v="109.96"/>
        <n v="138.85"/>
        <n v="83.72"/>
        <n v="129.91"/>
        <n v="105.82"/>
        <n v="133.75"/>
        <n v="110.43"/>
        <n v="133.81"/>
        <n v="117.75"/>
        <n v="94.83"/>
        <n v="82.05"/>
        <n v="120.17"/>
        <n v="112.62"/>
        <n v="137.54"/>
        <n v="87.26"/>
        <n v="93.31"/>
        <n v="97.1"/>
        <n v="117.93"/>
        <n v="109.29"/>
        <n v="93.52"/>
        <n v="83.37"/>
        <n v="94.66"/>
        <n v="115.88"/>
        <n v="125.74"/>
        <n v="125.44"/>
        <n v="90.18"/>
        <n v="94.33"/>
        <n v="98.8"/>
        <n v="105.51"/>
        <n v="92.18"/>
        <n v="133.63999999999999"/>
        <n v="118.37"/>
        <n v="123.42"/>
        <n v="88.36"/>
        <n v="89.36"/>
        <n v="115.12"/>
        <n v="126.35"/>
        <n v="86.88"/>
        <n v="103.06"/>
        <n v="122.1"/>
        <n v="132.41"/>
        <n v="115.53"/>
        <n v="92.85"/>
        <n v="85.62"/>
        <n v="120.19"/>
        <n v="103.62"/>
        <n v="101.95"/>
        <n v="105.12"/>
        <n v="102.64"/>
        <n v="127.75"/>
        <n v="83.3"/>
        <n v="123.63"/>
        <n v="134"/>
        <n v="87.3"/>
        <n v="136.91"/>
        <n v="128.97999999999999"/>
        <n v="91.1"/>
        <n v="83.51"/>
        <n v="139.41999999999999"/>
        <n v="139.22"/>
        <n v="91.01"/>
        <n v="113.99"/>
        <n v="105.71"/>
        <n v="94.35"/>
        <n v="116.76"/>
        <n v="133.72999999999999"/>
        <n v="124.75"/>
        <n v="93.89"/>
        <n v="114.35"/>
        <n v="88.44"/>
        <n v="90.35"/>
        <n v="136.26"/>
        <n v="86.1"/>
        <n v="80.040000000000006"/>
        <n v="91.76"/>
        <n v="99.87"/>
        <n v="105.87"/>
        <n v="125.38"/>
        <n v="121.19"/>
        <n v="82.48"/>
        <n v="99.46"/>
        <n v="109.8"/>
        <n v="115.2"/>
        <n v="92.95"/>
        <n v="108.49"/>
        <n v="126"/>
        <n v="125.3"/>
        <n v="85.96"/>
        <n v="101.14"/>
        <n v="121.15"/>
        <n v="136.30000000000001"/>
        <n v="90.25"/>
        <n v="102.31"/>
        <n v="91.07"/>
        <n v="125.27"/>
        <n v="135.69"/>
        <n v="128.41"/>
        <n v="96.61"/>
        <n v="120.69"/>
        <n v="82.24"/>
        <n v="138.83000000000001"/>
        <n v="92.46"/>
        <n v="126.14"/>
        <n v="119.07"/>
        <n v="95.27"/>
        <n v="116.16"/>
        <n v="121.02"/>
        <n v="123.71"/>
        <n v="96.96"/>
        <n v="135.15"/>
        <n v="134.47"/>
        <n v="98.2"/>
        <n v="82.33"/>
        <n v="127.22"/>
        <n v="105.48"/>
        <n v="136.58000000000001"/>
        <n v="99.63"/>
        <n v="87.97"/>
        <n v="100.44"/>
        <n v="83.14"/>
        <n v="122.27"/>
        <n v="106.14"/>
        <n v="85.28"/>
        <n v="92.06"/>
        <n v="104.57"/>
        <n v="83.97"/>
        <n v="126.28"/>
        <n v="89.59"/>
        <n v="100.08"/>
        <n v="80.459999999999994"/>
        <n v="86.36"/>
        <n v="107.12"/>
        <n v="114.19"/>
        <n v="118.56"/>
        <n v="110.96"/>
        <n v="80.19"/>
        <n v="122.28"/>
        <n v="117.65"/>
        <n v="92.51"/>
        <n v="102.96"/>
        <n v="104.54"/>
        <n v="132.57"/>
        <n v="125.17"/>
        <n v="102.91"/>
        <n v="114.04"/>
        <n v="117.27"/>
        <n v="94.73"/>
        <n v="96.05"/>
        <n v="91.19"/>
        <n v="118.31"/>
        <n v="115.44"/>
        <n v="103.26"/>
        <n v="92.02"/>
        <n v="80.92"/>
        <n v="110.25"/>
        <n v="83.83"/>
        <n v="88.98"/>
        <n v="112.1"/>
        <n v="131.32"/>
        <n v="111.13"/>
        <n v="105.38"/>
        <n v="96.37"/>
        <n v="92.84"/>
        <n v="108.77"/>
        <n v="134.29"/>
        <n v="104.85"/>
        <n v="95.96"/>
        <n v="101.38"/>
        <n v="139.75"/>
        <n v="103.73"/>
        <n v="112.5"/>
        <n v="129.51"/>
        <n v="119.85"/>
        <n v="93.32"/>
        <n v="92.42"/>
        <n v="104.76"/>
        <n v="95.52"/>
        <n v="127.17"/>
        <n v="87.98"/>
        <n v="129.63999999999999"/>
        <n v="112.94"/>
        <n v="102.76"/>
        <n v="91.78"/>
        <n v="80.989999999999995"/>
        <n v="107.66"/>
        <n v="109.02"/>
        <n v="81.3"/>
        <n v="128.86000000000001"/>
        <n v="97.91"/>
        <n v="133.61000000000001"/>
        <n v="80.95"/>
        <n v="81.06"/>
        <n v="115.34"/>
        <n v="122.34"/>
        <n v="128.66999999999999"/>
        <n v="107.58"/>
        <n v="115.66"/>
        <n v="95.33"/>
        <n v="104.87"/>
        <n v="117.01"/>
        <n v="109.56"/>
        <n v="122.02"/>
        <n v="135.97999999999999"/>
        <n v="135.66"/>
        <n v="136.11000000000001"/>
        <n v="98.09"/>
        <n v="130.03"/>
        <n v="128.31"/>
        <n v="115.95"/>
        <n v="88.92"/>
        <n v="108.59"/>
        <n v="123.86"/>
        <n v="85.87"/>
        <n v="85.05"/>
        <n v="103.45"/>
        <n v="103.03"/>
        <n v="98.96"/>
        <n v="80.89"/>
        <n v="101.65"/>
        <n v="136.32"/>
        <n v="130.88999999999999"/>
        <n v="129.54"/>
        <n v="98.82"/>
        <n v="82.11"/>
        <n v="136.37"/>
        <n v="135.93"/>
        <n v="116.13"/>
        <n v="113.47"/>
        <n v="99.68"/>
        <n v="126.43"/>
        <n v="111.59"/>
        <n v="92.61"/>
        <n v="96.22"/>
        <n v="82.32"/>
        <n v="103.13"/>
        <n v="113.1"/>
        <n v="124.27"/>
        <n v="125.71"/>
        <n v="115.91"/>
        <n v="139.76"/>
        <n v="94.76"/>
        <n v="104.5"/>
        <n v="130.07"/>
        <n v="92.91"/>
        <n v="127.55"/>
        <n v="112.12"/>
        <n v="112.38"/>
        <n v="117.43"/>
        <n v="139.32"/>
        <n v="129.53"/>
        <n v="113.05"/>
        <n v="91.9"/>
        <n v="123.59"/>
        <n v="104.07"/>
        <n v="104.72"/>
        <n v="135.08000000000001"/>
        <n v="126.86"/>
        <n v="107.46"/>
        <n v="116.98"/>
        <n v="106.33"/>
        <n v="109.25"/>
        <n v="109.2"/>
        <n v="110.59"/>
        <n v="101.02"/>
        <n v="127.5"/>
        <n v="113.73"/>
        <n v="132.1"/>
        <n v="138.1"/>
        <n v="113.41"/>
        <n v="118.4"/>
        <n v="120.67"/>
        <n v="132.09"/>
        <n v="131.57"/>
        <n v="86.15"/>
        <n v="112.78"/>
        <n v="100.01"/>
        <n v="132.52000000000001"/>
        <n v="122.16"/>
        <n v="129.96"/>
        <n v="82.58"/>
        <n v="128.91999999999999"/>
        <n v="123.72"/>
        <n v="116.79"/>
        <n v="86.6"/>
        <n v="126.53"/>
        <n v="139.33000000000001"/>
        <n v="85.56"/>
        <n v="122.17"/>
        <n v="94.49"/>
        <n v="85.58"/>
        <n v="131.04"/>
        <n v="93.1"/>
        <n v="94.12"/>
        <n v="132.47"/>
        <n v="138.66999999999999"/>
        <n v="123"/>
        <n v="107.24"/>
        <n v="84.57"/>
        <n v="120.74"/>
        <n v="128.85"/>
        <n v="84.85"/>
        <n v="106.2"/>
        <n v="84.31"/>
        <n v="89.08"/>
        <n v="93.93"/>
        <n v="120.14"/>
        <n v="107.75"/>
        <n v="124.1"/>
        <n v="128.79"/>
        <n v="121.72"/>
        <n v="93.57"/>
        <n v="107.05"/>
        <n v="130.58000000000001"/>
        <n v="82.6"/>
        <n v="117.3"/>
        <n v="85.36"/>
        <n v="127.91"/>
        <n v="82.36"/>
        <n v="122.03"/>
        <n v="91.16"/>
        <n v="88.08"/>
        <n v="116.34"/>
        <n v="119.4"/>
        <n v="102.38"/>
        <n v="87.52"/>
        <n v="101.03"/>
        <n v="113.28"/>
        <n v="95.48"/>
        <n v="91.96"/>
        <n v="102.95"/>
        <n v="107.09"/>
        <n v="134.05000000000001"/>
        <n v="131.34"/>
        <n v="87.13"/>
        <n v="112.37"/>
        <n v="101.54"/>
        <n v="133.86000000000001"/>
        <n v="94.75"/>
        <n v="85.17"/>
        <n v="99.84"/>
        <n v="130.85"/>
        <n v="88.97"/>
        <n v="82.47"/>
        <n v="139.07"/>
        <n v="131.87"/>
        <n v="121.33"/>
        <n v="120.35"/>
        <n v="133.01"/>
        <n v="137.62"/>
        <n v="102.21"/>
        <n v="113.92"/>
        <n v="113"/>
        <n v="114.14"/>
        <n v="130.18"/>
        <n v="124.38"/>
        <n v="96.08"/>
        <n v="114.02"/>
        <n v="94.23"/>
        <n v="135.22"/>
        <n v="99.95"/>
        <n v="113.88"/>
        <n v="111.26"/>
        <n v="135.19"/>
        <n v="139.4"/>
        <n v="97.44"/>
        <n v="86.27"/>
        <n v="124.89"/>
        <n v="119.41"/>
        <n v="91.74"/>
        <n v="97.73"/>
        <n v="135.65"/>
        <n v="130.36000000000001"/>
        <n v="84.91"/>
        <n v="133.16999999999999"/>
        <n v="109.23"/>
        <n v="89.96"/>
        <n v="87.89"/>
        <n v="84.68"/>
        <n v="112.09"/>
        <n v="138.77000000000001"/>
        <n v="95.7"/>
        <n v="107.03"/>
        <n v="88.68"/>
        <n v="104.58"/>
        <n v="88.47"/>
        <n v="109.24"/>
        <n v="102.65"/>
        <n v="137.1"/>
        <n v="100.8"/>
        <n v="114.21"/>
        <n v="111.11"/>
        <n v="83.07"/>
        <n v="127"/>
        <n v="99.24"/>
        <n v="103.32"/>
        <n v="136.59"/>
        <n v="105.31"/>
        <n v="81.849999999999994"/>
        <n v="81.12"/>
        <n v="117.4"/>
        <n v="101.77"/>
        <n v="118.57"/>
        <n v="84.81"/>
        <n v="135.61000000000001"/>
        <n v="112.45"/>
        <n v="111.42"/>
        <n v="132.76"/>
        <n v="131.9"/>
        <n v="124.61"/>
        <n v="104.55"/>
        <n v="102.11"/>
        <n v="139.15"/>
        <n v="127.69"/>
        <n v="101.68"/>
        <n v="132.91"/>
        <n v="106.68"/>
        <n v="88.79"/>
        <n v="80.08"/>
        <n v="123.27"/>
        <n v="126.99"/>
        <n v="116.66"/>
        <n v="115.55"/>
        <n v="80.69"/>
        <n v="105.05"/>
        <n v="81.790000000000006"/>
        <n v="81.23"/>
        <n v="125.69"/>
        <n v="87.6"/>
        <n v="87.25"/>
        <n v="120.39"/>
        <n v="90.49"/>
        <n v="95.31"/>
        <n v="109.83"/>
        <n v="123.95"/>
        <n v="113.44"/>
        <n v="86.66"/>
        <n v="105.9"/>
        <n v="118.2"/>
        <n v="81.680000000000007"/>
        <n v="132.68"/>
        <n v="117.96"/>
        <n v="135.53"/>
        <n v="83.77"/>
        <n v="81.03"/>
        <n v="87.28"/>
        <n v="109.36"/>
        <n v="135.03"/>
        <n v="108.25"/>
        <n v="114.45"/>
        <n v="99.38"/>
        <n v="126.26"/>
        <n v="129.37"/>
        <n v="84.24"/>
        <n v="139.26"/>
        <n v="98.49"/>
        <n v="128.55000000000001"/>
        <n v="115.47"/>
        <n v="117.52"/>
        <n v="134.35"/>
        <n v="132.08000000000001"/>
        <n v="126.71"/>
        <n v="98.05"/>
        <n v="93.36"/>
        <n v="122.61"/>
        <n v="83.67"/>
        <n v="125.8"/>
        <n v="105.74"/>
        <n v="119.72"/>
        <n v="114.6"/>
        <n v="121.69"/>
        <n v="130.91"/>
        <n v="105.92"/>
        <n v="88.31"/>
        <n v="116.7"/>
        <n v="102.36"/>
        <n v="87.85"/>
        <n v="124.45"/>
        <n v="131.69"/>
        <n v="93.29"/>
        <n v="128.11000000000001"/>
        <n v="94.86"/>
        <n v="86.16"/>
        <n v="96.45"/>
        <n v="92.41"/>
        <n v="125.4"/>
        <n v="122.57"/>
        <n v="107.56"/>
        <n v="95.85"/>
        <n v="89.57"/>
        <n v="103.54"/>
        <n v="91.77"/>
        <n v="98.38"/>
        <n v="96.65"/>
        <n v="114.38"/>
        <n v="110.55"/>
        <n v="115.86"/>
        <n v="103.19"/>
        <n v="101.81"/>
        <n v="83.5"/>
        <n v="108.03"/>
        <n v="135"/>
        <n v="110.16"/>
        <n v="100.27"/>
        <n v="116.77"/>
        <n v="117.83"/>
        <n v="84.05"/>
        <n v="119.12"/>
        <n v="92.67"/>
        <n v="134.57"/>
        <n v="121.36"/>
        <n v="115.8"/>
        <n v="125.19"/>
        <n v="119.61"/>
        <n v="91.58"/>
        <n v="124.06"/>
        <n v="122.89"/>
        <n v="110.39"/>
        <n v="123.05"/>
        <n v="102.82"/>
        <n v="85.35"/>
        <n v="137.81"/>
        <n v="126.06"/>
        <n v="133.94"/>
        <n v="103.61"/>
        <n v="104.43"/>
        <n v="101.7"/>
        <n v="131.66"/>
        <n v="107.72"/>
        <n v="124.25"/>
        <n v="137.47999999999999"/>
        <n v="132.71"/>
        <n v="106.91"/>
        <n v="133.19999999999999"/>
        <n v="100.62"/>
        <n v="106.17"/>
        <n v="136.21"/>
        <n v="133.69999999999999"/>
        <n v="126.91"/>
        <n v="118.75"/>
        <n v="117.17"/>
        <n v="118.33"/>
        <n v="104.7"/>
        <n v="90.03"/>
        <n v="133.19"/>
        <n v="106.29"/>
        <n v="121.46"/>
        <n v="117.64"/>
        <n v="90.13"/>
        <n v="134.91"/>
        <n v="123.28"/>
        <n v="124.72"/>
        <n v="81.209999999999994"/>
        <n v="86.73"/>
        <n v="100.22"/>
        <n v="139.63999999999999"/>
        <n v="137.57"/>
        <n v="120.76"/>
        <n v="104.33"/>
        <n v="105.03"/>
        <n v="136.57"/>
        <n v="89.32"/>
        <n v="132.28"/>
        <n v="89.04"/>
        <n v="88.83"/>
        <n v="82.21"/>
        <n v="81.739999999999995"/>
        <n v="119.76"/>
        <n v="125.09"/>
        <n v="124.01"/>
        <n v="118.26"/>
        <n v="82.17"/>
        <n v="117.05"/>
        <n v="103.31"/>
        <n v="106.8"/>
        <n v="119.08"/>
        <n v="129.83000000000001"/>
        <n v="130.28"/>
        <n v="109.26"/>
        <n v="82.25"/>
        <n v="83.59"/>
        <n v="114.53"/>
        <n v="84.76"/>
        <n v="110.04"/>
        <n v="130.13999999999999"/>
        <n v="91"/>
        <n v="132.38999999999999"/>
        <n v="125.04"/>
        <n v="103.77"/>
        <n v="134.9"/>
        <n v="124.28"/>
        <n v="109.75"/>
        <n v="89.94"/>
        <n v="131.81"/>
        <n v="139.86000000000001"/>
        <n v="106.84"/>
        <n v="104.8"/>
        <n v="135.47999999999999"/>
        <n v="135.26"/>
        <n v="84.25"/>
        <n v="99.4"/>
        <n v="119.62"/>
        <n v="111.35"/>
        <n v="95.73"/>
        <n v="106.03"/>
        <n v="123.5"/>
        <n v="138.11000000000001"/>
        <n v="83.64"/>
        <n v="115.72"/>
        <n v="109.31"/>
        <n v="110.46"/>
        <n v="132.19999999999999"/>
        <n v="120.98"/>
        <n v="83.35"/>
        <n v="84.49"/>
        <n v="108.58"/>
        <n v="130.56"/>
        <n v="120.34"/>
        <n v="126.02"/>
        <n v="115.68"/>
        <n v="134.6"/>
        <n v="85.85"/>
        <n v="91.04"/>
        <n v="130.63999999999999"/>
        <n v="99.3"/>
        <n v="124.05"/>
        <n v="115.65"/>
        <n v="139.80000000000001"/>
        <n v="125.12"/>
        <n v="136.82"/>
        <n v="105.23"/>
        <n v="104.1"/>
        <n v="109.67"/>
        <n v="118.91"/>
        <n v="101.16"/>
        <n v="102.16"/>
        <n v="104.4"/>
        <n v="116.87"/>
        <n v="134.19999999999999"/>
        <n v="96.43"/>
        <n v="110.7"/>
        <n v="114.91"/>
        <n v="91.02"/>
        <n v="101.29"/>
        <n v="116.85"/>
        <n v="132.29"/>
        <n v="103.36"/>
        <n v="107.55"/>
        <n v="101.97"/>
        <n v="121.05"/>
        <n v="96.52"/>
        <n v="96.09"/>
        <n v="102.59"/>
        <n v="96.83"/>
        <n v="94.09"/>
        <n v="90.22"/>
        <n v="80.900000000000006"/>
        <n v="132.63999999999999"/>
        <n v="111.41"/>
        <n v="96.04"/>
        <n v="134.55000000000001"/>
        <n v="104.56"/>
        <n v="93.16"/>
        <n v="105.22"/>
        <n v="81.7"/>
        <n v="87.35"/>
        <n v="115.18"/>
        <n v="90.29"/>
        <n v="132.16999999999999"/>
        <n v="108.9"/>
        <n v="88.15"/>
        <n v="108.76"/>
        <n v="88.48"/>
        <n v="119.46"/>
        <n v="119.44"/>
        <n v="134.30000000000001"/>
        <n v="88.05"/>
        <n v="137.13999999999999"/>
        <n v="90.69"/>
        <n v="107.48"/>
        <n v="126.05"/>
        <n v="101.45"/>
        <n v="135.27000000000001"/>
        <n v="128.34"/>
        <n v="128.04"/>
        <n v="125.23"/>
        <n v="128.44999999999999"/>
        <n v="109.65"/>
        <n v="107.8"/>
        <n v="116.96"/>
        <n v="97.04"/>
        <n v="104.25"/>
        <n v="102.86"/>
        <n v="84.94"/>
        <n v="100.59"/>
        <n v="135.07"/>
        <n v="86.28"/>
        <n v="138.18"/>
        <n v="101.06"/>
        <n v="116.89"/>
        <n v="80.05"/>
        <n v="82.73"/>
        <n v="109.46"/>
        <n v="96.1"/>
        <n v="103.7"/>
        <n v="107.88"/>
        <n v="88.21"/>
        <n v="95.91"/>
        <n v="83.82"/>
        <n v="133.53"/>
        <n v="123.55"/>
        <n v="138.84"/>
        <n v="138.31"/>
        <n v="112.77"/>
        <n v="106.45"/>
        <n v="124.58"/>
        <n v="109.12"/>
        <n v="99.78"/>
        <n v="114.37"/>
        <n v="104.2"/>
        <n v="107.84"/>
        <n v="94.06"/>
        <n v="100.37"/>
        <n v="118.59"/>
        <n v="115.29"/>
        <n v="116.35"/>
        <n v="120.6"/>
        <n v="137.37"/>
        <n v="105.79"/>
        <n v="136.16"/>
        <n v="110.71"/>
        <n v="117.28"/>
        <n v="107.5"/>
        <n v="126.89"/>
        <n v="81.28"/>
        <n v="121.94"/>
        <n v="101.26"/>
        <n v="109.21"/>
        <n v="81.97"/>
        <n v="118.36"/>
        <n v="117.13"/>
        <n v="133.35"/>
        <n v="131.35"/>
        <n v="115.05"/>
        <n v="130.91999999999999"/>
        <n v="80.36"/>
        <n v="109.92"/>
        <n v="120.53"/>
        <n v="131.85"/>
        <n v="138.72999999999999"/>
        <n v="134.63999999999999"/>
        <n v="135.82"/>
        <n v="122.64"/>
        <n v="128.57"/>
        <n v="119.45"/>
        <n v="86.71"/>
        <n v="117.69"/>
        <n v="86.68"/>
        <n v="81.599999999999994"/>
        <n v="96.85"/>
        <n v="126.33"/>
        <n v="89.66"/>
        <n v="91.86"/>
        <n v="120.18"/>
        <n v="126.44"/>
        <n v="88.64"/>
        <n v="125.02"/>
        <n v="112.13"/>
        <n v="134.12"/>
        <n v="117.41"/>
        <n v="124.64"/>
        <n v="109.17"/>
        <n v="122.72"/>
        <n v="135.13"/>
        <n v="89.74"/>
        <n v="102.63"/>
        <n v="82.41"/>
        <n v="88.41"/>
        <n v="129.88999999999999"/>
        <n v="82.07"/>
        <n v="101.43"/>
        <n v="114.1"/>
        <n v="114.36"/>
        <n v="120.01"/>
        <n v="129.49"/>
        <n v="137"/>
        <n v="85.21"/>
        <n v="113.24"/>
        <n v="137.36000000000001"/>
        <n v="99.2"/>
        <n v="93.76"/>
        <n v="99.61"/>
        <n v="90.01"/>
        <n v="130.38999999999999"/>
        <n v="90.85"/>
        <n v="123.12"/>
        <n v="118.63"/>
        <n v="82.35"/>
        <n v="94.42"/>
        <n v="105.35"/>
        <n v="91.84"/>
        <n v="98.17"/>
        <n v="82.29"/>
        <n v="137.52000000000001"/>
        <n v="92.69"/>
        <n v="90.05"/>
        <n v="121.95"/>
        <n v="135.81"/>
        <n v="120.84"/>
        <n v="121.31"/>
        <n v="90.45"/>
        <n v="103.55"/>
        <n v="83.8"/>
        <n v="128.16"/>
        <n v="99.26"/>
        <n v="123.33"/>
        <n v="126.49"/>
        <n v="132.69999999999999"/>
        <n v="137.44999999999999"/>
        <n v="109.78"/>
        <n v="103.75"/>
        <n v="108.16"/>
        <n v="104.46"/>
        <n v="87.09"/>
        <n v="122.44"/>
        <n v="122.35"/>
        <n v="139.21"/>
        <n v="95.6"/>
        <n v="84.09"/>
        <n v="130.93"/>
        <n v="103.04"/>
        <n v="80.739999999999995"/>
        <n v="118.45"/>
        <n v="85.08"/>
        <n v="111.64"/>
        <n v="98.76"/>
        <n v="92.34"/>
        <n v="113.97"/>
        <n v="136.69999999999999"/>
        <n v="106.63"/>
        <n v="130.06"/>
        <n v="107.29"/>
        <n v="95.35"/>
        <n v="91.81"/>
        <n v="126.34"/>
        <n v="85.61"/>
        <n v="131.78"/>
        <n v="103.76"/>
        <n v="83.27"/>
        <n v="107.19"/>
        <n v="126.4"/>
        <n v="117.94"/>
        <n v="131.51"/>
        <n v="90.9"/>
        <n v="106.39"/>
        <n v="117.89"/>
        <n v="84.64"/>
        <n v="126.9"/>
        <n v="134.69999999999999"/>
        <n v="95.24"/>
        <n v="124.98"/>
        <n v="115.92"/>
        <n v="138.97999999999999"/>
        <n v="92.1"/>
        <n v="135.59"/>
        <n v="93.49"/>
        <n v="109.73"/>
        <n v="101.6"/>
        <n v="93.99"/>
        <n v="115.46"/>
        <n v="85.83"/>
        <n v="101.72"/>
        <n v="132.75"/>
        <n v="132.56"/>
        <n v="97.13"/>
        <n v="111.14"/>
        <n v="136.22999999999999"/>
        <n v="98.83"/>
        <n v="83.62"/>
        <n v="106.96"/>
        <n v="107.57"/>
        <n v="128.09"/>
        <n v="99.41"/>
        <n v="122.5"/>
        <n v="97.32"/>
        <n v="85.4"/>
        <n v="127.87"/>
        <n v="90.83"/>
        <n v="120.71"/>
        <n v="80.91"/>
        <n v="123.65"/>
        <n v="97.05"/>
        <n v="126.72"/>
        <n v="83.02"/>
        <n v="136.77000000000001"/>
        <n v="128.72999999999999"/>
        <n v="95.03"/>
        <n v="114.7"/>
        <n v="105.14"/>
        <n v="91.71"/>
        <n v="138.19"/>
        <n v="85.02"/>
        <n v="126.13"/>
        <n v="127.44"/>
        <n v="86.11"/>
        <n v="86.48"/>
        <n v="128.58000000000001"/>
        <n v="86.38"/>
        <n v="83.46"/>
        <n v="89.47"/>
        <n v="92.26"/>
        <n v="136"/>
        <n v="92.62"/>
        <n v="113.72"/>
        <n v="93.06"/>
        <n v="120.08"/>
        <n v="93.38"/>
        <n v="127.73"/>
        <n v="107.95"/>
        <n v="128.13"/>
        <n v="127.89"/>
        <n v="119.05"/>
        <n v="109.62"/>
        <n v="111.76"/>
        <n v="86.91"/>
        <n v="114.67"/>
        <n v="80.069999999999993"/>
        <n v="113.67"/>
        <n v="107.01"/>
        <n v="132.31"/>
        <n v="126.54"/>
        <n v="98.33"/>
        <n v="97.78"/>
        <n v="120.59"/>
        <n v="104.63"/>
        <n v="123.45"/>
        <n v="131.37"/>
        <n v="130.69"/>
        <n v="133.44"/>
        <n v="110.94"/>
        <n v="95.5"/>
        <n v="126.32"/>
        <n v="102.35"/>
        <n v="129.84"/>
        <n v="102.99"/>
        <n v="88.86"/>
        <n v="113.66"/>
        <n v="128.08000000000001"/>
        <n v="113.17"/>
        <n v="115.22"/>
        <n v="88.5"/>
        <n v="111.4"/>
        <n v="130.9"/>
        <n v="97.53"/>
        <n v="96.24"/>
        <n v="116.46"/>
        <n v="119.75"/>
        <n v="86.76"/>
        <n v="98.22"/>
        <n v="137.19"/>
        <n v="81.88"/>
        <n v="136.84"/>
        <n v="81.569999999999993"/>
        <n v="110.37"/>
        <n v="102.05"/>
        <n v="103.8"/>
        <n v="91.99"/>
        <n v="105.73"/>
        <n v="125.48"/>
        <n v="107.16"/>
        <n v="80.709999999999994"/>
        <n v="138.16999999999999"/>
        <n v="118.86"/>
        <n v="116.22"/>
        <n v="128.9"/>
        <n v="81.8"/>
        <n v="110.06"/>
        <n v="87"/>
        <n v="95.87"/>
        <n v="106.74"/>
        <n v="113.4"/>
        <n v="85.03"/>
        <n v="128.38999999999999"/>
        <n v="108.26"/>
        <n v="119.42"/>
        <n v="118.25"/>
        <n v="108.47"/>
        <n v="95.88"/>
        <n v="115.63"/>
        <n v="102.46"/>
        <n v="122.12"/>
        <n v="88.74"/>
        <n v="103.65"/>
        <n v="93.44"/>
        <n v="98.08"/>
        <n v="135.52000000000001"/>
        <n v="105.63"/>
        <n v="135.25"/>
        <n v="116.37"/>
        <n v="101.57"/>
        <n v="83.08"/>
        <n v="107.52"/>
        <n v="119.33"/>
        <n v="107.54"/>
        <n v="128.54"/>
        <n v="92.52"/>
        <n v="97.7"/>
        <n v="118.73"/>
        <n v="138.94"/>
        <n v="121.9"/>
        <n v="105.95"/>
        <n v="122.04"/>
        <n v="87.44"/>
        <n v="97.52"/>
        <n v="117.85"/>
        <n v="120.94"/>
        <n v="130.30000000000001"/>
        <n v="90.5"/>
        <n v="81.55"/>
        <n v="112.17"/>
        <n v="132.82"/>
        <n v="107.26"/>
        <n v="80.88"/>
        <n v="104.88"/>
        <n v="127.52"/>
        <n v="91.93"/>
        <n v="127.26"/>
        <n v="116.47"/>
        <n v="119.59"/>
        <n v="117.91"/>
        <n v="104.64"/>
        <n v="94.26"/>
        <n v="121.64"/>
        <n v="135.94999999999999"/>
        <n v="131.61000000000001"/>
        <n v="85.43"/>
        <n v="92.78"/>
        <n v="102.75"/>
        <n v="93.71"/>
        <n v="95.62"/>
        <n v="95.68"/>
        <n v="117.22"/>
        <n v="117.39"/>
        <n v="91.57"/>
        <n v="133.88"/>
        <n v="115.6"/>
        <n v="105.37"/>
        <n v="120.81"/>
        <n v="131.77000000000001"/>
        <n v="100.29"/>
        <n v="135.18"/>
        <n v="125.31"/>
        <n v="86.85"/>
        <n v="88.72"/>
        <n v="137.58000000000001"/>
        <n v="113.03"/>
        <n v="135.87"/>
        <n v="84.96"/>
        <n v="110.75"/>
        <n v="118.27"/>
        <n v="123.54"/>
        <n v="88.51"/>
        <n v="111.83"/>
        <n v="98.29"/>
        <n v="95.77"/>
        <n v="88.91"/>
        <n v="87.66"/>
        <n v="111.15"/>
        <n v="121.17"/>
        <n v="84.38"/>
        <n v="121.44"/>
        <n v="132.85"/>
        <n v="110.6"/>
        <n v="102.44"/>
        <n v="113.36"/>
        <n v="94.85"/>
        <n v="80.83"/>
        <n v="125.81"/>
        <n v="90.57"/>
        <n v="92.99"/>
        <n v="129.13999999999999"/>
        <n v="121.24"/>
        <n v="112.6"/>
        <n v="88.13"/>
        <n v="104.94"/>
        <n v="86.41"/>
        <n v="95.1"/>
        <n v="136.51"/>
        <n v="80.290000000000006"/>
        <n v="82.01"/>
        <n v="81.86"/>
        <n v="89.9"/>
        <n v="81.84"/>
        <n v="104.84"/>
        <n v="100.46"/>
        <n v="88.06"/>
        <n v="133.21"/>
        <n v="95.02"/>
        <n v="117.32"/>
        <n v="85.04"/>
        <n v="139.88"/>
        <n v="114.18"/>
        <n v="82.49"/>
        <n v="118.47"/>
        <n v="136.13999999999999"/>
        <n v="124.21"/>
        <n v="124.55"/>
        <n v="113.01"/>
        <n v="114.82"/>
        <n v="97.62"/>
        <n v="84.58"/>
        <n v="130.04"/>
        <n v="112.65"/>
        <n v="84.75"/>
        <n v="111.03"/>
        <n v="88.62"/>
        <n v="95.59"/>
        <n v="125.32"/>
        <n v="112.7"/>
        <n v="80.84"/>
        <n v="137.47"/>
        <n v="84.69"/>
        <n v="108.15"/>
        <n v="114.52"/>
        <n v="109.16"/>
        <n v="87.9"/>
        <n v="133.83000000000001"/>
        <n v="138.43"/>
        <n v="98.15"/>
        <n v="124.6"/>
        <n v="87.51"/>
        <n v="101.56"/>
        <n v="121.63"/>
        <n v="95.45"/>
        <n v="82.84"/>
        <n v="128.94999999999999"/>
        <n v="111.06"/>
        <n v="106.6"/>
        <n v="95.54"/>
        <n v="132.46"/>
        <n v="119.55"/>
        <n v="114.54"/>
        <n v="81.69"/>
        <n v="93.75"/>
        <n v="108.43"/>
        <n v="110.64"/>
        <n v="102.01"/>
        <n v="89.35"/>
        <n v="138.08000000000001"/>
        <n v="139.63"/>
        <n v="88.33"/>
        <n v="94.37"/>
        <n v="123.85"/>
        <n v="138.01"/>
        <n v="109.87"/>
        <n v="128.81"/>
        <n v="101.12"/>
        <n v="135.11000000000001"/>
        <n v="134.13999999999999"/>
        <n v="131.30000000000001"/>
        <n v="139.94"/>
        <n v="98.98"/>
        <n v="119.15"/>
        <n v="105.02"/>
        <n v="107.76"/>
        <n v="81.540000000000006"/>
        <n v="112.15"/>
        <n v="124.68"/>
        <n v="137.91"/>
        <n v="137.04"/>
        <n v="88.29"/>
        <n v="106.32"/>
        <n v="96.12"/>
        <n v="122.11"/>
        <n v="84.46"/>
        <n v="133.12"/>
        <n v="124.24"/>
        <n v="83.25"/>
        <n v="127.25"/>
        <n v="129.72"/>
        <n v="104.16"/>
        <n v="105.13"/>
        <n v="128.25"/>
        <n v="99.83"/>
        <n v="126.5"/>
        <n v="99.82"/>
        <n v="118.71"/>
        <n v="86.77"/>
        <n v="125.91"/>
        <n v="138.91999999999999"/>
        <n v="87.56"/>
        <n v="85.1"/>
        <n v="133.09"/>
        <n v="110.41"/>
        <n v="85.16"/>
        <n v="133.36000000000001"/>
        <n v="81.66"/>
        <n v="105.7"/>
        <n v="135.09"/>
        <n v="133.05000000000001"/>
        <n v="123.29"/>
        <n v="86.19"/>
        <n v="81.2"/>
        <n v="135.1"/>
        <n v="84.65"/>
        <n v="135.75"/>
        <n v="111.07"/>
        <n v="104.77"/>
        <n v="91.53"/>
        <n v="80.510000000000005"/>
        <n v="93.85"/>
        <n v="94.69"/>
        <n v="114.94"/>
        <n v="116.55"/>
        <n v="106.28"/>
        <n v="88.3"/>
        <n v="130.57"/>
        <n v="117.16"/>
        <n v="138.38"/>
        <n v="116.18"/>
        <n v="119.66"/>
        <n v="100.83"/>
        <n v="139.91999999999999"/>
        <n v="138.53"/>
        <n v="118.99"/>
        <n v="124.93"/>
        <n v="91.87"/>
        <n v="99.62"/>
        <n v="82.86"/>
        <n v="99.96"/>
        <n v="100.4"/>
        <n v="126.01"/>
        <n v="110.79"/>
        <n v="92.66"/>
        <n v="138.32"/>
        <n v="127.7"/>
        <n v="111.53"/>
        <n v="85.97"/>
        <n v="97.39"/>
        <n v="94.71"/>
        <n v="108.08"/>
        <n v="109.79"/>
        <n v="111.47"/>
        <n v="112.02"/>
        <n v="105.27"/>
        <n v="101.4"/>
        <n v="94.14"/>
        <n v="127.82"/>
        <n v="81.37"/>
        <n v="99.52"/>
        <n v="117.25"/>
        <n v="128.49"/>
        <n v="132.27000000000001"/>
        <n v="139.84"/>
        <n v="121.07"/>
        <n v="100.52"/>
        <n v="119.38"/>
        <n v="88.43"/>
        <n v="109.53"/>
        <n v="120.78"/>
        <n v="88.19"/>
        <n v="108.24"/>
        <n v="82.26"/>
        <n v="135.84"/>
        <n v="85.88"/>
        <n v="87.69"/>
        <n v="96.33"/>
        <n v="99.18"/>
        <n v="116.68"/>
        <n v="129.13"/>
        <n v="112.16"/>
        <n v="96.59"/>
        <n v="85.47"/>
        <n v="127.16"/>
        <n v="109.01"/>
        <n v="125.42"/>
        <n v="97.69"/>
        <n v="94.51"/>
        <n v="131.72999999999999"/>
        <n v="112.89"/>
        <n v="139.16"/>
        <n v="126.95"/>
        <n v="94.31"/>
        <n v="121.41"/>
        <n v="111.2"/>
        <n v="109.84"/>
        <n v="102.56"/>
        <n v="108.05"/>
        <n v="134.68"/>
        <n v="139.28"/>
        <n v="102.04"/>
        <n v="131.16"/>
        <n v="122.38"/>
        <n v="137.22"/>
        <n v="118.08"/>
        <n v="136.97"/>
        <n v="90.73"/>
        <n v="82.54"/>
        <n v="126.79"/>
        <n v="129.47999999999999"/>
        <n v="123.93"/>
        <n v="101.52"/>
        <n v="82.62"/>
        <n v="93.02"/>
        <n v="90.78"/>
        <n v="124.97"/>
        <n v="92.58"/>
        <n v="111.98"/>
        <n v="126.88"/>
        <n v="112.14"/>
        <n v="83.78"/>
        <n v="120.77"/>
        <n v="94.28"/>
        <n v="90.11"/>
        <n v="97.21"/>
        <n v="121.93"/>
        <n v="93.3"/>
        <n v="105.01"/>
        <n v="124.87"/>
        <n v="103.24"/>
        <n v="91.91"/>
        <n v="81.58"/>
        <n v="129.33000000000001"/>
        <n v="81.319999999999993"/>
        <n v="109.97"/>
        <n v="125.67"/>
        <n v="103.97"/>
        <n v="129.74"/>
        <n v="89.51"/>
        <n v="127.1"/>
        <n v="115.07"/>
        <n v="107.49"/>
        <n v="136.16999999999999"/>
        <n v="133.33000000000001"/>
        <n v="99.7"/>
        <n v="108.7"/>
        <n v="83"/>
        <n v="104.47"/>
        <n v="123.87"/>
        <n v="128.74"/>
        <n v="118.34"/>
        <n v="128.21"/>
        <n v="131.38999999999999"/>
        <n v="125.53"/>
        <n v="120.73"/>
        <n v="82.89"/>
        <n v="108.79"/>
        <n v="100.61"/>
        <n v="139.71"/>
        <n v="109.13"/>
        <n v="84.55"/>
        <n v="136.07"/>
        <n v="126.38"/>
        <n v="116.24"/>
        <n v="89.29"/>
        <n v="129.61000000000001"/>
        <n v="109.86"/>
        <n v="126.3"/>
        <n v="117.23"/>
        <n v="82.94"/>
        <n v="83.63"/>
        <n v="109.93"/>
        <n v="135.47"/>
        <n v="135.13999999999999"/>
        <n v="116.04"/>
        <n v="91.95"/>
        <n v="107.14"/>
        <n v="109.45"/>
        <n v="84.18"/>
        <n v="133.28"/>
        <n v="124.84"/>
        <n v="100.07"/>
        <n v="106.47"/>
        <n v="128.51"/>
        <n v="98.72"/>
        <n v="85.48"/>
        <n v="82.06"/>
        <n v="120.79"/>
        <n v="109.1"/>
        <n v="95.99"/>
        <n v="107.1"/>
        <n v="107.32"/>
        <n v="128.56"/>
        <n v="91.24"/>
        <n v="134.38999999999999"/>
        <n v="98.34"/>
        <n v="84.44"/>
        <n v="139.85"/>
        <n v="105.18"/>
        <n v="115.97"/>
        <n v="120.8"/>
        <n v="95.76"/>
        <n v="113.77"/>
        <n v="133.22"/>
        <n v="97.55"/>
        <n v="89.07"/>
        <n v="117.21"/>
        <n v="92.5"/>
        <n v="95.34"/>
        <n v="135.46"/>
        <n v="120.65"/>
        <n v="117.02"/>
        <n v="116.14"/>
        <n v="99.57"/>
        <n v="122.06"/>
        <n v="111.87"/>
        <n v="106.92"/>
        <n v="131.80000000000001"/>
        <n v="125.11"/>
        <n v="90.46"/>
        <n v="87.34"/>
        <n v="83.34"/>
        <n v="118.76"/>
        <n v="110.86"/>
        <n v="117.38"/>
        <n v="94.99"/>
        <n v="82.2"/>
        <n v="106.22"/>
        <n v="117.54"/>
        <n v="106.69"/>
        <n v="119.16"/>
        <n v="82.85"/>
        <n v="89.86"/>
        <n v="133.82"/>
        <n v="130.78"/>
        <n v="138.27000000000001"/>
        <n v="127.38"/>
        <n v="106.89"/>
        <n v="107.99"/>
        <n v="117.18"/>
        <n v="101.91"/>
        <n v="93.34"/>
        <n v="134.51"/>
        <n v="133.91"/>
        <n v="97.88"/>
        <n v="112.63"/>
        <n v="137.28"/>
        <n v="88.4"/>
        <n v="94.5"/>
        <n v="127.85"/>
        <n v="117.6"/>
        <n v="91.67"/>
        <n v="95.56"/>
        <n v="101.47"/>
        <n v="108.13"/>
        <n v="105.3"/>
        <n v="84.7"/>
        <n v="106.48"/>
        <n v="109.39"/>
        <n v="121.74"/>
        <n v="128.88999999999999"/>
        <n v="116.74"/>
        <n v="99.69"/>
        <n v="114.92"/>
        <n v="80.67"/>
        <n v="97.84"/>
        <n v="99.66"/>
        <n v="90.7"/>
        <n v="102.23"/>
        <n v="125.58"/>
        <n v="88.76"/>
        <n v="139.11000000000001"/>
        <n v="86.72"/>
        <n v="116.92"/>
        <n v="134.69"/>
        <n v="115.71"/>
        <n v="126.21"/>
        <n v="121.08"/>
        <n v="101.74"/>
        <n v="139.88999999999999"/>
        <n v="124.49"/>
        <n v="108.78"/>
        <n v="80.13"/>
        <n v="102.9"/>
        <n v="94.02"/>
        <n v="99.8"/>
        <n v="106.82"/>
        <n v="104.12"/>
        <n v="84.72"/>
        <n v="94"/>
        <n v="122.45"/>
        <n v="129.03"/>
        <n v="98.44"/>
        <n v="119.95"/>
        <n v="102.12"/>
        <n v="107.89"/>
        <n v="89.67"/>
        <n v="87.7"/>
        <n v="93.24"/>
        <n v="87.07"/>
        <n v="118.24"/>
        <n v="103.79"/>
        <n v="103.39"/>
        <n v="117.74"/>
        <n v="86.23"/>
        <n v="125.18"/>
        <n v="83.01"/>
        <n v="103.69"/>
        <n v="103.53"/>
        <n v="99.19"/>
        <n v="134.59"/>
        <n v="125.03"/>
        <n v="94.18"/>
        <n v="95.72"/>
        <n v="129.94"/>
        <n v="130.29"/>
        <n v="138.91"/>
        <n v="103.37"/>
        <n v="111.12"/>
        <n v="97.97"/>
        <n v="119.81"/>
        <n v="137.38999999999999"/>
        <n v="83.43"/>
        <n v="87.96"/>
        <n v="87.65"/>
        <n v="125.65"/>
        <n v="135.76"/>
        <n v="114.72"/>
        <n v="114.31"/>
        <n v="86.45"/>
        <n v="134.49"/>
        <n v="101.19"/>
        <n v="116.02"/>
        <n v="115.28"/>
        <n v="80.02"/>
        <n v="85.52"/>
        <n v="104.38"/>
        <n v="86.22"/>
        <n v="138.26"/>
        <n v="119.19"/>
        <n v="102.84"/>
        <n v="91.39"/>
        <n v="128.4"/>
        <n v="84.79"/>
        <n v="100.66"/>
        <n v="92.73"/>
        <n v="101.61"/>
        <n v="81.92"/>
        <n v="137.9"/>
        <n v="126.82"/>
        <n v="133.31"/>
        <n v="117.09"/>
        <n v="96.25"/>
        <n v="98.23"/>
        <n v="127.97"/>
        <n v="80.28"/>
        <n v="113.11"/>
        <n v="127.13"/>
        <n v="113.96"/>
        <n v="114.4"/>
        <n v="83.66"/>
        <n v="132.26"/>
        <n v="115.78"/>
        <n v="124.09"/>
        <n v="132.25"/>
        <n v="100.42"/>
        <n v="128.32"/>
        <n v="118.88"/>
        <n v="136.94999999999999"/>
        <n v="134.93"/>
        <n v="125.96"/>
        <n v="80.97"/>
        <n v="130.43"/>
        <n v="122.58"/>
        <n v="132.6"/>
        <n v="120.21"/>
        <n v="114.78"/>
        <n v="84.99"/>
        <n v="138.87"/>
        <n v="127.41"/>
        <n v="132.94999999999999"/>
        <n v="87.45"/>
        <n v="117.51"/>
        <n v="94.81"/>
        <n v="85.42"/>
        <n v="124.78"/>
        <n v="112"/>
        <n v="107.67"/>
        <n v="85.45"/>
        <n v="83.91"/>
        <n v="92.92"/>
        <n v="102.98"/>
        <n v="131.29"/>
        <n v="117.67"/>
        <n v="121.86"/>
        <n v="129.46"/>
        <n v="116.33"/>
        <n v="132.91999999999999"/>
        <n v="114.71"/>
        <n v="120.63"/>
        <n v="105.72"/>
        <n v="137.16999999999999"/>
        <n v="130.13"/>
        <n v="104.09"/>
        <n v="92.05"/>
        <n v="81.99"/>
        <n v="94.38"/>
        <n v="93.23"/>
        <n v="120.28"/>
        <n v="94.72"/>
        <n v="96.07"/>
        <n v="93.03"/>
        <n v="121.8"/>
        <n v="93.18"/>
        <n v="82.9"/>
        <n v="97.06"/>
        <n v="111.29"/>
        <n v="97.25"/>
        <n v="115.96"/>
        <n v="114.56"/>
        <n v="129.78"/>
        <n v="90.59"/>
        <n v="85.18"/>
        <n v="121.58"/>
        <n v="96.47"/>
        <n v="112.98"/>
        <n v="93.87"/>
        <n v="89.11"/>
        <n v="127.03"/>
        <n v="106.75"/>
        <n v="89.92"/>
        <n v="123.09"/>
        <n v="89.06"/>
        <n v="96.88"/>
        <n v="133.37"/>
        <n v="98.55"/>
        <n v="88.24"/>
        <n v="129.11000000000001"/>
        <n v="96.73"/>
        <n v="94.89"/>
        <n v="109.68"/>
        <n v="97.57"/>
        <n v="93.35"/>
        <n v="123.98"/>
        <n v="129.05000000000001"/>
        <n v="128.19"/>
        <n v="96.36"/>
        <n v="130.63"/>
        <n v="101.11"/>
        <n v="109.27"/>
        <n v="91.46"/>
        <n v="84.06"/>
        <n v="86.13"/>
      </sharedItems>
    </cacheField>
    <cacheField name="Gold_Price_USD" numFmtId="0">
      <sharedItems containsSemiMixedTypes="0" containsString="0" containsNumber="1" minValue="1801.09" maxValue="2499.7399999999998" count="1977">
        <n v="1846.15"/>
        <n v="2203.83"/>
        <n v="1907.2"/>
        <n v="2457.13"/>
        <n v="2451.38"/>
        <n v="2187.46"/>
        <n v="1963.56"/>
        <n v="2307.5500000000002"/>
        <n v="2046.99"/>
        <n v="2095.15"/>
        <n v="2017.82"/>
        <n v="2465.37"/>
        <n v="2188.3000000000002"/>
        <n v="2493.5500000000002"/>
        <n v="2101.39"/>
        <n v="1843.71"/>
        <n v="1828.98"/>
        <n v="1819.78"/>
        <n v="2161.6799999999998"/>
        <n v="2012.68"/>
        <n v="2024.38"/>
        <n v="1859.72"/>
        <n v="2177.16"/>
        <n v="2493.04"/>
        <n v="2044.68"/>
        <n v="1915.2"/>
        <n v="1884.96"/>
        <n v="2067.33"/>
        <n v="2017.46"/>
        <n v="1981.95"/>
        <n v="2063.7600000000002"/>
        <n v="2453.86"/>
        <n v="2180.12"/>
        <n v="2116.4299999999998"/>
        <n v="2419.83"/>
        <n v="2387.25"/>
        <n v="1809.26"/>
        <n v="2204.83"/>
        <n v="2382.38"/>
        <n v="2168.41"/>
        <n v="2313.5500000000002"/>
        <n v="2279.89"/>
        <n v="2477.04"/>
        <n v="1858.94"/>
        <n v="2482.5300000000002"/>
        <n v="1939.04"/>
        <n v="2422.44"/>
        <n v="2079.34"/>
        <n v="2207.56"/>
        <n v="1859.4"/>
        <n v="2166.23"/>
        <n v="2218.67"/>
        <n v="2413.17"/>
        <n v="2069.3000000000002"/>
        <n v="2203.0500000000002"/>
        <n v="2083.56"/>
        <n v="2140.85"/>
        <n v="2211.11"/>
        <n v="2312.39"/>
        <n v="1835.29"/>
        <n v="2087.0500000000002"/>
        <n v="2001.16"/>
        <n v="2065.86"/>
        <n v="1807.11"/>
        <n v="1971.71"/>
        <n v="2172.2399999999998"/>
        <n v="2026.13"/>
        <n v="1971.27"/>
        <n v="2071.4699999999998"/>
        <n v="2286.8000000000002"/>
        <n v="2465.09"/>
        <n v="2104.13"/>
        <n v="1836.27"/>
        <n v="2485.64"/>
        <n v="2303.39"/>
        <n v="2414.0500000000002"/>
        <n v="2146.2199999999998"/>
        <n v="1978.28"/>
        <n v="1828.33"/>
        <n v="1879.49"/>
        <n v="1998.34"/>
        <n v="2465"/>
        <n v="1943.7"/>
        <n v="2093.9299999999998"/>
        <n v="2214.7800000000002"/>
        <n v="2352.44"/>
        <n v="2344.89"/>
        <n v="1858.96"/>
        <n v="2419.23"/>
        <n v="2251.6"/>
        <n v="2462.8000000000002"/>
        <n v="2060.1999999999998"/>
        <n v="2269.75"/>
        <n v="2328.88"/>
        <n v="2418.84"/>
        <n v="1969.8"/>
        <n v="2432.77"/>
        <n v="2305.11"/>
        <n v="1824.9"/>
        <n v="2498.04"/>
        <n v="2424.44"/>
        <n v="2362.85"/>
        <n v="2442.63"/>
        <n v="1803.51"/>
        <n v="1988.71"/>
        <n v="1902.17"/>
        <n v="2045.54"/>
        <n v="1903.73"/>
        <n v="2375.2399999999998"/>
        <n v="1957.95"/>
        <n v="2422.62"/>
        <n v="2441.7199999999998"/>
        <n v="2406.35"/>
        <n v="2101.08"/>
        <n v="2391.4"/>
        <n v="2387.36"/>
        <n v="2153.5300000000002"/>
        <n v="2355.2399999999998"/>
        <n v="2214.1799999999998"/>
        <n v="2229.8000000000002"/>
        <n v="2360.8200000000002"/>
        <n v="2084.61"/>
        <n v="1996.82"/>
        <n v="2289.16"/>
        <n v="2244.17"/>
        <n v="2127.2600000000002"/>
        <n v="1916.71"/>
        <n v="2290.5300000000002"/>
        <n v="1969.57"/>
        <n v="2408.17"/>
        <n v="2257.8000000000002"/>
        <n v="2294.5700000000002"/>
        <n v="2093.67"/>
        <n v="1934.57"/>
        <n v="2074.7199999999998"/>
        <n v="2043.11"/>
        <n v="2047.22"/>
        <n v="2032.69"/>
        <n v="2078.17"/>
        <n v="2279.9"/>
        <n v="2237.64"/>
        <n v="2316.4499999999998"/>
        <n v="2199.25"/>
        <n v="2268.06"/>
        <n v="1807.36"/>
        <n v="2017.9"/>
        <n v="2404.86"/>
        <n v="2001.1"/>
        <n v="2367.25"/>
        <n v="2203.2399999999998"/>
        <n v="2067.23"/>
        <n v="2371.83"/>
        <n v="1957.37"/>
        <n v="2335.75"/>
        <n v="2443.54"/>
        <n v="2121.84"/>
        <n v="2006.73"/>
        <n v="2345.04"/>
        <n v="2219.04"/>
        <n v="2116.33"/>
        <n v="1891.58"/>
        <n v="2339.88"/>
        <n v="2342.1799999999998"/>
        <n v="2103.3000000000002"/>
        <n v="2186.7800000000002"/>
        <n v="2414.42"/>
        <n v="1890.57"/>
        <n v="1860.09"/>
        <n v="1890.3"/>
        <n v="1858.55"/>
        <n v="1826.93"/>
        <n v="1877.82"/>
        <n v="2213.2199999999998"/>
        <n v="1936.44"/>
        <n v="2147.5500000000002"/>
        <n v="2149.1"/>
        <n v="2332.08"/>
        <n v="2000.19"/>
        <n v="2274.38"/>
        <n v="1967.57"/>
        <n v="2375.9"/>
        <n v="2446.5100000000002"/>
        <n v="2212.5100000000002"/>
        <n v="1969.66"/>
        <n v="1916.82"/>
        <n v="2355.9499999999998"/>
        <n v="2484.65"/>
        <n v="2402.69"/>
        <n v="2328.6799999999998"/>
        <n v="1851.44"/>
        <n v="2143.5"/>
        <n v="2021.04"/>
        <n v="2364.27"/>
        <n v="1953.64"/>
        <n v="2253.3000000000002"/>
        <n v="2498.4699999999998"/>
        <n v="2165.9299999999998"/>
        <n v="2252.19"/>
        <n v="1878.66"/>
        <n v="2261.04"/>
        <n v="1876.43"/>
        <n v="2192.23"/>
        <n v="2219.4899999999998"/>
        <n v="2215.88"/>
        <n v="2214.16"/>
        <n v="2307.89"/>
        <n v="1976.03"/>
        <n v="2089.9899999999998"/>
        <n v="1820.04"/>
        <n v="2072.2600000000002"/>
        <n v="2222.25"/>
        <n v="1820.96"/>
        <n v="2322.16"/>
        <n v="2096.5"/>
        <n v="2463.2199999999998"/>
        <n v="1940.45"/>
        <n v="2125.69"/>
        <n v="2122.96"/>
        <n v="2309.44"/>
        <n v="2378.59"/>
        <n v="1980.51"/>
        <n v="1804.65"/>
        <n v="1842.6"/>
        <n v="1909.35"/>
        <n v="1899.05"/>
        <n v="1902.46"/>
        <n v="1818.3"/>
        <n v="2420.15"/>
        <n v="1986.31"/>
        <n v="1825.92"/>
        <n v="2419.98"/>
        <n v="1919.44"/>
        <n v="2223.7399999999998"/>
        <n v="2103"/>
        <n v="2241.77"/>
        <n v="2285.02"/>
        <n v="2259.84"/>
        <n v="2321.71"/>
        <n v="1973.09"/>
        <n v="2282.44"/>
        <n v="2074.37"/>
        <n v="2337.67"/>
        <n v="1808.9"/>
        <n v="2269.56"/>
        <n v="2034.23"/>
        <n v="1984.13"/>
        <n v="2096.34"/>
        <n v="2270.75"/>
        <n v="2271.39"/>
        <n v="2050.7399999999998"/>
        <n v="2119.5300000000002"/>
        <n v="1911.22"/>
        <n v="2144.4"/>
        <n v="1851.17"/>
        <n v="2248.12"/>
        <n v="1832.3"/>
        <n v="1831.93"/>
        <n v="1873.52"/>
        <n v="2317.5500000000002"/>
        <n v="2479.98"/>
        <n v="2394.44"/>
        <n v="1853.81"/>
        <n v="1835.11"/>
        <n v="2363.2800000000002"/>
        <n v="1895.2"/>
        <n v="2167.79"/>
        <n v="1998.4"/>
        <n v="2234.4299999999998"/>
        <n v="2015.67"/>
        <n v="2266.34"/>
        <n v="1886.02"/>
        <n v="2035.37"/>
        <n v="2430.98"/>
        <n v="1813"/>
        <n v="1869.58"/>
        <n v="2056.11"/>
        <n v="2478.66"/>
        <n v="1940.68"/>
        <n v="1890.45"/>
        <n v="1854.6"/>
        <n v="1988.7"/>
        <n v="2351.5"/>
        <n v="2214.98"/>
        <n v="2038.91"/>
        <n v="2230.75"/>
        <n v="2472.4699999999998"/>
        <n v="1815.88"/>
        <n v="2156.88"/>
        <n v="2143.89"/>
        <n v="2263.19"/>
        <n v="1905.42"/>
        <n v="2336.85"/>
        <n v="1939.93"/>
        <n v="2311.67"/>
        <n v="2190.0300000000002"/>
        <n v="2194.0100000000002"/>
        <n v="2299.7800000000002"/>
        <n v="2267.7600000000002"/>
        <n v="2331.5"/>
        <n v="2245.9699999999998"/>
        <n v="2482.33"/>
        <n v="2406.33"/>
        <n v="2474.58"/>
        <n v="2238.81"/>
        <n v="2419.2199999999998"/>
        <n v="1801.09"/>
        <n v="2404.7800000000002"/>
        <n v="2166.84"/>
        <n v="2061.89"/>
        <n v="2005.91"/>
        <n v="2473.4"/>
        <n v="2272.2800000000002"/>
        <n v="1988.27"/>
        <n v="1864.03"/>
        <n v="1860.7"/>
        <n v="2144.25"/>
        <n v="2002.99"/>
        <n v="2202.87"/>
        <n v="2083.85"/>
        <n v="2385.2800000000002"/>
        <n v="2225.23"/>
        <n v="1855.27"/>
        <n v="2289.1799999999998"/>
        <n v="2428.4699999999998"/>
        <n v="2473.56"/>
        <n v="2280.08"/>
        <n v="2174.2600000000002"/>
        <n v="2498.27"/>
        <n v="2222.7800000000002"/>
        <n v="2490.71"/>
        <n v="2142.48"/>
        <n v="1980.59"/>
        <n v="1994.07"/>
        <n v="2320.69"/>
        <n v="2450.81"/>
        <n v="2075.31"/>
        <n v="1856.17"/>
        <n v="2218.09"/>
        <n v="2133.71"/>
        <n v="2094.09"/>
        <n v="2403.6999999999998"/>
        <n v="2188.92"/>
        <n v="2423.91"/>
        <n v="2114.09"/>
        <n v="2298.37"/>
        <n v="2294.9699999999998"/>
        <n v="2286.2600000000002"/>
        <n v="2037.46"/>
        <n v="2098.37"/>
        <n v="1996.44"/>
        <n v="1955"/>
        <n v="2374.73"/>
        <n v="2153.1"/>
        <n v="2375.38"/>
        <n v="1886.54"/>
        <n v="2473.0300000000002"/>
        <n v="2430.58"/>
        <n v="1890.02"/>
        <n v="2351.67"/>
        <n v="1949.45"/>
        <n v="2430.9499999999998"/>
        <n v="2002.46"/>
        <n v="2110.54"/>
        <n v="2330.73"/>
        <n v="2420.36"/>
        <n v="2406.7600000000002"/>
        <n v="2240.06"/>
        <n v="2023.33"/>
        <n v="2190.4699999999998"/>
        <n v="2169.4899999999998"/>
        <n v="2074.36"/>
        <n v="2223.48"/>
        <n v="2023.87"/>
        <n v="1857.89"/>
        <n v="1887.97"/>
        <n v="2480.5"/>
        <n v="2437.98"/>
        <n v="2230.44"/>
        <n v="2339.4499999999998"/>
        <n v="2165.1999999999998"/>
        <n v="2207.14"/>
        <n v="2440.63"/>
        <n v="1939.6"/>
        <n v="2159.6799999999998"/>
        <n v="1866.98"/>
        <n v="1965"/>
        <n v="2341.29"/>
        <n v="2477.15"/>
        <n v="2056.39"/>
        <n v="2229.4299999999998"/>
        <n v="1996.33"/>
        <n v="2377.3200000000002"/>
        <n v="1870.31"/>
        <n v="1945.9"/>
        <n v="1995.52"/>
        <n v="2427.85"/>
        <n v="2241.71"/>
        <n v="2007.06"/>
        <n v="2394.42"/>
        <n v="2351.0100000000002"/>
        <n v="2116.29"/>
        <n v="1890.72"/>
        <n v="2057.65"/>
        <n v="2120.61"/>
        <n v="2460.9"/>
        <n v="1866.47"/>
        <n v="2037.13"/>
        <n v="1852.24"/>
        <n v="1878.49"/>
        <n v="1931.77"/>
        <n v="2151.2199999999998"/>
        <n v="1935.27"/>
        <n v="2153.41"/>
        <n v="2171.8200000000002"/>
        <n v="1967.27"/>
        <n v="1840.15"/>
        <n v="1951.06"/>
        <n v="2105.9299999999998"/>
        <n v="2103.61"/>
        <n v="2352.34"/>
        <n v="2389.7800000000002"/>
        <n v="2148.19"/>
        <n v="1949.84"/>
        <n v="2205.3200000000002"/>
        <n v="2182.69"/>
        <n v="1837.82"/>
        <n v="2352.91"/>
        <n v="1974.16"/>
        <n v="1972.86"/>
        <n v="2412.11"/>
        <n v="2041.93"/>
        <n v="1836.79"/>
        <n v="1865.88"/>
        <n v="2234.06"/>
        <n v="2064.64"/>
        <n v="2162.9499999999998"/>
        <n v="1840.26"/>
        <n v="2016.96"/>
        <n v="1960.35"/>
        <n v="2182.35"/>
        <n v="2271.23"/>
        <n v="2469.62"/>
        <n v="2123.96"/>
        <n v="2095.87"/>
        <n v="2276.2600000000002"/>
        <n v="2280.2800000000002"/>
        <n v="1806.77"/>
        <n v="2322.0100000000002"/>
        <n v="2340.42"/>
        <n v="1841.46"/>
        <n v="2471.21"/>
        <n v="2359.2199999999998"/>
        <n v="1870.44"/>
        <n v="2455.7600000000002"/>
        <n v="2017.08"/>
        <n v="1817.44"/>
        <n v="2264.29"/>
        <n v="2157.1799999999998"/>
        <n v="1852.57"/>
        <n v="2169.11"/>
        <n v="2291.06"/>
        <n v="2172.39"/>
        <n v="2368.17"/>
        <n v="2271.2800000000002"/>
        <n v="2022.2"/>
        <n v="2416.9499999999998"/>
        <n v="2077.0300000000002"/>
        <n v="2212.35"/>
        <n v="2300.9899999999998"/>
        <n v="2476.85"/>
        <n v="1958.61"/>
        <n v="2249.89"/>
        <n v="2214.19"/>
        <n v="1821.88"/>
        <n v="2428.81"/>
        <n v="2147.2399999999998"/>
        <n v="2493.0700000000002"/>
        <n v="2466.09"/>
        <n v="2037.91"/>
        <n v="2076.14"/>
        <n v="2123.3200000000002"/>
        <n v="2203.7399999999998"/>
        <n v="2032.51"/>
        <n v="1915.44"/>
        <n v="2207.96"/>
        <n v="2083.88"/>
        <n v="2497.02"/>
        <n v="2428.0500000000002"/>
        <n v="2108.67"/>
        <n v="2377.1"/>
        <n v="2245.6"/>
        <n v="2482.88"/>
        <n v="1820.5"/>
        <n v="2267.33"/>
        <n v="2102.13"/>
        <n v="2461"/>
        <n v="2187.5500000000002"/>
        <n v="1973.83"/>
        <n v="1812.72"/>
        <n v="2356.31"/>
        <n v="1854.96"/>
        <n v="2280.34"/>
        <n v="2084.59"/>
        <n v="1835.37"/>
        <n v="2334.5100000000002"/>
        <n v="1818.52"/>
        <n v="2086.0700000000002"/>
        <n v="2374.9299999999998"/>
        <n v="1910.55"/>
        <n v="2360.13"/>
        <n v="1807.92"/>
        <n v="2354.65"/>
        <n v="2454.7199999999998"/>
        <n v="2181.67"/>
        <n v="1830.96"/>
        <n v="1973.92"/>
        <n v="2242.16"/>
        <n v="2398.36"/>
        <n v="2471.7199999999998"/>
        <n v="1841.01"/>
        <n v="2269.5100000000002"/>
        <n v="2263.5300000000002"/>
        <n v="1980.36"/>
        <n v="2311.9"/>
        <n v="2498.14"/>
        <n v="1903.67"/>
        <n v="2258.5"/>
        <n v="2402.46"/>
        <n v="2344.79"/>
        <n v="2048.14"/>
        <n v="2152.94"/>
        <n v="2286.69"/>
        <n v="2494.59"/>
        <n v="2066.4499999999998"/>
        <n v="2208.54"/>
        <n v="1860.55"/>
        <n v="2230.06"/>
        <n v="2090.9899999999998"/>
        <n v="1813.22"/>
        <n v="2162.9299999999998"/>
        <n v="2068.7800000000002"/>
        <n v="2284.59"/>
        <n v="2182.77"/>
        <n v="1985.6"/>
        <n v="2494.52"/>
        <n v="2369"/>
        <n v="2083.7199999999998"/>
        <n v="1849.3"/>
        <n v="2212.3000000000002"/>
        <n v="2079.39"/>
        <n v="2155.87"/>
        <n v="2403.4"/>
        <n v="2128.77"/>
        <n v="2162.85"/>
        <n v="2139.56"/>
        <n v="2097.4499999999998"/>
        <n v="2042.15"/>
        <n v="1885.49"/>
        <n v="2287.8200000000002"/>
        <n v="2191.19"/>
        <n v="1936.24"/>
        <n v="2460.44"/>
        <n v="1814.05"/>
        <n v="2067.7600000000002"/>
        <n v="2412.1"/>
        <n v="2166.25"/>
        <n v="2204.29"/>
        <n v="2313.86"/>
        <n v="2003.15"/>
        <n v="2296.4299999999998"/>
        <n v="1930.87"/>
        <n v="2496.6799999999998"/>
        <n v="1855.65"/>
        <n v="2277.0500000000002"/>
        <n v="2406.86"/>
        <n v="1986.92"/>
        <n v="2362.5700000000002"/>
        <n v="2144.9899999999998"/>
        <n v="2438.5700000000002"/>
        <n v="2184.12"/>
        <n v="1887.6"/>
        <n v="2056.31"/>
        <n v="2499.3200000000002"/>
        <n v="1879.65"/>
        <n v="2332.96"/>
        <n v="2164.35"/>
        <n v="2304.0500000000002"/>
        <n v="2333.0100000000002"/>
        <n v="2257.75"/>
        <n v="1828.61"/>
        <n v="1885.59"/>
        <n v="2346.5700000000002"/>
        <n v="2359.38"/>
        <n v="2365.06"/>
        <n v="2166.96"/>
        <n v="1840.54"/>
        <n v="2023.67"/>
        <n v="2061.06"/>
        <n v="2490.0700000000002"/>
        <n v="1863.89"/>
        <n v="2202.58"/>
        <n v="2266.75"/>
        <n v="2046.66"/>
        <n v="1914.63"/>
        <n v="2443.9899999999998"/>
        <n v="1814.71"/>
        <n v="2253.64"/>
        <n v="2308.46"/>
        <n v="2008.36"/>
        <n v="2036.23"/>
        <n v="2261.4299999999998"/>
        <n v="2192.61"/>
        <n v="2281.4899999999998"/>
        <n v="1876.17"/>
        <n v="2418.31"/>
        <n v="1956.57"/>
        <n v="1931.61"/>
        <n v="2460.36"/>
        <n v="1889.65"/>
        <n v="2063.23"/>
        <n v="2347.77"/>
        <n v="2493.11"/>
        <n v="2417.0100000000002"/>
        <n v="2322.25"/>
        <n v="2095.6"/>
        <n v="2475.54"/>
        <n v="1886.85"/>
        <n v="2398.86"/>
        <n v="2447.5500000000002"/>
        <n v="2261.0300000000002"/>
        <n v="1982.51"/>
        <n v="1821.28"/>
        <n v="2078.85"/>
        <n v="2209.46"/>
        <n v="1900.84"/>
        <n v="2003.03"/>
        <n v="2166.0100000000002"/>
        <n v="1914.6"/>
        <n v="2212.83"/>
        <n v="2448.89"/>
        <n v="2116.39"/>
        <n v="2192.89"/>
        <n v="1907.88"/>
        <n v="2203.08"/>
        <n v="1903.63"/>
        <n v="2226.77"/>
        <n v="2381.7600000000002"/>
        <n v="2036.5"/>
        <n v="2451.2399999999998"/>
        <n v="2444.9499999999998"/>
        <n v="2187.42"/>
        <n v="2496.96"/>
        <n v="1917.21"/>
        <n v="2390.73"/>
        <n v="2352.4699999999998"/>
        <n v="2460.41"/>
        <n v="2011.86"/>
        <n v="2026.76"/>
        <n v="2259.92"/>
        <n v="2345.62"/>
        <n v="1936.55"/>
        <n v="2291.1"/>
        <n v="2337.5700000000002"/>
        <n v="2231.84"/>
        <n v="2176.46"/>
        <n v="1969.69"/>
        <n v="2110.2399999999998"/>
        <n v="2066.08"/>
        <n v="2084.98"/>
        <n v="1922.42"/>
        <n v="1903.16"/>
        <n v="1922.52"/>
        <n v="2361.09"/>
        <n v="2036.36"/>
        <n v="1937.02"/>
        <n v="1994.15"/>
        <n v="2268.16"/>
        <n v="2280.59"/>
        <n v="1872.13"/>
        <n v="2021.71"/>
        <n v="2227.3000000000002"/>
        <n v="1879.4"/>
        <n v="1911.53"/>
        <n v="1851.14"/>
        <n v="2319.46"/>
        <n v="2310.04"/>
        <n v="2478.7399999999998"/>
        <n v="2066.29"/>
        <n v="2349.37"/>
        <n v="2363.34"/>
        <n v="2257.85"/>
        <n v="2453.94"/>
        <n v="1950.14"/>
        <n v="2032.87"/>
        <n v="2128"/>
        <n v="1969.82"/>
        <n v="1804.36"/>
        <n v="2178.87"/>
        <n v="2394.1799999999998"/>
        <n v="2294.31"/>
        <n v="2146.36"/>
        <n v="2188.52"/>
        <n v="2105.67"/>
        <n v="2434.5"/>
        <n v="2433.81"/>
        <n v="2441.5300000000002"/>
        <n v="2425.36"/>
        <n v="1997.2"/>
        <n v="2410.29"/>
        <n v="2068.56"/>
        <n v="1982.19"/>
        <n v="2158.48"/>
        <n v="2430.29"/>
        <n v="2015.42"/>
        <n v="2365.94"/>
        <n v="2163.91"/>
        <n v="2394.0500000000002"/>
        <n v="1830.07"/>
        <n v="1815.07"/>
        <n v="2363.7399999999998"/>
        <n v="2207.5700000000002"/>
        <n v="1873.32"/>
        <n v="2182.73"/>
        <n v="2035.35"/>
        <n v="2219.4299999999998"/>
        <n v="2200.5700000000002"/>
        <n v="2411.67"/>
        <n v="2374.5100000000002"/>
        <n v="1807.71"/>
        <n v="2404.2199999999998"/>
        <n v="2344.21"/>
        <n v="2047.39"/>
        <n v="1963.93"/>
        <n v="2060.4299999999998"/>
        <n v="1914.33"/>
        <n v="1949.16"/>
        <n v="1810.34"/>
        <n v="1920.25"/>
        <n v="2401.14"/>
        <n v="2237.5300000000002"/>
        <n v="2101.1999999999998"/>
        <n v="2234.5500000000002"/>
        <n v="2218.02"/>
        <n v="2250.59"/>
        <n v="1961.2"/>
        <n v="2266.91"/>
        <n v="1804.82"/>
        <n v="2483.29"/>
        <n v="2069.2399999999998"/>
        <n v="2367.11"/>
        <n v="2073.35"/>
        <n v="1965.73"/>
        <n v="1958.44"/>
        <n v="2363.36"/>
        <n v="2273.39"/>
        <n v="1892.97"/>
        <n v="2116.6"/>
        <n v="2066.13"/>
        <n v="1830.47"/>
        <n v="2356.9299999999998"/>
        <n v="2235.33"/>
        <n v="2228.36"/>
        <n v="2376.87"/>
        <n v="2235.6999999999998"/>
        <n v="2236.56"/>
        <n v="1988.09"/>
        <n v="1919.8"/>
        <n v="2123.23"/>
        <n v="2070.19"/>
        <n v="2301.98"/>
        <n v="1885.72"/>
        <n v="1928.66"/>
        <n v="1895.01"/>
        <n v="1870.69"/>
        <n v="2394.08"/>
        <n v="1808.93"/>
        <n v="2280.8000000000002"/>
        <n v="2490.36"/>
        <n v="2463.66"/>
        <n v="1986.87"/>
        <n v="2289.92"/>
        <n v="1908.75"/>
        <n v="1956.47"/>
        <n v="2022.62"/>
        <n v="1801.97"/>
        <n v="2109.7800000000002"/>
        <n v="1880.95"/>
        <n v="1936.3"/>
        <n v="1902.85"/>
        <n v="2050.5100000000002"/>
        <n v="2054.5300000000002"/>
        <n v="2364.12"/>
        <n v="2204.0500000000002"/>
        <n v="1888.79"/>
        <n v="2069.34"/>
        <n v="2486.71"/>
        <n v="2248.1799999999998"/>
        <n v="2373.35"/>
        <n v="2194.48"/>
        <n v="1878.73"/>
        <n v="2147.8000000000002"/>
        <n v="1875.65"/>
        <n v="2217.62"/>
        <n v="2129.0100000000002"/>
        <n v="1836.68"/>
        <n v="2155.4699999999998"/>
        <n v="2435.9499999999998"/>
        <n v="2283.89"/>
        <n v="2419.31"/>
        <n v="2288.31"/>
        <n v="1875.27"/>
        <n v="2082.79"/>
        <n v="2222.4299999999998"/>
        <n v="1924"/>
        <n v="2271.35"/>
        <n v="2285.91"/>
        <n v="2393.14"/>
        <n v="2318.46"/>
        <n v="2330.61"/>
        <n v="1889.01"/>
        <n v="2400.6999999999998"/>
        <n v="2235.23"/>
        <n v="2095.1999999999998"/>
        <n v="2377.69"/>
        <n v="1917.7"/>
        <n v="1850.07"/>
        <n v="2052.6"/>
        <n v="2191.16"/>
        <n v="2081.5300000000002"/>
        <n v="2284.3000000000002"/>
        <n v="1960.78"/>
        <n v="2007.19"/>
        <n v="2491.71"/>
        <n v="2000.08"/>
        <n v="2300.2399999999998"/>
        <n v="2324.9499999999998"/>
        <n v="1982.37"/>
        <n v="1898.3"/>
        <n v="2382.36"/>
        <n v="2458.56"/>
        <n v="2121.23"/>
        <n v="2493.83"/>
        <n v="1863.57"/>
        <n v="2387.65"/>
        <n v="1922.01"/>
        <n v="2208.04"/>
        <n v="2196.33"/>
        <n v="2392.2600000000002"/>
        <n v="2351.98"/>
        <n v="1837.25"/>
        <n v="2096.04"/>
        <n v="1900.08"/>
        <n v="2239.71"/>
        <n v="2394.79"/>
        <n v="2206.88"/>
        <n v="1949.72"/>
        <n v="1805.29"/>
        <n v="2405.8200000000002"/>
        <n v="2163.1"/>
        <n v="2113.66"/>
        <n v="2092.6999999999998"/>
        <n v="2227.25"/>
        <n v="1848.96"/>
        <n v="2055.1999999999998"/>
        <n v="2048.64"/>
        <n v="2473.21"/>
        <n v="2197.7399999999998"/>
        <n v="2318.17"/>
        <n v="2434.6799999999998"/>
        <n v="1832.12"/>
        <n v="2156.69"/>
        <n v="2008.77"/>
        <n v="2179.12"/>
        <n v="2156.3000000000002"/>
        <n v="2399.29"/>
        <n v="2273.8000000000002"/>
        <n v="1839.68"/>
        <n v="2018.62"/>
        <n v="2265.4299999999998"/>
        <n v="2480.86"/>
        <n v="1927.81"/>
        <n v="2196.9"/>
        <n v="1935.42"/>
        <n v="2471.5700000000002"/>
        <n v="1802.07"/>
        <n v="2370.4"/>
        <n v="2383.29"/>
        <n v="2224.48"/>
        <n v="2255.94"/>
        <n v="1993.81"/>
        <n v="2045.75"/>
        <n v="2084.71"/>
        <n v="2186.86"/>
        <n v="2456.21"/>
        <n v="2103.4499999999998"/>
        <n v="2474.98"/>
        <n v="2082.17"/>
        <n v="1901.33"/>
        <n v="2473.42"/>
        <n v="2166.38"/>
        <n v="1902.35"/>
        <n v="2388.44"/>
        <n v="2227.04"/>
        <n v="1960.93"/>
        <n v="2490.38"/>
        <n v="2135.8200000000002"/>
        <n v="1809.04"/>
        <n v="2026.62"/>
        <n v="1873.3"/>
        <n v="2288.5100000000002"/>
        <n v="2175.04"/>
        <n v="2454.5300000000002"/>
        <n v="1953.43"/>
        <n v="1874.53"/>
        <n v="1887.31"/>
        <n v="2220.0700000000002"/>
        <n v="2310.02"/>
        <n v="2303.4699999999998"/>
        <n v="2025.93"/>
        <n v="2418.7800000000002"/>
        <n v="2365.69"/>
        <n v="2491.16"/>
        <n v="2225.09"/>
        <n v="2455.3200000000002"/>
        <n v="1969.77"/>
        <n v="2283.7399999999998"/>
        <n v="1895.19"/>
        <n v="2041.76"/>
        <n v="2455.4"/>
        <n v="2083.77"/>
        <n v="1858.59"/>
        <n v="2494.86"/>
        <n v="1962.57"/>
        <n v="2011.2"/>
        <n v="2200.5"/>
        <n v="2387.71"/>
        <n v="2177.84"/>
        <n v="2451.54"/>
        <n v="1891.96"/>
        <n v="2332.16"/>
        <n v="2094.83"/>
        <n v="1923.05"/>
        <n v="2072.6"/>
        <n v="1929.45"/>
        <n v="1995.99"/>
        <n v="2165.69"/>
        <n v="2150.06"/>
        <n v="2008.33"/>
        <n v="1986.4"/>
        <n v="2380.4"/>
        <n v="1937.44"/>
        <n v="2226.42"/>
        <n v="2436.92"/>
        <n v="2303.73"/>
        <n v="2089.33"/>
        <n v="2115.16"/>
        <n v="2401.7600000000002"/>
        <n v="2455.34"/>
        <n v="2172.7199999999998"/>
        <n v="2249.35"/>
        <n v="2341.0300000000002"/>
        <n v="1920.43"/>
        <n v="2315.9699999999998"/>
        <n v="1935.68"/>
        <n v="2462.14"/>
        <n v="2443.9299999999998"/>
        <n v="1960.12"/>
        <n v="2078.87"/>
        <n v="1955.77"/>
        <n v="2307.83"/>
        <n v="2154.25"/>
        <n v="2026.14"/>
        <n v="2124.17"/>
        <n v="2305.5500000000002"/>
        <n v="2116.65"/>
        <n v="2284.44"/>
        <n v="1951.14"/>
        <n v="2216.66"/>
        <n v="2415.8200000000002"/>
        <n v="1833.11"/>
        <n v="2352.59"/>
        <n v="2178.5100000000002"/>
        <n v="2171.42"/>
        <n v="2040.59"/>
        <n v="1963.05"/>
        <n v="1900"/>
        <n v="2373.09"/>
        <n v="1914.16"/>
        <n v="1949.5"/>
        <n v="2212.58"/>
        <n v="2255.86"/>
        <n v="2042.4"/>
        <n v="1936.26"/>
        <n v="2229.06"/>
        <n v="1950.69"/>
        <n v="2101.3000000000002"/>
        <n v="1948.46"/>
        <n v="2422.7800000000002"/>
        <n v="2412.04"/>
        <n v="2428.13"/>
        <n v="2264.27"/>
        <n v="2263.7800000000002"/>
        <n v="1864.81"/>
        <n v="2343.29"/>
        <n v="2140.12"/>
        <n v="2181.39"/>
        <n v="2436.39"/>
        <n v="1834.62"/>
        <n v="1951.39"/>
        <n v="2464.52"/>
        <n v="2202.77"/>
        <n v="2138.12"/>
        <n v="2396.37"/>
        <n v="1999.06"/>
        <n v="2174.27"/>
        <n v="2028.43"/>
        <n v="1991.37"/>
        <n v="2346.63"/>
        <n v="2251.89"/>
        <n v="2229.17"/>
        <n v="1857.3"/>
        <n v="1906.86"/>
        <n v="2434.63"/>
        <n v="2134.56"/>
        <n v="1982.66"/>
        <n v="2045.06"/>
        <n v="2294.34"/>
        <n v="2264"/>
        <n v="2348.59"/>
        <n v="2179.0100000000002"/>
        <n v="2475.2199999999998"/>
        <n v="1967.19"/>
        <n v="2235.4699999999998"/>
        <n v="2019.43"/>
        <n v="2247.09"/>
        <n v="2497.0100000000002"/>
        <n v="2418.21"/>
        <n v="1869.33"/>
        <n v="2193.15"/>
        <n v="1856.2"/>
        <n v="1802.53"/>
        <n v="2025.81"/>
        <n v="2397.9"/>
        <n v="2154.86"/>
        <n v="1997.65"/>
        <n v="1990.55"/>
        <n v="2065.9699999999998"/>
        <n v="2457.85"/>
        <n v="2353.71"/>
        <n v="1920.91"/>
        <n v="1814.97"/>
        <n v="1923.5"/>
        <n v="2039.56"/>
        <n v="1898.78"/>
        <n v="2105.7199999999998"/>
        <n v="2051.7800000000002"/>
        <n v="2455.89"/>
        <n v="1894.76"/>
        <n v="2483.0100000000002"/>
        <n v="2300.5500000000002"/>
        <n v="2400.0700000000002"/>
        <n v="1959.11"/>
        <n v="2080.06"/>
        <n v="2434.87"/>
        <n v="1892.15"/>
        <n v="2137.31"/>
        <n v="2438.63"/>
        <n v="2444.14"/>
        <n v="1932.28"/>
        <n v="2381.46"/>
        <n v="2295.77"/>
        <n v="2010.14"/>
        <n v="2298.34"/>
        <n v="1968.02"/>
        <n v="2328.08"/>
        <n v="2181.4899999999998"/>
        <n v="1900.1"/>
        <n v="2465.69"/>
        <n v="2062.25"/>
        <n v="2021.05"/>
        <n v="1887.23"/>
        <n v="1957.72"/>
        <n v="1845.51"/>
        <n v="2269.19"/>
        <n v="2333.4899999999998"/>
        <n v="2422.21"/>
        <n v="1843.84"/>
        <n v="1824.86"/>
        <n v="2239.62"/>
        <n v="2403"/>
        <n v="1875.76"/>
        <n v="1955.49"/>
        <n v="2273.94"/>
        <n v="2377.2399999999998"/>
        <n v="2121.92"/>
        <n v="1871.58"/>
        <n v="2496.7399999999998"/>
        <n v="2469.63"/>
        <n v="2333.2800000000002"/>
        <n v="2211.9499999999998"/>
        <n v="1947.02"/>
        <n v="2170.54"/>
        <n v="1976.44"/>
        <n v="2348.38"/>
        <n v="2206.4699999999998"/>
        <n v="1958.77"/>
        <n v="2191.13"/>
        <n v="1997.1"/>
        <n v="1826.4"/>
        <n v="1875.79"/>
        <n v="2428.4499999999998"/>
        <n v="2139.83"/>
        <n v="2031.82"/>
        <n v="2416.06"/>
        <n v="2158.4699999999998"/>
        <n v="1998.9"/>
        <n v="2005.12"/>
        <n v="2260.81"/>
        <n v="1894.49"/>
        <n v="2135.5700000000002"/>
        <n v="2424.19"/>
        <n v="1853.04"/>
        <n v="1862.15"/>
        <n v="2490.25"/>
        <n v="2380.0300000000002"/>
        <n v="1976.92"/>
        <n v="2450.06"/>
        <n v="2496.3000000000002"/>
        <n v="2328.2199999999998"/>
        <n v="2025.16"/>
        <n v="2211.86"/>
        <n v="2380.0700000000002"/>
        <n v="2184.9299999999998"/>
        <n v="2499.4899999999998"/>
        <n v="2217.41"/>
        <n v="2213.94"/>
        <n v="2183.44"/>
        <n v="2270.06"/>
        <n v="2090.4899999999998"/>
        <n v="2328.56"/>
        <n v="2000.26"/>
        <n v="1813.19"/>
        <n v="2183.9699999999998"/>
        <n v="2163.02"/>
        <n v="2151.48"/>
        <n v="2174.2800000000002"/>
        <n v="2271.19"/>
        <n v="2140.8200000000002"/>
        <n v="2451.79"/>
        <n v="2009.12"/>
        <n v="2368.29"/>
        <n v="2021.89"/>
        <n v="1803.81"/>
        <n v="2101.4499999999998"/>
        <n v="2466.92"/>
        <n v="2190.73"/>
        <n v="1829.75"/>
        <n v="1903.65"/>
        <n v="1829.37"/>
        <n v="2376.73"/>
        <n v="2153.17"/>
        <n v="2494.17"/>
        <n v="2155.67"/>
        <n v="2278.0500000000002"/>
        <n v="2242.0100000000002"/>
        <n v="2328.21"/>
        <n v="2355.4699999999998"/>
        <n v="2184.8200000000002"/>
        <n v="2091.21"/>
        <n v="1930.71"/>
        <n v="2235.4"/>
        <n v="2463.5300000000002"/>
        <n v="2144.19"/>
        <n v="2291.4"/>
        <n v="2016.35"/>
        <n v="2321.58"/>
        <n v="2446.48"/>
        <n v="1996.17"/>
        <n v="2185.9899999999998"/>
        <n v="2425.4499999999998"/>
        <n v="2405.5100000000002"/>
        <n v="2357.34"/>
        <n v="2043.68"/>
        <n v="2487.04"/>
        <n v="2434.71"/>
        <n v="1986.06"/>
        <n v="2053.1999999999998"/>
        <n v="2297.35"/>
        <n v="2212.98"/>
        <n v="2345.88"/>
        <n v="2036.66"/>
        <n v="2168.39"/>
        <n v="1886.95"/>
        <n v="2200.84"/>
        <n v="1953.56"/>
        <n v="1857.79"/>
        <n v="2074.52"/>
        <n v="1999.52"/>
        <n v="2201.42"/>
        <n v="2442.91"/>
        <n v="2475.1999999999998"/>
        <n v="1822.52"/>
        <n v="2001.2"/>
        <n v="2433.6"/>
        <n v="2149.7199999999998"/>
        <n v="1853.72"/>
        <n v="1844.42"/>
        <n v="2049.98"/>
        <n v="1936.71"/>
        <n v="1938.64"/>
        <n v="2070.3200000000002"/>
        <n v="2300.9699999999998"/>
        <n v="1918.04"/>
        <n v="1891.4"/>
        <n v="1869.14"/>
        <n v="2208.6799999999998"/>
        <n v="2360.27"/>
        <n v="2095.9899999999998"/>
        <n v="2172.98"/>
        <n v="2407.67"/>
        <n v="2271.48"/>
        <n v="2183.69"/>
        <n v="2326.0100000000002"/>
        <n v="1888.1"/>
        <n v="2119.4499999999998"/>
        <n v="2206.96"/>
        <n v="2118.84"/>
        <n v="2456.86"/>
        <n v="2238.54"/>
        <n v="2171.0300000000002"/>
        <n v="2103.9299999999998"/>
        <n v="2215.98"/>
        <n v="1879.26"/>
        <n v="2068.34"/>
        <n v="2413.7600000000002"/>
        <n v="2468.17"/>
        <n v="2177.48"/>
        <n v="2192.21"/>
        <n v="2461.86"/>
        <n v="2187.9299999999998"/>
        <n v="1922.79"/>
        <n v="2246.42"/>
        <n v="2358.09"/>
        <n v="1894.75"/>
        <n v="2175.1"/>
        <n v="1971.9"/>
        <n v="2216.71"/>
        <n v="2045.65"/>
        <n v="2031.86"/>
        <n v="1801.22"/>
        <n v="2069.77"/>
        <n v="2336.06"/>
        <n v="2044.23"/>
        <n v="1982.63"/>
        <n v="1936.78"/>
        <n v="2077.94"/>
        <n v="1961.69"/>
        <n v="2427.33"/>
        <n v="2316.0700000000002"/>
        <n v="2252.58"/>
        <n v="2135.38"/>
        <n v="2162.65"/>
        <n v="1826.37"/>
        <n v="2042.34"/>
        <n v="1946.61"/>
        <n v="2376.81"/>
        <n v="2060.4"/>
        <n v="2258.9499999999998"/>
        <n v="2270.66"/>
        <n v="2123.1"/>
        <n v="2126.61"/>
        <n v="1909.85"/>
        <n v="2151.1999999999998"/>
        <n v="1814.91"/>
        <n v="2156.08"/>
        <n v="2413.59"/>
        <n v="2043.91"/>
        <n v="2440.4899999999998"/>
        <n v="1918.75"/>
        <n v="1943.8"/>
        <n v="2065.4299999999998"/>
        <n v="2418.9299999999998"/>
        <n v="1818.53"/>
        <n v="1920.13"/>
        <n v="2141.52"/>
        <n v="2349.3000000000002"/>
        <n v="2209.1999999999998"/>
        <n v="2174.0300000000002"/>
        <n v="2211"/>
        <n v="2403.4899999999998"/>
        <n v="2419.38"/>
        <n v="2152.69"/>
        <n v="1879.63"/>
        <n v="2494.84"/>
        <n v="1961.86"/>
        <n v="2124.7600000000002"/>
        <n v="2321.88"/>
        <n v="2218.2600000000002"/>
        <n v="2018.1"/>
        <n v="2249.83"/>
        <n v="2260.9699999999998"/>
        <n v="2289.48"/>
        <n v="2262.16"/>
        <n v="2357.5500000000002"/>
        <n v="2394.3000000000002"/>
        <n v="2311.59"/>
        <n v="2223.6"/>
        <n v="2051.06"/>
        <n v="1901.25"/>
        <n v="2215.71"/>
        <n v="2112.4699999999998"/>
        <n v="2285.08"/>
        <n v="1860.28"/>
        <n v="1872.83"/>
        <n v="1903.4"/>
        <n v="2219.1999999999998"/>
        <n v="2057.36"/>
        <n v="2187.39"/>
        <n v="2142.41"/>
        <n v="2358.35"/>
        <n v="2288.4299999999998"/>
        <n v="2137.11"/>
        <n v="1989.92"/>
        <n v="2217.98"/>
        <n v="2466.33"/>
        <n v="2081.08"/>
        <n v="2374.9"/>
        <n v="2374.14"/>
        <n v="1899.28"/>
        <n v="2110.33"/>
        <n v="2007.21"/>
        <n v="2224.44"/>
        <n v="1964.14"/>
        <n v="2324.23"/>
        <n v="2221.9"/>
        <n v="2100.87"/>
        <n v="2262.39"/>
        <n v="2186.13"/>
        <n v="1849.19"/>
        <n v="2359.4899999999998"/>
        <n v="2024.87"/>
        <n v="2128.15"/>
        <n v="2470.9499999999998"/>
        <n v="2484.2199999999998"/>
        <n v="2073.4499999999998"/>
        <n v="2326.42"/>
        <n v="2168.3000000000002"/>
        <n v="2382.25"/>
        <n v="2444.17"/>
        <n v="2326.37"/>
        <n v="2479.33"/>
        <n v="2353.85"/>
        <n v="1983.03"/>
        <n v="2407.66"/>
        <n v="2246.77"/>
        <n v="1954.58"/>
        <n v="1972.62"/>
        <n v="1956.53"/>
        <n v="2348.98"/>
        <n v="2231.04"/>
        <n v="2461.2199999999998"/>
        <n v="2029.29"/>
        <n v="1900.18"/>
        <n v="2129.04"/>
        <n v="2434.36"/>
        <n v="2356.27"/>
        <n v="2404.42"/>
        <n v="2025.31"/>
        <n v="2171.46"/>
        <n v="2103.63"/>
        <n v="2261.9"/>
        <n v="2352.37"/>
        <n v="2206.79"/>
        <n v="1945.25"/>
        <n v="2221.14"/>
        <n v="2446.21"/>
        <n v="1872.76"/>
        <n v="1945.4"/>
        <n v="2197.9499999999998"/>
        <n v="1985.28"/>
        <n v="2252.41"/>
        <n v="2081.5"/>
        <n v="1996.7"/>
        <n v="2200.7600000000002"/>
        <n v="2232.7399999999998"/>
        <n v="2478.88"/>
        <n v="2244.52"/>
        <n v="2487.7399999999998"/>
        <n v="2162.5300000000002"/>
        <n v="1937.58"/>
        <n v="2240.6999999999998"/>
        <n v="2072.62"/>
        <n v="1978.82"/>
        <n v="2071.62"/>
        <n v="1901.23"/>
        <n v="1930.93"/>
        <n v="2161"/>
        <n v="1954.19"/>
        <n v="2091.2399999999998"/>
        <n v="2042.89"/>
        <n v="2029.93"/>
        <n v="2107.1999999999998"/>
        <n v="2298.36"/>
        <n v="1808.17"/>
        <n v="2478.11"/>
        <n v="2134.8200000000002"/>
        <n v="1947.64"/>
        <n v="1912"/>
        <n v="2065"/>
        <n v="2330.0300000000002"/>
        <n v="2249.0500000000002"/>
        <n v="2407.54"/>
        <n v="2440.62"/>
        <n v="2176.58"/>
        <n v="1869.52"/>
        <n v="1935.53"/>
        <n v="1864.64"/>
        <n v="2057.09"/>
        <n v="2429.63"/>
        <n v="2091.5300000000002"/>
        <n v="2233.2199999999998"/>
        <n v="2419.14"/>
        <n v="2348.17"/>
        <n v="2425.46"/>
        <n v="2186.0100000000002"/>
        <n v="2378.94"/>
        <n v="2002.32"/>
        <n v="1810.1"/>
        <n v="2436.86"/>
        <n v="2034.08"/>
        <n v="2089.06"/>
        <n v="2321.84"/>
        <n v="2304.7199999999998"/>
        <n v="2138.4699999999998"/>
        <n v="1906.79"/>
        <n v="2053.6799999999998"/>
        <n v="2202.63"/>
        <n v="1822.62"/>
        <n v="2154.3200000000002"/>
        <n v="2097.94"/>
        <n v="2444.5700000000002"/>
        <n v="2351.2199999999998"/>
        <n v="2061.12"/>
        <n v="1846.47"/>
        <n v="2005.37"/>
        <n v="2135.84"/>
        <n v="2361.89"/>
        <n v="2308.66"/>
        <n v="2030.06"/>
        <n v="1953.89"/>
        <n v="1954.98"/>
        <n v="2017.28"/>
        <n v="2235.81"/>
        <n v="1863.27"/>
        <n v="2225.84"/>
        <n v="2166.6"/>
        <n v="2247.4699999999998"/>
        <n v="2189.87"/>
        <n v="2372.85"/>
        <n v="2112.2399999999998"/>
        <n v="2157.41"/>
        <n v="2060.06"/>
        <n v="2459.58"/>
        <n v="2247.5500000000002"/>
        <n v="2340.09"/>
        <n v="2116.66"/>
        <n v="2334.0100000000002"/>
        <n v="2400.9899999999998"/>
        <n v="1816.07"/>
        <n v="2354.71"/>
        <n v="1892.85"/>
        <n v="1824.7"/>
        <n v="2313.52"/>
        <n v="2380.1"/>
        <n v="1986.42"/>
        <n v="1879.68"/>
        <n v="2277.85"/>
        <n v="2088.7399999999998"/>
        <n v="1912.74"/>
        <n v="1923.9"/>
        <n v="2365.73"/>
        <n v="2051.4699999999998"/>
        <n v="2241.64"/>
        <n v="2285.35"/>
        <n v="2017.79"/>
        <n v="2248.09"/>
        <n v="1914.89"/>
        <n v="2238.1"/>
        <n v="1870.41"/>
        <n v="2324.34"/>
        <n v="1995.29"/>
        <n v="2465.86"/>
        <n v="1963.48"/>
        <n v="1930.22"/>
        <n v="2369.17"/>
        <n v="1906.76"/>
        <n v="2061.96"/>
        <n v="2062.7399999999998"/>
        <n v="2498.34"/>
        <n v="2032.33"/>
        <n v="2078.2600000000002"/>
        <n v="2494.9899999999998"/>
        <n v="2179.4299999999998"/>
        <n v="2111.86"/>
        <n v="2334.46"/>
        <n v="2293.29"/>
        <n v="2312.61"/>
        <n v="2037.81"/>
        <n v="2181.2800000000002"/>
        <n v="1838.3"/>
        <n v="2435.73"/>
        <n v="2160.25"/>
        <n v="2035.38"/>
        <n v="1834.2"/>
        <n v="1995.78"/>
        <n v="2196.35"/>
        <n v="2165.84"/>
        <n v="2210.19"/>
        <n v="1963.06"/>
        <n v="2209.7600000000002"/>
        <n v="2020.32"/>
        <n v="2378.3200000000002"/>
        <n v="2193.67"/>
        <n v="1974.58"/>
        <n v="2036.76"/>
        <n v="1876.33"/>
        <n v="2317.04"/>
        <n v="2044.14"/>
        <n v="2130.71"/>
        <n v="1971.05"/>
        <n v="2319.84"/>
        <n v="2421.36"/>
        <n v="2246.5"/>
        <n v="2432.8000000000002"/>
        <n v="1938.65"/>
        <n v="2023.29"/>
        <n v="2074.89"/>
        <n v="2141.58"/>
        <n v="1922"/>
        <n v="2180.15"/>
        <n v="2455.09"/>
        <n v="1987.22"/>
        <n v="2276.02"/>
        <n v="2047.15"/>
        <n v="2352.61"/>
        <n v="2313.77"/>
        <n v="2469.17"/>
        <n v="2484.09"/>
        <n v="1906.73"/>
        <n v="2035.09"/>
        <n v="2497.62"/>
        <n v="1909.6"/>
        <n v="1980.53"/>
        <n v="2116.58"/>
        <n v="1977.56"/>
        <n v="2402.71"/>
        <n v="1906.32"/>
        <n v="1827.3"/>
        <n v="2004.03"/>
        <n v="2269.9699999999998"/>
        <n v="2180.8200000000002"/>
        <n v="2329.17"/>
        <n v="2355.91"/>
        <n v="2365.14"/>
        <n v="2457.16"/>
        <n v="1985.08"/>
        <n v="1992.34"/>
        <n v="2427.08"/>
        <n v="2432.33"/>
        <n v="2383.2600000000002"/>
        <n v="2473.04"/>
        <n v="2497.29"/>
        <n v="2169.48"/>
        <n v="2325.09"/>
        <n v="2151.4299999999998"/>
        <n v="1919.7"/>
        <n v="2092.71"/>
        <n v="2356.33"/>
        <n v="2025.59"/>
        <n v="2111.64"/>
        <n v="2334.29"/>
        <n v="2464.56"/>
        <n v="2447.21"/>
        <n v="2076.34"/>
        <n v="2426.54"/>
        <n v="2429.73"/>
        <n v="2121.4499999999998"/>
        <n v="1850.31"/>
        <n v="2113.54"/>
        <n v="2386.37"/>
        <n v="2323.1999999999998"/>
        <n v="2455.36"/>
        <n v="2372.9"/>
        <n v="2401.67"/>
        <n v="1881.52"/>
        <n v="2227.0500000000002"/>
        <n v="2295.8200000000002"/>
        <n v="1902.27"/>
        <n v="2143.17"/>
        <n v="2196.4499999999998"/>
        <n v="2442.0700000000002"/>
        <n v="2277.9299999999998"/>
        <n v="1880.24"/>
        <n v="2316.6"/>
        <n v="1846.67"/>
        <n v="2114.3200000000002"/>
        <n v="2274.46"/>
        <n v="2442.42"/>
        <n v="2395.25"/>
        <n v="1946.67"/>
        <n v="2096.65"/>
        <n v="2003.33"/>
        <n v="2138.37"/>
        <n v="2411.91"/>
        <n v="1954.48"/>
        <n v="1928.44"/>
        <n v="2464.9699999999998"/>
        <n v="1880.34"/>
        <n v="2318.91"/>
        <n v="2466.38"/>
        <n v="2082.9299999999998"/>
        <n v="1901.21"/>
        <n v="2027.17"/>
        <n v="2245.33"/>
        <n v="2195.7800000000002"/>
        <n v="2196.34"/>
        <n v="2106.4499999999998"/>
        <n v="1815.41"/>
        <n v="1918.97"/>
        <n v="2243.33"/>
        <n v="2340.66"/>
        <n v="2381.59"/>
        <n v="2121.2600000000002"/>
        <n v="2489.65"/>
        <n v="2461.38"/>
        <n v="2223.91"/>
        <n v="2387.09"/>
        <n v="2026.48"/>
        <n v="2398.92"/>
        <n v="2308.92"/>
        <n v="2478.36"/>
        <n v="2001.96"/>
        <n v="2474.17"/>
        <n v="2069.98"/>
        <n v="2479.41"/>
        <n v="2202.2399999999998"/>
        <n v="2322.17"/>
        <n v="1883.32"/>
        <n v="2477.7199999999998"/>
        <n v="2113.02"/>
        <n v="2375.44"/>
        <n v="2149.02"/>
        <n v="2030.43"/>
        <n v="2057.35"/>
        <n v="2438.36"/>
        <n v="1961.38"/>
        <n v="2190.66"/>
        <n v="2316.2399999999998"/>
        <n v="1963.26"/>
        <n v="2142.73"/>
        <n v="2142.58"/>
        <n v="1937.69"/>
        <n v="1978.43"/>
        <n v="2256.3200000000002"/>
        <n v="2282.4699999999998"/>
        <n v="2242.12"/>
        <n v="2340.9499999999998"/>
        <n v="2109.56"/>
        <n v="1861.87"/>
        <n v="2007.26"/>
        <n v="2212.5500000000002"/>
        <n v="2080.87"/>
        <n v="2234.04"/>
        <n v="2316.19"/>
        <n v="2489.83"/>
        <n v="1973.22"/>
        <n v="2303.6"/>
        <n v="1859.68"/>
        <n v="1967.05"/>
        <n v="2096.13"/>
        <n v="1828.8"/>
        <n v="2187.13"/>
        <n v="2115.6999999999998"/>
        <n v="2379.48"/>
        <n v="2135.2399999999998"/>
        <n v="2130.8000000000002"/>
        <n v="2356.5"/>
        <n v="1805.2"/>
        <n v="2222.7199999999998"/>
        <n v="1920.82"/>
        <n v="2304.02"/>
        <n v="2446.54"/>
        <n v="2442.88"/>
        <n v="2187.2600000000002"/>
        <n v="2018.68"/>
        <n v="1940.72"/>
        <n v="1870.85"/>
        <n v="2232.29"/>
        <n v="2489.2600000000002"/>
        <n v="1835.6"/>
        <n v="2173.88"/>
        <n v="1844.98"/>
        <n v="1937.23"/>
        <n v="2388.92"/>
        <n v="2150.4699999999998"/>
        <n v="1903.86"/>
        <n v="1866.2"/>
        <n v="1988.5"/>
        <n v="1813.61"/>
        <n v="2445.23"/>
        <n v="2143.8200000000002"/>
        <n v="2413.41"/>
        <n v="2061.0700000000002"/>
        <n v="2026.65"/>
        <n v="2312.3000000000002"/>
        <n v="2104.46"/>
        <n v="2317.94"/>
        <n v="2224.77"/>
        <n v="2475.23"/>
        <n v="1899.87"/>
        <n v="1845.36"/>
        <n v="2075.46"/>
        <n v="2080.11"/>
        <n v="2167.1"/>
        <n v="1967.49"/>
        <n v="2420.9699999999998"/>
        <n v="1912.76"/>
        <n v="2168.56"/>
        <n v="1907.24"/>
        <n v="2104.4299999999998"/>
        <n v="2041.38"/>
        <n v="2075.3000000000002"/>
        <n v="2070.9699999999998"/>
        <n v="1810.41"/>
        <n v="1876.18"/>
        <n v="2350.11"/>
        <n v="2218.94"/>
        <n v="2418.63"/>
        <n v="2217.11"/>
        <n v="2399.33"/>
        <n v="2049.9699999999998"/>
        <n v="1937.27"/>
        <n v="2454.61"/>
        <n v="2066.21"/>
        <n v="2050.2399999999998"/>
        <n v="2481.67"/>
        <n v="2397.71"/>
        <n v="2376.52"/>
        <n v="2377.4899999999998"/>
        <n v="2370.66"/>
        <n v="2114.6"/>
        <n v="2158.65"/>
        <n v="2393.77"/>
        <n v="1993.08"/>
        <n v="2069.13"/>
        <n v="2198.04"/>
        <n v="1979.89"/>
        <n v="1893.7"/>
        <n v="2049.27"/>
        <n v="2289.17"/>
        <n v="1953.55"/>
        <n v="2123.77"/>
        <n v="2074.41"/>
        <n v="2162.8200000000002"/>
        <n v="2313.71"/>
        <n v="2095.13"/>
        <n v="1925.33"/>
        <n v="2222.35"/>
        <n v="2498.3200000000002"/>
        <n v="2076.02"/>
        <n v="1902.18"/>
        <n v="1970.48"/>
        <n v="2252.25"/>
        <n v="1985.86"/>
        <n v="2444.0300000000002"/>
        <n v="2063.09"/>
        <n v="2385.88"/>
        <n v="2468.16"/>
        <n v="2112.37"/>
        <n v="1988.55"/>
        <n v="2110.17"/>
        <n v="2323.39"/>
        <n v="1907.59"/>
        <n v="2463.8000000000002"/>
        <n v="2008.04"/>
        <n v="1881.46"/>
        <n v="2346.59"/>
        <n v="1965.45"/>
        <n v="1908.4"/>
        <n v="1843.18"/>
        <n v="1919.39"/>
        <n v="2054.35"/>
        <n v="1890.83"/>
        <n v="2230.98"/>
        <n v="2160.38"/>
        <n v="2301.73"/>
        <n v="2090.88"/>
        <n v="1828.81"/>
        <n v="1946.04"/>
        <n v="2307.63"/>
        <n v="1817.58"/>
        <n v="1919.28"/>
        <n v="1886.44"/>
        <n v="2311.7399999999998"/>
        <n v="1916.17"/>
        <n v="1885.35"/>
        <n v="2333"/>
        <n v="2036.45"/>
        <n v="2470.73"/>
        <n v="2064.0500000000002"/>
        <n v="2111.14"/>
        <n v="2187.86"/>
        <n v="2313.79"/>
        <n v="1896.13"/>
        <n v="2292.66"/>
        <n v="2384.0500000000002"/>
        <n v="2418.5300000000002"/>
        <n v="2242.71"/>
        <n v="2327.7399999999998"/>
        <n v="2284.91"/>
        <n v="2222.19"/>
        <n v="2061.9699999999998"/>
        <n v="2315.7600000000002"/>
        <n v="2270.59"/>
        <n v="2108.5"/>
        <n v="2471.98"/>
        <n v="1868.39"/>
        <n v="2246.36"/>
        <n v="2293.4499999999998"/>
        <n v="1879.01"/>
        <n v="2086.58"/>
        <n v="1835.89"/>
        <n v="2028.74"/>
        <n v="2135.67"/>
        <n v="1972.13"/>
        <n v="2113.4499999999998"/>
        <n v="1839.36"/>
        <n v="2156.11"/>
        <n v="1944.22"/>
        <n v="1823.36"/>
        <n v="2304.66"/>
        <n v="2354.9499999999998"/>
        <n v="1845.75"/>
        <n v="2013.52"/>
        <n v="2046.57"/>
        <n v="2123.91"/>
        <n v="1857.98"/>
        <n v="2007.66"/>
        <n v="1901.42"/>
        <n v="2338.2199999999998"/>
        <n v="2038.95"/>
        <n v="1977.59"/>
        <n v="2221.25"/>
        <n v="2421.89"/>
        <n v="1942.32"/>
        <n v="1943.99"/>
        <n v="2295.13"/>
        <n v="2172.19"/>
        <n v="1893"/>
        <n v="2140.9699999999998"/>
        <n v="2364.0500000000002"/>
        <n v="2441.04"/>
        <n v="2250.71"/>
        <n v="2443.5500000000002"/>
        <n v="2172.06"/>
        <n v="2132.08"/>
        <n v="1971.09"/>
        <n v="1844.99"/>
        <n v="1874.38"/>
        <n v="1985.34"/>
        <n v="2120.87"/>
        <n v="1961.82"/>
        <n v="2418.0100000000002"/>
        <n v="2178.5300000000002"/>
        <n v="1903.08"/>
        <n v="2108.23"/>
        <n v="1903.1"/>
        <n v="2247.15"/>
        <n v="2230.61"/>
        <n v="1954.38"/>
        <n v="1811.27"/>
        <n v="2186.23"/>
        <n v="1813.31"/>
        <n v="2053.04"/>
        <n v="2454.5700000000002"/>
        <n v="2066.92"/>
        <n v="2045.66"/>
        <n v="2341.06"/>
        <n v="2330.4"/>
        <n v="2310.14"/>
        <n v="2131.5100000000002"/>
        <n v="2122.85"/>
        <n v="2061.1"/>
        <n v="2376.4499999999998"/>
        <n v="2453.9699999999998"/>
        <n v="2109.5300000000002"/>
        <n v="1968.79"/>
        <n v="2407.88"/>
        <n v="1893.75"/>
        <n v="2340.9699999999998"/>
        <n v="2499.7399999999998"/>
        <n v="1902.99"/>
        <n v="2263.38"/>
        <n v="1980.02"/>
        <n v="2404.27"/>
        <n v="1808.6"/>
        <n v="2494.9499999999998"/>
        <n v="2477.09"/>
        <n v="2166.61"/>
        <n v="2122.6"/>
        <n v="2343.85"/>
        <n v="2027.97"/>
        <n v="2427.62"/>
        <n v="2108.27"/>
        <n v="2101.21"/>
        <n v="1948.42"/>
        <n v="2437.92"/>
        <n v="2309.9899999999998"/>
        <n v="1810.43"/>
        <n v="2371.7399999999998"/>
        <n v="2408.13"/>
        <n v="2194.09"/>
        <n v="2151.13"/>
        <n v="2091.31"/>
        <n v="1856.35"/>
        <n v="2299.9699999999998"/>
        <n v="2404.31"/>
        <n v="2012.86"/>
        <n v="2252.1799999999998"/>
        <n v="1807.61"/>
        <n v="2416.52"/>
        <n v="1920.42"/>
        <n v="2018.95"/>
        <n v="2096"/>
        <n v="1934.9"/>
        <n v="2062.66"/>
        <n v="1965.91"/>
        <n v="2259.37"/>
        <n v="2259.56"/>
        <n v="2094.67"/>
        <n v="2352.4899999999998"/>
        <n v="2007.4"/>
        <n v="2459.67"/>
        <n v="2050.5500000000002"/>
        <n v="2197.59"/>
        <n v="2109.7600000000002"/>
        <n v="2155.48"/>
        <n v="2450.02"/>
        <n v="2378.35"/>
        <n v="1811.62"/>
        <n v="2184.42"/>
        <n v="2114.66"/>
        <n v="2148.94"/>
        <n v="2396.71"/>
        <n v="1819.46"/>
        <n v="2478.39"/>
        <n v="2085.16"/>
        <n v="1919.46"/>
        <n v="2044.09"/>
        <n v="2217.1799999999998"/>
        <n v="2034.48"/>
        <n v="2437.96"/>
        <n v="2208.83"/>
        <n v="1864.5"/>
        <n v="2404.75"/>
        <n v="2446.85"/>
        <n v="2272.5700000000002"/>
        <n v="2028.77"/>
        <n v="1922.99"/>
        <n v="2215.63"/>
        <n v="2167.31"/>
        <n v="2046.6"/>
        <n v="1862.95"/>
        <n v="2004"/>
        <n v="1803.94"/>
        <n v="2490.66"/>
        <n v="1819.86"/>
      </sharedItems>
    </cacheField>
    <cacheField name="Stock_Index" numFmtId="0">
      <sharedItems containsSemiMixedTypes="0" containsString="0" containsNumber="1" containsInteger="1" minValue="64001" maxValue="75995" count="1857">
        <n v="66784"/>
        <n v="66594"/>
        <n v="73016"/>
        <n v="67818"/>
        <n v="72736"/>
        <n v="69725"/>
        <n v="69966"/>
        <n v="70330"/>
        <n v="75551"/>
        <n v="66846"/>
        <n v="65671"/>
        <n v="68366"/>
        <n v="64247"/>
        <n v="75629"/>
        <n v="67089"/>
        <n v="64903"/>
        <n v="75465"/>
        <n v="69905"/>
        <n v="70155"/>
        <n v="69341"/>
        <n v="65762"/>
        <n v="64034"/>
        <n v="71250"/>
        <n v="70586"/>
        <n v="64605"/>
        <n v="71349"/>
        <n v="66464"/>
        <n v="74502"/>
        <n v="68482"/>
        <n v="72264"/>
        <n v="71432"/>
        <n v="66603"/>
        <n v="68217"/>
        <n v="69351"/>
        <n v="68036"/>
        <n v="69442"/>
        <n v="75815"/>
        <n v="65068"/>
        <n v="67400"/>
        <n v="74692"/>
        <n v="70086"/>
        <n v="70944"/>
        <n v="69072"/>
        <n v="70364"/>
        <n v="69860"/>
        <n v="64452"/>
        <n v="73422"/>
        <n v="70482"/>
        <n v="69615"/>
        <n v="75247"/>
        <n v="70901"/>
        <n v="66667"/>
        <n v="73978"/>
        <n v="66142"/>
        <n v="71352"/>
        <n v="65356"/>
        <n v="68873"/>
        <n v="65507"/>
        <n v="68500"/>
        <n v="64478"/>
        <n v="71603"/>
        <n v="74647"/>
        <n v="65259"/>
        <n v="73501"/>
        <n v="64373"/>
        <n v="75444"/>
        <n v="64644"/>
        <n v="68987"/>
        <n v="70830"/>
        <n v="69135"/>
        <n v="67648"/>
        <n v="73245"/>
        <n v="73222"/>
        <n v="67910"/>
        <n v="74105"/>
        <n v="69165"/>
        <n v="70698"/>
        <n v="73735"/>
        <n v="66310"/>
        <n v="70504"/>
        <n v="67552"/>
        <n v="66606"/>
        <n v="66864"/>
        <n v="66545"/>
        <n v="69272"/>
        <n v="65437"/>
        <n v="67789"/>
        <n v="67713"/>
        <n v="75426"/>
        <n v="71576"/>
        <n v="73420"/>
        <n v="66699"/>
        <n v="72777"/>
        <n v="74019"/>
        <n v="64859"/>
        <n v="64412"/>
        <n v="72799"/>
        <n v="67877"/>
        <n v="72711"/>
        <n v="67993"/>
        <n v="68019"/>
        <n v="67359"/>
        <n v="64445"/>
        <n v="74247"/>
        <n v="75369"/>
        <n v="73261"/>
        <n v="65984"/>
        <n v="75336"/>
        <n v="74567"/>
        <n v="69861"/>
        <n v="65092"/>
        <n v="67620"/>
        <n v="68513"/>
        <n v="67960"/>
        <n v="75995"/>
        <n v="69496"/>
        <n v="74649"/>
        <n v="75962"/>
        <n v="66401"/>
        <n v="68151"/>
        <n v="74679"/>
        <n v="73266"/>
        <n v="69993"/>
        <n v="64461"/>
        <n v="71466"/>
        <n v="68437"/>
        <n v="71168"/>
        <n v="72178"/>
        <n v="75915"/>
        <n v="75832"/>
        <n v="74389"/>
        <n v="68392"/>
        <n v="64534"/>
        <n v="75068"/>
        <n v="75695"/>
        <n v="66817"/>
        <n v="66513"/>
        <n v="70899"/>
        <n v="65617"/>
        <n v="72565"/>
        <n v="73206"/>
        <n v="68649"/>
        <n v="72581"/>
        <n v="71176"/>
        <n v="67238"/>
        <n v="65030"/>
        <n v="72722"/>
        <n v="68197"/>
        <n v="65272"/>
        <n v="67033"/>
        <n v="75781"/>
        <n v="71513"/>
        <n v="71310"/>
        <n v="74312"/>
        <n v="68806"/>
        <n v="71042"/>
        <n v="70247"/>
        <n v="71130"/>
        <n v="68269"/>
        <n v="71494"/>
        <n v="65781"/>
        <n v="66757"/>
        <n v="66892"/>
        <n v="73982"/>
        <n v="66477"/>
        <n v="64245"/>
        <n v="66352"/>
        <n v="68654"/>
        <n v="68412"/>
        <n v="68280"/>
        <n v="74452"/>
        <n v="74899"/>
        <n v="71597"/>
        <n v="70683"/>
        <n v="73996"/>
        <n v="67323"/>
        <n v="71727"/>
        <n v="74122"/>
        <n v="68087"/>
        <n v="73554"/>
        <n v="67179"/>
        <n v="70522"/>
        <n v="71374"/>
        <n v="64829"/>
        <n v="67987"/>
        <n v="74825"/>
        <n v="65365"/>
        <n v="73806"/>
        <n v="73090"/>
        <n v="75359"/>
        <n v="72023"/>
        <n v="74002"/>
        <n v="75390"/>
        <n v="75765"/>
        <n v="65611"/>
        <n v="71677"/>
        <n v="65234"/>
        <n v="73754"/>
        <n v="64116"/>
        <n v="72705"/>
        <n v="66933"/>
        <n v="68037"/>
        <n v="64640"/>
        <n v="65523"/>
        <n v="69573"/>
        <n v="66749"/>
        <n v="75343"/>
        <n v="68706"/>
        <n v="64639"/>
        <n v="69485"/>
        <n v="64676"/>
        <n v="74589"/>
        <n v="67202"/>
        <n v="65867"/>
        <n v="74013"/>
        <n v="66909"/>
        <n v="74995"/>
        <n v="69004"/>
        <n v="64794"/>
        <n v="67286"/>
        <n v="66825"/>
        <n v="69646"/>
        <n v="75317"/>
        <n v="71594"/>
        <n v="66777"/>
        <n v="70442"/>
        <n v="73159"/>
        <n v="74000"/>
        <n v="68297"/>
        <n v="66015"/>
        <n v="75584"/>
        <n v="73198"/>
        <n v="68905"/>
        <n v="65538"/>
        <n v="64033"/>
        <n v="66463"/>
        <n v="65243"/>
        <n v="74778"/>
        <n v="69574"/>
        <n v="66928"/>
        <n v="73464"/>
        <n v="74165"/>
        <n v="71994"/>
        <n v="64470"/>
        <n v="69189"/>
        <n v="72746"/>
        <n v="73511"/>
        <n v="73231"/>
        <n v="68055"/>
        <n v="74678"/>
        <n v="66096"/>
        <n v="68760"/>
        <n v="70418"/>
        <n v="70783"/>
        <n v="74409"/>
        <n v="72868"/>
        <n v="75017"/>
        <n v="70029"/>
        <n v="68363"/>
        <n v="64350"/>
        <n v="68111"/>
        <n v="71779"/>
        <n v="71974"/>
        <n v="70178"/>
        <n v="64001"/>
        <n v="66694"/>
        <n v="64686"/>
        <n v="66880"/>
        <n v="65595"/>
        <n v="64681"/>
        <n v="70230"/>
        <n v="72126"/>
        <n v="72529"/>
        <n v="67788"/>
        <n v="68435"/>
        <n v="72993"/>
        <n v="74838"/>
        <n v="66117"/>
        <n v="72012"/>
        <n v="64634"/>
        <n v="72784"/>
        <n v="64852"/>
        <n v="71213"/>
        <n v="65370"/>
        <n v="72952"/>
        <n v="74317"/>
        <n v="70534"/>
        <n v="69352"/>
        <n v="72621"/>
        <n v="70397"/>
        <n v="75784"/>
        <n v="64714"/>
        <n v="66768"/>
        <n v="68472"/>
        <n v="69400"/>
        <n v="65361"/>
        <n v="71558"/>
        <n v="64447"/>
        <n v="65859"/>
        <n v="74273"/>
        <n v="66298"/>
        <n v="65494"/>
        <n v="74761"/>
        <n v="73280"/>
        <n v="75402"/>
        <n v="70718"/>
        <n v="68595"/>
        <n v="69181"/>
        <n v="72759"/>
        <n v="72618"/>
        <n v="65568"/>
        <n v="65706"/>
        <n v="69300"/>
        <n v="75188"/>
        <n v="68933"/>
        <n v="68822"/>
        <n v="71136"/>
        <n v="64702"/>
        <n v="70721"/>
        <n v="65453"/>
        <n v="65545"/>
        <n v="66075"/>
        <n v="70201"/>
        <n v="73549"/>
        <n v="66389"/>
        <n v="67988"/>
        <n v="75287"/>
        <n v="64499"/>
        <n v="64539"/>
        <n v="65916"/>
        <n v="75346"/>
        <n v="66851"/>
        <n v="69519"/>
        <n v="72888"/>
        <n v="69858"/>
        <n v="71020"/>
        <n v="73777"/>
        <n v="66635"/>
        <n v="65845"/>
        <n v="69205"/>
        <n v="66677"/>
        <n v="72782"/>
        <n v="71748"/>
        <n v="67423"/>
        <n v="64043"/>
        <n v="71913"/>
        <n v="73527"/>
        <n v="66798"/>
        <n v="68492"/>
        <n v="74246"/>
        <n v="73004"/>
        <n v="70543"/>
        <n v="74864"/>
        <n v="65192"/>
        <n v="65840"/>
        <n v="69168"/>
        <n v="68535"/>
        <n v="72509"/>
        <n v="68893"/>
        <n v="66519"/>
        <n v="64696"/>
        <n v="64564"/>
        <n v="64427"/>
        <n v="69659"/>
        <n v="72542"/>
        <n v="67725"/>
        <n v="75788"/>
        <n v="64456"/>
        <n v="64944"/>
        <n v="66168"/>
        <n v="67129"/>
        <n v="75562"/>
        <n v="75394"/>
        <n v="64106"/>
        <n v="74766"/>
        <n v="65401"/>
        <n v="70449"/>
        <n v="73255"/>
        <n v="68077"/>
        <n v="66365"/>
        <n v="69050"/>
        <n v="74294"/>
        <n v="70211"/>
        <n v="73789"/>
        <n v="65372"/>
        <n v="66872"/>
        <n v="74231"/>
        <n v="66092"/>
        <n v="70289"/>
        <n v="75880"/>
        <n v="66569"/>
        <n v="75176"/>
        <n v="75868"/>
        <n v="64808"/>
        <n v="66297"/>
        <n v="64578"/>
        <n v="65988"/>
        <n v="66983"/>
        <n v="66636"/>
        <n v="74046"/>
        <n v="64261"/>
        <n v="67659"/>
        <n v="66095"/>
        <n v="71159"/>
        <n v="71471"/>
        <n v="69251"/>
        <n v="71591"/>
        <n v="74068"/>
        <n v="67705"/>
        <n v="66292"/>
        <n v="67156"/>
        <n v="67554"/>
        <n v="71861"/>
        <n v="68829"/>
        <n v="67147"/>
        <n v="72103"/>
        <n v="65115"/>
        <n v="72271"/>
        <n v="69837"/>
        <n v="74471"/>
        <n v="69148"/>
        <n v="68644"/>
        <n v="67040"/>
        <n v="74086"/>
        <n v="74418"/>
        <n v="74646"/>
        <n v="75938"/>
        <n v="67170"/>
        <n v="66330"/>
        <n v="75546"/>
        <n v="72755"/>
        <n v="70546"/>
        <n v="75582"/>
        <n v="73931"/>
        <n v="75618"/>
        <n v="73433"/>
        <n v="75886"/>
        <n v="71639"/>
        <n v="69124"/>
        <n v="71054"/>
        <n v="73478"/>
        <n v="66385"/>
        <n v="72310"/>
        <n v="73424"/>
        <n v="71355"/>
        <n v="64995"/>
        <n v="66254"/>
        <n v="72242"/>
        <n v="69836"/>
        <n v="70625"/>
        <n v="67805"/>
        <n v="73943"/>
        <n v="75436"/>
        <n v="65058"/>
        <n v="65383"/>
        <n v="68990"/>
        <n v="68133"/>
        <n v="70077"/>
        <n v="70898"/>
        <n v="73326"/>
        <n v="66230"/>
        <n v="72009"/>
        <n v="65360"/>
        <n v="72774"/>
        <n v="75675"/>
        <n v="75594"/>
        <n v="64666"/>
        <n v="65495"/>
        <n v="70261"/>
        <n v="72116"/>
        <n v="65473"/>
        <n v="70206"/>
        <n v="73101"/>
        <n v="68779"/>
        <n v="64363"/>
        <n v="71722"/>
        <n v="75238"/>
        <n v="71320"/>
        <n v="72080"/>
        <n v="66451"/>
        <n v="64772"/>
        <n v="64849"/>
        <n v="68172"/>
        <n v="70062"/>
        <n v="70368"/>
        <n v="74553"/>
        <n v="73010"/>
        <n v="69915"/>
        <n v="74599"/>
        <n v="66640"/>
        <n v="64077"/>
        <n v="75720"/>
        <n v="70794"/>
        <n v="66803"/>
        <n v="74020"/>
        <n v="67371"/>
        <n v="66978"/>
        <n v="70658"/>
        <n v="72251"/>
        <n v="74240"/>
        <n v="73638"/>
        <n v="66967"/>
        <n v="66274"/>
        <n v="70609"/>
        <n v="72587"/>
        <n v="75737"/>
        <n v="67380"/>
        <n v="64132"/>
        <n v="75438"/>
        <n v="66531"/>
        <n v="69156"/>
        <n v="73998"/>
        <n v="68916"/>
        <n v="70639"/>
        <n v="70999"/>
        <n v="71327"/>
        <n v="68902"/>
        <n v="72208"/>
        <n v="70385"/>
        <n v="67498"/>
        <n v="71821"/>
        <n v="64201"/>
        <n v="69684"/>
        <n v="68400"/>
        <n v="75655"/>
        <n v="75069"/>
        <n v="73770"/>
        <n v="73011"/>
        <n v="68857"/>
        <n v="67408"/>
        <n v="71657"/>
        <n v="66723"/>
        <n v="68908"/>
        <n v="68934"/>
        <n v="73121"/>
        <n v="73160"/>
        <n v="65712"/>
        <n v="75984"/>
        <n v="71307"/>
        <n v="69751"/>
        <n v="75651"/>
        <n v="73751"/>
        <n v="68819"/>
        <n v="70676"/>
        <n v="64567"/>
        <n v="65209"/>
        <n v="64475"/>
        <n v="73838"/>
        <n v="67833"/>
        <n v="73253"/>
        <n v="72808"/>
        <n v="69702"/>
        <n v="75553"/>
        <n v="72583"/>
        <n v="73614"/>
        <n v="65511"/>
        <n v="67490"/>
        <n v="68473"/>
        <n v="69523"/>
        <n v="67351"/>
        <n v="65603"/>
        <n v="71638"/>
        <n v="64764"/>
        <n v="67896"/>
        <n v="69945"/>
        <n v="75568"/>
        <n v="65180"/>
        <n v="65295"/>
        <n v="65444"/>
        <n v="70336"/>
        <n v="71817"/>
        <n v="75353"/>
        <n v="70716"/>
        <n v="73602"/>
        <n v="73045"/>
        <n v="70870"/>
        <n v="69616"/>
        <n v="66613"/>
        <n v="74756"/>
        <n v="70399"/>
        <n v="66981"/>
        <n v="66954"/>
        <n v="64593"/>
        <n v="69155"/>
        <n v="66982"/>
        <n v="72620"/>
        <n v="72852"/>
        <n v="68551"/>
        <n v="65872"/>
        <n v="67585"/>
        <n v="74584"/>
        <n v="71918"/>
        <n v="73672"/>
        <n v="68640"/>
        <n v="73504"/>
        <n v="64958"/>
        <n v="67315"/>
        <n v="70875"/>
        <n v="68863"/>
        <n v="65648"/>
        <n v="64342"/>
        <n v="67908"/>
        <n v="66849"/>
        <n v="70611"/>
        <n v="74757"/>
        <n v="74334"/>
        <n v="70805"/>
        <n v="73332"/>
        <n v="65917"/>
        <n v="75521"/>
        <n v="66243"/>
        <n v="72158"/>
        <n v="70674"/>
        <n v="69830"/>
        <n v="73612"/>
        <n v="70857"/>
        <n v="70850"/>
        <n v="69887"/>
        <n v="75529"/>
        <n v="70408"/>
        <n v="64277"/>
        <n v="71187"/>
        <n v="65122"/>
        <n v="75352"/>
        <n v="66219"/>
        <n v="64464"/>
        <n v="67593"/>
        <n v="64273"/>
        <n v="72180"/>
        <n v="75534"/>
        <n v="73970"/>
        <n v="75661"/>
        <n v="69870"/>
        <n v="71047"/>
        <n v="75905"/>
        <n v="73798"/>
        <n v="71470"/>
        <n v="75603"/>
        <n v="67487"/>
        <n v="66805"/>
        <n v="75876"/>
        <n v="67419"/>
        <n v="67034"/>
        <n v="74571"/>
        <n v="69206"/>
        <n v="69316"/>
        <n v="69386"/>
        <n v="72078"/>
        <n v="71619"/>
        <n v="72791"/>
        <n v="69402"/>
        <n v="66294"/>
        <n v="66178"/>
        <n v="75096"/>
        <n v="75033"/>
        <n v="71362"/>
        <n v="66503"/>
        <n v="71403"/>
        <n v="64798"/>
        <n v="66629"/>
        <n v="67368"/>
        <n v="74659"/>
        <n v="70193"/>
        <n v="67083"/>
        <n v="64490"/>
        <n v="74196"/>
        <n v="67261"/>
        <n v="70864"/>
        <n v="73871"/>
        <n v="71879"/>
        <n v="64059"/>
        <n v="67963"/>
        <n v="73495"/>
        <n v="65354"/>
        <n v="68608"/>
        <n v="72091"/>
        <n v="64753"/>
        <n v="67266"/>
        <n v="71759"/>
        <n v="72474"/>
        <n v="67174"/>
        <n v="68138"/>
        <n v="75795"/>
        <n v="68798"/>
        <n v="65883"/>
        <n v="66126"/>
        <n v="68323"/>
        <n v="68116"/>
        <n v="68351"/>
        <n v="75161"/>
        <n v="65789"/>
        <n v="69814"/>
        <n v="68179"/>
        <n v="65440"/>
        <n v="71834"/>
        <n v="70895"/>
        <n v="75109"/>
        <n v="73129"/>
        <n v="70070"/>
        <n v="73726"/>
        <n v="71208"/>
        <n v="75449"/>
        <n v="66022"/>
        <n v="69764"/>
        <n v="73661"/>
        <n v="68606"/>
        <n v="67453"/>
        <n v="73404"/>
        <n v="74178"/>
        <n v="74513"/>
        <n v="68889"/>
        <n v="73809"/>
        <n v="66779"/>
        <n v="70110"/>
        <n v="67857"/>
        <n v="70841"/>
        <n v="67389"/>
        <n v="75412"/>
        <n v="73799"/>
        <n v="65178"/>
        <n v="65325"/>
        <n v="74530"/>
        <n v="67881"/>
        <n v="67975"/>
        <n v="70961"/>
        <n v="67739"/>
        <n v="67653"/>
        <n v="71161"/>
        <n v="68648"/>
        <n v="66645"/>
        <n v="64193"/>
        <n v="70340"/>
        <n v="67422"/>
        <n v="65347"/>
        <n v="66988"/>
        <n v="70912"/>
        <n v="70244"/>
        <n v="67250"/>
        <n v="71462"/>
        <n v="68165"/>
        <n v="66916"/>
        <n v="69408"/>
        <n v="72914"/>
        <n v="67749"/>
        <n v="72351"/>
        <n v="68244"/>
        <n v="72714"/>
        <n v="71272"/>
        <n v="66576"/>
        <n v="70720"/>
        <n v="74181"/>
        <n v="69392"/>
        <n v="75445"/>
        <n v="71787"/>
        <n v="68340"/>
        <n v="75166"/>
        <n v="66600"/>
        <n v="69428"/>
        <n v="73446"/>
        <n v="72627"/>
        <n v="64895"/>
        <n v="66002"/>
        <n v="70210"/>
        <n v="74615"/>
        <n v="67397"/>
        <n v="70653"/>
        <n v="66827"/>
        <n v="73315"/>
        <n v="70293"/>
        <n v="73058"/>
        <n v="75045"/>
        <n v="64415"/>
        <n v="73690"/>
        <n v="71440"/>
        <n v="67328"/>
        <n v="74605"/>
        <n v="70079"/>
        <n v="69081"/>
        <n v="66682"/>
        <n v="72878"/>
        <n v="69895"/>
        <n v="75080"/>
        <n v="72661"/>
        <n v="69306"/>
        <n v="73095"/>
        <n v="65651"/>
        <n v="64487"/>
        <n v="72379"/>
        <n v="69441"/>
        <n v="70568"/>
        <n v="67171"/>
        <n v="70684"/>
        <n v="64542"/>
        <n v="75034"/>
        <n v="69191"/>
        <n v="75892"/>
        <n v="74592"/>
        <n v="74886"/>
        <n v="67030"/>
        <n v="74189"/>
        <n v="65947"/>
        <n v="72430"/>
        <n v="70341"/>
        <n v="75318"/>
        <n v="72688"/>
        <n v="67216"/>
        <n v="69321"/>
        <n v="68046"/>
        <n v="74559"/>
        <n v="74493"/>
        <n v="64582"/>
        <n v="66167"/>
        <n v="68669"/>
        <n v="66580"/>
        <n v="74386"/>
        <n v="68410"/>
        <n v="71556"/>
        <n v="68263"/>
        <n v="69474"/>
        <n v="71559"/>
        <n v="65152"/>
        <n v="65660"/>
        <n v="70847"/>
        <n v="68384"/>
        <n v="67249"/>
        <n v="65390"/>
        <n v="73064"/>
        <n v="72975"/>
        <n v="74511"/>
        <n v="75705"/>
        <n v="69325"/>
        <n v="70195"/>
        <n v="64372"/>
        <n v="69147"/>
        <n v="66945"/>
        <n v="67052"/>
        <n v="75264"/>
        <n v="64202"/>
        <n v="71948"/>
        <n v="71886"/>
        <n v="74905"/>
        <n v="66878"/>
        <n v="68423"/>
        <n v="66507"/>
        <n v="71725"/>
        <n v="66532"/>
        <n v="67572"/>
        <n v="71433"/>
        <n v="69770"/>
        <n v="73176"/>
        <n v="66006"/>
        <n v="69023"/>
        <n v="74726"/>
        <n v="73193"/>
        <n v="74166"/>
        <n v="75673"/>
        <n v="68643"/>
        <n v="70088"/>
        <n v="75664"/>
        <n v="73235"/>
        <n v="65085"/>
        <n v="70995"/>
        <n v="66919"/>
        <n v="70440"/>
        <n v="74894"/>
        <n v="66950"/>
        <n v="70366"/>
        <n v="73443"/>
        <n v="72483"/>
        <n v="75328"/>
        <n v="73946"/>
        <n v="71830"/>
        <n v="65797"/>
        <n v="71194"/>
        <n v="71584"/>
        <n v="66014"/>
        <n v="71564"/>
        <n v="64726"/>
        <n v="67543"/>
        <n v="68925"/>
        <n v="68035"/>
        <n v="64935"/>
        <n v="69029"/>
        <n v="75315"/>
        <n v="67409"/>
        <n v="66915"/>
        <n v="65445"/>
        <n v="70176"/>
        <n v="64197"/>
        <n v="67472"/>
        <n v="64667"/>
        <n v="72974"/>
        <n v="65284"/>
        <n v="64689"/>
        <n v="67066"/>
        <n v="65744"/>
        <n v="72278"/>
        <n v="72404"/>
        <n v="71394"/>
        <n v="74078"/>
        <n v="71421"/>
        <n v="72485"/>
        <n v="64044"/>
        <n v="68633"/>
        <n v="73339"/>
        <n v="73468"/>
        <n v="66083"/>
        <n v="72765"/>
        <n v="70746"/>
        <n v="70821"/>
        <n v="72044"/>
        <n v="72920"/>
        <n v="73903"/>
        <n v="68855"/>
        <n v="74366"/>
        <n v="71441"/>
        <n v="75430"/>
        <n v="66593"/>
        <n v="64866"/>
        <n v="67528"/>
        <n v="70324"/>
        <n v="74265"/>
        <n v="65606"/>
        <n v="67450"/>
        <n v="72313"/>
        <n v="64355"/>
        <n v="67346"/>
        <n v="72305"/>
        <n v="66113"/>
        <n v="67375"/>
        <n v="70334"/>
        <n v="64049"/>
        <n v="74865"/>
        <n v="69978"/>
        <n v="67255"/>
        <n v="70001"/>
        <n v="71605"/>
        <n v="71149"/>
        <n v="64337"/>
        <n v="70726"/>
        <n v="65844"/>
        <n v="73316"/>
        <n v="72309"/>
        <n v="73842"/>
        <n v="74954"/>
        <n v="68929"/>
        <n v="70037"/>
        <n v="69658"/>
        <n v="65417"/>
        <n v="64649"/>
        <n v="70027"/>
        <n v="67530"/>
        <n v="75727"/>
        <n v="71940"/>
        <n v="72859"/>
        <n v="67019"/>
        <n v="67834"/>
        <n v="70851"/>
        <n v="69225"/>
        <n v="75638"/>
        <n v="74746"/>
        <n v="74129"/>
        <n v="71920"/>
        <n v="66164"/>
        <n v="65474"/>
        <n v="68866"/>
        <n v="64583"/>
        <n v="64699"/>
        <n v="69826"/>
        <n v="72613"/>
        <n v="69188"/>
        <n v="67926"/>
        <n v="65731"/>
        <n v="68105"/>
        <n v="75204"/>
        <n v="72892"/>
        <n v="70299"/>
        <n v="71129"/>
        <n v="71499"/>
        <n v="64213"/>
        <n v="72976"/>
        <n v="71206"/>
        <n v="73508"/>
        <n v="67474"/>
        <n v="66098"/>
        <n v="75930"/>
        <n v="65411"/>
        <n v="71242"/>
        <n v="65532"/>
        <n v="71590"/>
        <n v="74492"/>
        <n v="75761"/>
        <n v="71139"/>
        <n v="69308"/>
        <n v="75604"/>
        <n v="66951"/>
        <n v="69715"/>
        <n v="72071"/>
        <n v="72026"/>
        <n v="64844"/>
        <n v="69244"/>
        <n v="71425"/>
        <n v="75007"/>
        <n v="73840"/>
        <n v="70635"/>
        <n v="67527"/>
        <n v="73263"/>
        <n v="66807"/>
        <n v="66643"/>
        <n v="64597"/>
        <n v="74718"/>
        <n v="70348"/>
        <n v="72959"/>
        <n v="74509"/>
        <n v="65629"/>
        <n v="72088"/>
        <n v="66810"/>
        <n v="72511"/>
        <n v="72390"/>
        <n v="75794"/>
        <n v="72225"/>
        <n v="65001"/>
        <n v="66393"/>
        <n v="71763"/>
        <n v="64243"/>
        <n v="66793"/>
        <n v="73850"/>
        <n v="75396"/>
        <n v="73528"/>
        <n v="69326"/>
        <n v="64677"/>
        <n v="74645"/>
        <n v="70569"/>
        <n v="66726"/>
        <n v="68793"/>
        <n v="66391"/>
        <n v="72739"/>
        <n v="70205"/>
        <n v="66674"/>
        <n v="73752"/>
        <n v="70742"/>
        <n v="72441"/>
        <n v="69334"/>
        <n v="67031"/>
        <n v="72937"/>
        <n v="72058"/>
        <n v="67241"/>
        <n v="75411"/>
        <n v="73637"/>
        <n v="65090"/>
        <n v="73541"/>
        <n v="65521"/>
        <n v="67480"/>
        <n v="67626"/>
        <n v="64708"/>
        <n v="67140"/>
        <n v="64224"/>
        <n v="64153"/>
        <n v="69131"/>
        <n v="65804"/>
        <n v="75226"/>
        <n v="66461"/>
        <n v="64472"/>
        <n v="70431"/>
        <n v="74145"/>
        <n v="66860"/>
        <n v="73330"/>
        <n v="71566"/>
        <n v="73455"/>
        <n v="65992"/>
        <n v="71998"/>
        <n v="66482"/>
        <n v="68514"/>
        <n v="74120"/>
        <n v="72644"/>
        <n v="65351"/>
        <n v="71094"/>
        <n v="71145"/>
        <n v="74088"/>
        <n v="65298"/>
        <n v="72127"/>
        <n v="74362"/>
        <n v="74040"/>
        <n v="68720"/>
        <n v="64008"/>
        <n v="72056"/>
        <n v="68271"/>
        <n v="71803"/>
        <n v="67258"/>
        <n v="71240"/>
        <n v="66392"/>
        <n v="75375"/>
        <n v="73430"/>
        <n v="65249"/>
        <n v="72894"/>
        <n v="71188"/>
        <n v="66841"/>
        <n v="66811"/>
        <n v="70048"/>
        <n v="71719"/>
        <n v="75066"/>
        <n v="70128"/>
        <n v="72207"/>
        <n v="73449"/>
        <n v="67256"/>
        <n v="69739"/>
        <n v="67481"/>
        <n v="64685"/>
        <n v="68256"/>
        <n v="67243"/>
        <n v="64650"/>
        <n v="74587"/>
        <n v="73065"/>
        <n v="73388"/>
        <n v="72905"/>
        <n v="73105"/>
        <n v="75624"/>
        <n v="67248"/>
        <n v="71451"/>
        <n v="73026"/>
        <n v="69927"/>
        <n v="75496"/>
        <n v="73147"/>
        <n v="64328"/>
        <n v="67533"/>
        <n v="67352"/>
        <n v="70826"/>
        <n v="71265"/>
        <n v="72882"/>
        <n v="73146"/>
        <n v="72190"/>
        <n v="67859"/>
        <n v="72021"/>
        <n v="66628"/>
        <n v="68686"/>
        <n v="73440"/>
        <n v="73721"/>
        <n v="67568"/>
        <n v="65232"/>
        <n v="72035"/>
        <n v="68286"/>
        <n v="75251"/>
        <n v="71046"/>
        <n v="75843"/>
        <n v="65100"/>
        <n v="72895"/>
        <n v="65594"/>
        <n v="71585"/>
        <n v="69302"/>
        <n v="66229"/>
        <n v="66914"/>
        <n v="70796"/>
        <n v="75149"/>
        <n v="69177"/>
        <n v="68900"/>
        <n v="70106"/>
        <n v="75020"/>
        <n v="69223"/>
        <n v="64943"/>
        <n v="66247"/>
        <n v="66465"/>
        <n v="75031"/>
        <n v="67848"/>
        <n v="64970"/>
        <n v="65483"/>
        <n v="67687"/>
        <n v="69480"/>
        <n v="64679"/>
        <n v="71109"/>
        <n v="75606"/>
        <n v="73402"/>
        <n v="73108"/>
        <n v="68005"/>
        <n v="64393"/>
        <n v="67642"/>
        <n v="69504"/>
        <n v="67395"/>
        <n v="74800"/>
        <n v="69727"/>
        <n v="71038"/>
        <n v="67316"/>
        <n v="72209"/>
        <n v="68326"/>
        <n v="74394"/>
        <n v="74934"/>
        <n v="74016"/>
        <n v="74218"/>
        <n v="68980"/>
        <n v="73700"/>
        <n v="65166"/>
        <n v="66534"/>
        <n v="73986"/>
        <n v="72566"/>
        <n v="66085"/>
        <n v="70577"/>
        <n v="66201"/>
        <n v="71070"/>
        <n v="70505"/>
        <n v="66621"/>
        <n v="67319"/>
        <n v="75260"/>
        <n v="74103"/>
        <n v="66625"/>
        <n v="71216"/>
        <n v="65857"/>
        <n v="71726"/>
        <n v="70775"/>
        <n v="65274"/>
        <n v="70811"/>
        <n v="75682"/>
        <n v="66337"/>
        <n v="68770"/>
        <n v="72412"/>
        <n v="73281"/>
        <n v="72234"/>
        <n v="67622"/>
        <n v="64117"/>
        <n v="72149"/>
        <n v="72697"/>
        <n v="72163"/>
        <n v="71040"/>
        <n v="75168"/>
        <n v="71348"/>
        <n v="66797"/>
        <n v="67671"/>
        <n v="66233"/>
        <n v="69255"/>
        <n v="66285"/>
        <n v="74350"/>
        <n v="67638"/>
        <n v="75201"/>
        <n v="67463"/>
        <n v="73887"/>
        <n v="73106"/>
        <n v="71577"/>
        <n v="66018"/>
        <n v="75362"/>
        <n v="73256"/>
        <n v="75406"/>
        <n v="67862"/>
        <n v="75767"/>
        <n v="70458"/>
        <n v="68306"/>
        <n v="71975"/>
        <n v="71528"/>
        <n v="74889"/>
        <n v="68529"/>
        <n v="73321"/>
        <n v="66262"/>
        <n v="75937"/>
        <n v="68614"/>
        <n v="65228"/>
        <n v="66795"/>
        <n v="67686"/>
        <n v="70647"/>
        <n v="71328"/>
        <n v="70717"/>
        <n v="66246"/>
        <n v="64104"/>
        <n v="73707"/>
        <n v="67826"/>
        <n v="67008"/>
        <n v="74586"/>
        <n v="67551"/>
        <n v="73580"/>
        <n v="75253"/>
        <n v="64062"/>
        <n v="72943"/>
        <n v="75206"/>
        <n v="72004"/>
        <n v="75854"/>
        <n v="67429"/>
        <n v="73385"/>
        <n v="75833"/>
        <n v="69958"/>
        <n v="65795"/>
        <n v="74079"/>
        <n v="70969"/>
        <n v="74150"/>
        <n v="70137"/>
        <n v="69975"/>
        <n v="70633"/>
        <n v="67476"/>
        <n v="69427"/>
        <n v="66508"/>
        <n v="75878"/>
        <n v="72556"/>
        <n v="75897"/>
        <n v="65116"/>
        <n v="67200"/>
        <n v="67794"/>
        <n v="70880"/>
        <n v="72287"/>
        <n v="72525"/>
        <n v="72182"/>
        <n v="70764"/>
        <n v="73979"/>
        <n v="69656"/>
        <n v="70628"/>
        <n v="71606"/>
        <n v="64489"/>
        <n v="66721"/>
        <n v="66266"/>
        <n v="73893"/>
        <n v="70829"/>
        <n v="69231"/>
        <n v="64349"/>
        <n v="71296"/>
        <n v="67755"/>
        <n v="72107"/>
        <n v="74524"/>
        <n v="65089"/>
        <n v="65296"/>
        <n v="72164"/>
        <n v="65769"/>
        <n v="74799"/>
        <n v="72452"/>
        <n v="70745"/>
        <n v="72986"/>
        <n v="68642"/>
        <n v="67119"/>
        <n v="65051"/>
        <n v="71096"/>
        <n v="70170"/>
        <n v="64721"/>
        <n v="74263"/>
        <n v="72616"/>
        <n v="70347"/>
        <n v="72267"/>
        <n v="65172"/>
        <n v="73157"/>
        <n v="73308"/>
        <n v="75404"/>
        <n v="66755"/>
        <n v="74897"/>
        <n v="66026"/>
        <n v="64704"/>
        <n v="70763"/>
        <n v="64660"/>
        <n v="75545"/>
        <n v="68859"/>
        <n v="68839"/>
        <n v="71460"/>
        <n v="65759"/>
        <n v="75312"/>
        <n v="72563"/>
        <n v="64982"/>
        <n v="67832"/>
        <n v="65906"/>
        <n v="71381"/>
        <n v="66527"/>
        <n v="65734"/>
        <n v="75463"/>
        <n v="65157"/>
        <n v="68814"/>
        <n v="75208"/>
        <n v="74310"/>
        <n v="64025"/>
        <n v="74569"/>
        <n v="67182"/>
        <n v="69956"/>
        <n v="70204"/>
        <n v="69295"/>
        <n v="70498"/>
        <n v="71142"/>
        <n v="73047"/>
        <n v="69324"/>
        <n v="65780"/>
        <n v="70146"/>
        <n v="74583"/>
        <n v="69961"/>
        <n v="73833"/>
        <n v="65111"/>
        <n v="70656"/>
        <n v="65724"/>
        <n v="69534"/>
        <n v="71661"/>
        <n v="67726"/>
        <n v="67432"/>
        <n v="66537"/>
        <n v="64516"/>
        <n v="67657"/>
        <n v="66215"/>
        <n v="64590"/>
        <n v="73558"/>
        <n v="70453"/>
        <n v="72033"/>
        <n v="72521"/>
        <n v="65276"/>
        <n v="71137"/>
        <n v="69644"/>
        <n v="67691"/>
        <n v="65400"/>
        <n v="75609"/>
        <n v="70475"/>
        <n v="71764"/>
        <n v="75405"/>
        <n v="72250"/>
        <n v="71299"/>
        <n v="74558"/>
        <n v="64775"/>
        <n v="68428"/>
        <n v="75916"/>
        <n v="68596"/>
        <n v="69798"/>
        <n v="71480"/>
        <n v="73617"/>
        <n v="64139"/>
        <n v="64501"/>
        <n v="73778"/>
        <n v="65191"/>
        <n v="66646"/>
        <n v="64502"/>
        <n v="64727"/>
        <n v="75085"/>
        <n v="71163"/>
        <n v="74200"/>
        <n v="66073"/>
        <n v="70918"/>
        <n v="72470"/>
        <n v="69596"/>
        <n v="75841"/>
        <n v="69797"/>
        <n v="75267"/>
        <n v="66268"/>
        <n v="70257"/>
        <n v="75979"/>
        <n v="72617"/>
        <n v="66435"/>
        <n v="67252"/>
        <n v="72639"/>
        <n v="72495"/>
        <n v="68758"/>
        <n v="65794"/>
        <n v="65793"/>
        <n v="66870"/>
        <n v="67042"/>
        <n v="72664"/>
        <n v="73000"/>
        <n v="73900"/>
        <n v="74612"/>
        <n v="64292"/>
        <n v="70318"/>
        <n v="66012"/>
        <n v="75752"/>
        <n v="66064"/>
        <n v="69512"/>
        <n v="74168"/>
        <n v="75803"/>
        <n v="70164"/>
        <n v="67050"/>
        <n v="69932"/>
        <n v="64959"/>
        <n v="72304"/>
        <n v="71232"/>
        <n v="71498"/>
        <n v="74400"/>
        <n v="64119"/>
        <n v="68756"/>
        <n v="66132"/>
        <n v="64750"/>
        <n v="74846"/>
        <n v="71807"/>
        <n v="68408"/>
        <n v="66969"/>
        <n v="72991"/>
        <n v="66345"/>
        <n v="64212"/>
        <n v="74021"/>
        <n v="65621"/>
        <n v="69628"/>
        <n v="66922"/>
        <n v="68057"/>
        <n v="71430"/>
        <n v="70545"/>
        <n v="65630"/>
        <n v="64108"/>
        <n v="71057"/>
        <n v="71822"/>
        <n v="73254"/>
        <n v="75542"/>
        <n v="71419"/>
        <n v="70893"/>
        <n v="74147"/>
        <n v="74998"/>
        <n v="72395"/>
        <n v="69143"/>
        <n v="70667"/>
        <n v="75598"/>
        <n v="73958"/>
        <n v="71245"/>
        <n v="65181"/>
        <n v="74545"/>
        <n v="74854"/>
        <n v="75169"/>
        <n v="73642"/>
        <n v="68737"/>
        <n v="65747"/>
        <n v="67427"/>
        <n v="71118"/>
        <n v="74978"/>
        <n v="71960"/>
        <n v="72718"/>
        <n v="70511"/>
        <n v="66448"/>
        <n v="68701"/>
        <n v="65148"/>
        <n v="68344"/>
        <n v="64954"/>
        <n v="75021"/>
        <n v="66038"/>
        <n v="64152"/>
        <n v="65050"/>
        <n v="73691"/>
        <n v="64886"/>
        <n v="74729"/>
        <n v="72864"/>
        <n v="75903"/>
        <n v="64883"/>
        <n v="66306"/>
        <n v="69279"/>
        <n v="70695"/>
        <n v="72869"/>
        <n v="64335"/>
        <n v="69812"/>
        <n v="73785"/>
        <n v="72200"/>
        <n v="69633"/>
        <n v="68530"/>
        <n v="73031"/>
        <n v="66956"/>
        <n v="67509"/>
        <n v="74237"/>
        <n v="70242"/>
        <n v="71323"/>
        <n v="67354"/>
        <n v="69054"/>
        <n v="73148"/>
        <n v="74531"/>
        <n v="68171"/>
        <n v="72786"/>
        <n v="67783"/>
        <n v="73018"/>
        <n v="67947"/>
        <n v="64790"/>
        <n v="71908"/>
        <n v="64932"/>
        <n v="71205"/>
        <n v="74598"/>
        <n v="75163"/>
        <n v="73847"/>
        <n v="74429"/>
        <n v="74482"/>
        <n v="74577"/>
        <n v="72778"/>
        <n v="66994"/>
        <n v="69842"/>
        <n v="65623"/>
        <n v="70271"/>
        <n v="68329"/>
        <n v="66212"/>
        <n v="65065"/>
        <n v="66284"/>
        <n v="72817"/>
        <n v="69516"/>
        <n v="69810"/>
        <n v="75454"/>
        <n v="68521"/>
        <n v="71541"/>
        <n v="73766"/>
        <n v="68331"/>
        <n v="73912"/>
        <n v="72690"/>
        <n v="74700"/>
        <n v="65802"/>
        <n v="69016"/>
        <n v="67865"/>
        <n v="72773"/>
        <n v="72629"/>
        <n v="67061"/>
        <n v="66882"/>
        <n v="69032"/>
        <n v="71672"/>
        <n v="69417"/>
        <n v="65720"/>
        <n v="68066"/>
        <n v="72513"/>
        <n v="73094"/>
        <n v="75632"/>
        <n v="71255"/>
        <n v="69431"/>
        <n v="68560"/>
        <n v="65553"/>
        <n v="67966"/>
        <n v="72454"/>
        <n v="70377"/>
        <n v="67799"/>
        <n v="65908"/>
        <n v="66172"/>
        <n v="74302"/>
        <n v="75505"/>
        <n v="72254"/>
        <n v="75858"/>
        <n v="67324"/>
        <n v="71411"/>
        <n v="67446"/>
        <n v="73459"/>
        <n v="64705"/>
        <n v="65208"/>
        <n v="67837"/>
        <n v="67269"/>
        <n v="70143"/>
        <n v="64114"/>
        <n v="75498"/>
        <n v="66714"/>
        <n v="71536"/>
        <n v="69811"/>
        <n v="74764"/>
        <n v="67201"/>
        <n v="64051"/>
        <n v="66799"/>
        <n v="68154"/>
        <n v="66500"/>
        <n v="71329"/>
        <n v="68771"/>
        <n v="71784"/>
        <n v="66873"/>
        <n v="71805"/>
        <n v="73122"/>
        <n v="70185"/>
        <n v="75566"/>
        <n v="75309"/>
        <n v="70544"/>
        <n v="66744"/>
        <n v="67727"/>
        <n v="72413"/>
        <n v="71243"/>
        <n v="67305"/>
        <n v="64270"/>
        <n v="74737"/>
        <n v="72183"/>
        <n v="71335"/>
        <n v="75177"/>
        <n v="69070"/>
        <n v="68050"/>
        <n v="72003"/>
        <n v="74004"/>
        <n v="70227"/>
        <n v="71836"/>
        <n v="66162"/>
        <n v="75873"/>
        <n v="69906"/>
        <n v="73151"/>
        <n v="74634"/>
        <n v="75229"/>
        <n v="68173"/>
        <n v="68896"/>
        <n v="73127"/>
        <n v="74748"/>
        <n v="69987"/>
        <n v="75771"/>
        <n v="65710"/>
        <n v="64969"/>
        <n v="67344"/>
        <n v="65162"/>
        <n v="70788"/>
        <n v="67911"/>
        <n v="73382"/>
        <n v="74868"/>
        <n v="73904"/>
        <n v="74224"/>
        <n v="71699"/>
        <n v="72798"/>
        <n v="65995"/>
        <n v="64440"/>
        <n v="70126"/>
        <n v="72440"/>
        <n v="69733"/>
        <n v="65930"/>
        <n v="73091"/>
        <n v="68702"/>
        <n v="70844"/>
        <n v="64558"/>
        <n v="66889"/>
        <n v="67228"/>
        <n v="68240"/>
        <n v="71979"/>
        <n v="69817"/>
        <n v="70076"/>
        <n v="71521"/>
        <n v="73934"/>
        <n v="64278"/>
        <n v="65254"/>
        <n v="64692"/>
        <n v="72941"/>
        <n v="65577"/>
        <n v="71572"/>
        <n v="66690"/>
        <n v="67696"/>
        <n v="75623"/>
        <n v="66857"/>
        <n v="72875"/>
        <n v="64906"/>
        <n v="71308"/>
        <n v="70753"/>
        <n v="73490"/>
        <n v="74910"/>
        <n v="73885"/>
        <n v="68950"/>
        <n v="75262"/>
        <n v="65624"/>
        <n v="75450"/>
        <n v="66881"/>
        <n v="68809"/>
        <n v="75477"/>
        <n v="73920"/>
        <n v="64254"/>
        <n v="74123"/>
        <n v="66152"/>
        <n v="74763"/>
        <n v="73252"/>
        <n v="73636"/>
        <n v="64701"/>
        <n v="72795"/>
        <n v="72927"/>
        <n v="67350"/>
        <n v="64339"/>
        <n v="67612"/>
        <n v="74650"/>
        <n v="67539"/>
        <n v="69250"/>
        <n v="74306"/>
        <n v="69433"/>
        <n v="69502"/>
        <n v="70181"/>
        <n v="68699"/>
        <n v="74690"/>
        <n v="64986"/>
        <n v="73209"/>
        <n v="72344"/>
        <n v="75636"/>
        <n v="69921"/>
        <n v="64291"/>
        <n v="70401"/>
        <n v="68463"/>
        <n v="74222"/>
        <n v="70161"/>
        <n v="70452"/>
        <n v="73262"/>
        <n v="68628"/>
        <n v="64856"/>
        <n v="73532"/>
        <n v="72314"/>
        <n v="73292"/>
        <n v="66221"/>
        <n v="75354"/>
        <n v="71602"/>
        <n v="69901"/>
        <n v="68305"/>
        <n v="75742"/>
        <n v="69765"/>
        <n v="72179"/>
        <n v="64998"/>
        <n v="72680"/>
        <n v="73548"/>
        <n v="71262"/>
        <n v="75780"/>
        <n v="64795"/>
        <n v="74694"/>
        <n v="70581"/>
        <n v="73372"/>
        <n v="70358"/>
        <n v="69077"/>
        <n v="64260"/>
        <n v="65673"/>
        <n v="67198"/>
        <n v="70163"/>
        <n v="71837"/>
        <n v="68069"/>
        <n v="65457"/>
        <n v="74487"/>
        <n v="67268"/>
        <n v="68864"/>
        <n v="70066"/>
        <n v="72222"/>
        <n v="65316"/>
        <n v="65643"/>
        <n v="75630"/>
        <n v="66809"/>
        <n v="69011"/>
        <n v="66270"/>
        <n v="70090"/>
        <n v="75172"/>
        <n v="67152"/>
        <n v="71976"/>
        <n v="71259"/>
        <n v="70884"/>
        <n v="68245"/>
        <n v="66959"/>
        <n v="74340"/>
        <n v="68797"/>
        <n v="67777"/>
        <n v="69840"/>
        <n v="71978"/>
        <n v="71724"/>
        <n v="68302"/>
        <n v="67652"/>
        <n v="71791"/>
        <n v="70276"/>
        <n v="75827"/>
        <n v="65189"/>
        <n v="75525"/>
        <n v="67549"/>
        <n v="71288"/>
        <n v="68668"/>
        <n v="66134"/>
        <n v="73104"/>
        <n v="71123"/>
        <n v="72715"/>
        <n v="75980"/>
        <n v="73489"/>
        <n v="68002"/>
        <n v="65504"/>
        <n v="73194"/>
        <n v="75310"/>
        <n v="67279"/>
        <n v="67721"/>
        <n v="65145"/>
        <n v="74465"/>
        <n v="68012"/>
        <n v="74008"/>
        <n v="65374"/>
        <n v="68717"/>
        <n v="66828"/>
        <n v="67253"/>
        <n v="72172"/>
        <n v="66189"/>
        <n v="73322"/>
        <n v="68742"/>
        <n v="68265"/>
        <n v="73722"/>
        <n v="71842"/>
        <n v="68981"/>
        <n v="64129"/>
        <n v="66174"/>
        <n v="72306"/>
        <n v="67574"/>
        <n v="65196"/>
        <n v="69736"/>
        <n v="67742"/>
        <n v="64135"/>
        <n v="75158"/>
        <n v="70883"/>
        <n v="67868"/>
        <n v="73450"/>
        <n v="68462"/>
        <n v="74288"/>
      </sharedItems>
    </cacheField>
    <cacheField name="Shipping_Index" numFmtId="0">
      <sharedItems containsSemiMixedTypes="0" containsString="0" containsNumber="1" minValue="900.13" maxValue="1799.37" count="1983">
        <n v="998.19"/>
        <n v="1719.26"/>
        <n v="982.12"/>
        <n v="1584.58"/>
        <n v="1625.46"/>
        <n v="1564.21"/>
        <n v="1473.96"/>
        <n v="1010.04"/>
        <n v="966.86"/>
        <n v="1635.81"/>
        <n v="1758.34"/>
        <n v="1787.51"/>
        <n v="1242.01"/>
        <n v="1462.05"/>
        <n v="1103.22"/>
        <n v="1357.24"/>
        <n v="1458.84"/>
        <n v="1567.79"/>
        <n v="925.65"/>
        <n v="974.14"/>
        <n v="1645.42"/>
        <n v="1151.83"/>
        <n v="1698.13"/>
        <n v="1453.97"/>
        <n v="1169.1300000000001"/>
        <n v="1535.86"/>
        <n v="1749.89"/>
        <n v="1265.1199999999999"/>
        <n v="1300.79"/>
        <n v="1569.21"/>
        <n v="1350.5"/>
        <n v="1705.22"/>
        <n v="983.07"/>
        <n v="1471.36"/>
        <n v="1696.87"/>
        <n v="932.48"/>
        <n v="1202.3900000000001"/>
        <n v="1126.3599999999999"/>
        <n v="1683.38"/>
        <n v="1668.04"/>
        <n v="1556.23"/>
        <n v="1398.75"/>
        <n v="1328.99"/>
        <n v="1515.32"/>
        <n v="1125.47"/>
        <n v="1640.93"/>
        <n v="1472.66"/>
        <n v="1545.48"/>
        <n v="1028.56"/>
        <n v="1330.1"/>
        <n v="1032.45"/>
        <n v="1158.21"/>
        <n v="1622.63"/>
        <n v="1463.18"/>
        <n v="1088.24"/>
        <n v="1231.8499999999999"/>
        <n v="1130.03"/>
        <n v="1402.14"/>
        <n v="1453.59"/>
        <n v="1621.98"/>
        <n v="936.45"/>
        <n v="1404.84"/>
        <n v="1284.48"/>
        <n v="1212.1199999999999"/>
        <n v="1546.11"/>
        <n v="1707.07"/>
        <n v="1337.19"/>
        <n v="1715.47"/>
        <n v="1479.69"/>
        <n v="1295.5"/>
        <n v="1485.75"/>
        <n v="1160.7"/>
        <n v="906.34"/>
        <n v="1031.75"/>
        <n v="1406.98"/>
        <n v="1491.86"/>
        <n v="1523.35"/>
        <n v="1449.99"/>
        <n v="1151.6500000000001"/>
        <n v="1424.56"/>
        <n v="1030.3599999999999"/>
        <n v="1291.49"/>
        <n v="1351.79"/>
        <n v="1090.3599999999999"/>
        <n v="1711.43"/>
        <n v="1602.24"/>
        <n v="1551.51"/>
        <n v="1611.9"/>
        <n v="1686.96"/>
        <n v="1276.6099999999999"/>
        <n v="1683.29"/>
        <n v="1300.3699999999999"/>
        <n v="1109.5"/>
        <n v="1729.73"/>
        <n v="1233.68"/>
        <n v="1107.9100000000001"/>
        <n v="959.67"/>
        <n v="1507.4"/>
        <n v="1348.03"/>
        <n v="1529.24"/>
        <n v="1643.1"/>
        <n v="1732.73"/>
        <n v="1301.6199999999999"/>
        <n v="1423.05"/>
        <n v="1632.28"/>
        <n v="1785.89"/>
        <n v="1251.43"/>
        <n v="1161.6500000000001"/>
        <n v="1445.9"/>
        <n v="1106.1099999999999"/>
        <n v="1478.67"/>
        <n v="1145.42"/>
        <n v="1238.57"/>
        <n v="1028.8599999999999"/>
        <n v="1637.74"/>
        <n v="1392.96"/>
        <n v="1433.58"/>
        <n v="1798.83"/>
        <n v="1793.59"/>
        <n v="902.78"/>
        <n v="1195.1099999999999"/>
        <n v="1145.74"/>
        <n v="1331.98"/>
        <n v="1517.32"/>
        <n v="1519.06"/>
        <n v="1663.08"/>
        <n v="1618.9"/>
        <n v="921.66"/>
        <n v="1486.75"/>
        <n v="1439.8"/>
        <n v="1478.07"/>
        <n v="1133.95"/>
        <n v="973.66"/>
        <n v="1112.8599999999999"/>
        <n v="1006.22"/>
        <n v="1324.28"/>
        <n v="1549.54"/>
        <n v="1417.1"/>
        <n v="947.33"/>
        <n v="1454.91"/>
        <n v="1721.26"/>
        <n v="943.03"/>
        <n v="1305.3599999999999"/>
        <n v="1386.77"/>
        <n v="1255.33"/>
        <n v="1543.65"/>
        <n v="1509.53"/>
        <n v="1543.08"/>
        <n v="1702.5"/>
        <n v="1530.69"/>
        <n v="947.4"/>
        <n v="1168.77"/>
        <n v="1689.34"/>
        <n v="1599.5"/>
        <n v="1023.43"/>
        <n v="1794.13"/>
        <n v="1535.48"/>
        <n v="1572.9"/>
        <n v="1359.71"/>
        <n v="1399.69"/>
        <n v="1595.03"/>
        <n v="1305.08"/>
        <n v="1046.6600000000001"/>
        <n v="1383.64"/>
        <n v="1360.15"/>
        <n v="1141.58"/>
        <n v="921.98"/>
        <n v="1710.54"/>
        <n v="1712.36"/>
        <n v="1374.33"/>
        <n v="1137.0899999999999"/>
        <n v="1682.56"/>
        <n v="1314.45"/>
        <n v="1659.62"/>
        <n v="1390.12"/>
        <n v="1207.2"/>
        <n v="1785.82"/>
        <n v="1061.78"/>
        <n v="1140.57"/>
        <n v="1279.17"/>
        <n v="1450.11"/>
        <n v="1102.32"/>
        <n v="1467.75"/>
        <n v="1744.62"/>
        <n v="1499.02"/>
        <n v="1613.45"/>
        <n v="1711.91"/>
        <n v="1381.41"/>
        <n v="1393.98"/>
        <n v="906.73"/>
        <n v="1439.14"/>
        <n v="1561.99"/>
        <n v="1799.06"/>
        <n v="1343.95"/>
        <n v="1776.33"/>
        <n v="1072.8"/>
        <n v="1773.43"/>
        <n v="1528.57"/>
        <n v="1624.29"/>
        <n v="1380.06"/>
        <n v="1253.6300000000001"/>
        <n v="1700.9"/>
        <n v="1376.26"/>
        <n v="1202.52"/>
        <n v="1693.21"/>
        <n v="1377.9"/>
        <n v="1147.52"/>
        <n v="1165.29"/>
        <n v="1245.5"/>
        <n v="1604.41"/>
        <n v="927.05"/>
        <n v="1733.9"/>
        <n v="1326.59"/>
        <n v="1411.63"/>
        <n v="1076.32"/>
        <n v="1135.4100000000001"/>
        <n v="1428.4"/>
        <n v="1263.1600000000001"/>
        <n v="1181.73"/>
        <n v="1795.61"/>
        <n v="984.41"/>
        <n v="1267.47"/>
        <n v="1580.16"/>
        <n v="1298.97"/>
        <n v="1548.75"/>
        <n v="1517.16"/>
        <n v="948.04"/>
        <n v="1524.58"/>
        <n v="1431.09"/>
        <n v="1085.9100000000001"/>
        <n v="954.54"/>
        <n v="1480.47"/>
        <n v="1662.44"/>
        <n v="1430.34"/>
        <n v="1165.08"/>
        <n v="1670.09"/>
        <n v="1374.93"/>
        <n v="1072.47"/>
        <n v="1665.66"/>
        <n v="1317.51"/>
        <n v="1078.25"/>
        <n v="1075.98"/>
        <n v="1052.92"/>
        <n v="1309.76"/>
        <n v="935.62"/>
        <n v="1523.27"/>
        <n v="1273.8900000000001"/>
        <n v="1241.75"/>
        <n v="1043.1400000000001"/>
        <n v="1358.57"/>
        <n v="1584.09"/>
        <n v="1656.16"/>
        <n v="1521.16"/>
        <n v="1434.15"/>
        <n v="1484.53"/>
        <n v="1737.89"/>
        <n v="1373.28"/>
        <n v="1514.91"/>
        <n v="904.18"/>
        <n v="1595.91"/>
        <n v="903.09"/>
        <n v="1101.19"/>
        <n v="1351.27"/>
        <n v="1760.56"/>
        <n v="1156.71"/>
        <n v="1471.18"/>
        <n v="1783.97"/>
        <n v="1723.84"/>
        <n v="1706.3"/>
        <n v="996.19"/>
        <n v="1739.67"/>
        <n v="1491.79"/>
        <n v="1146.19"/>
        <n v="1226.4000000000001"/>
        <n v="1663.67"/>
        <n v="1222.9100000000001"/>
        <n v="1070.7"/>
        <n v="1476.23"/>
        <n v="1627.23"/>
        <n v="1238.5"/>
        <n v="919.65"/>
        <n v="1683.82"/>
        <n v="924.17"/>
        <n v="1176.77"/>
        <n v="1787.23"/>
        <n v="1054.2"/>
        <n v="1709.89"/>
        <n v="1237.3800000000001"/>
        <n v="928.7"/>
        <n v="1443.43"/>
        <n v="1302.94"/>
        <n v="1097.1500000000001"/>
        <n v="936.87"/>
        <n v="1302.93"/>
        <n v="1099.3699999999999"/>
        <n v="1448.66"/>
        <n v="987.9"/>
        <n v="1438.91"/>
        <n v="1024.03"/>
        <n v="1524.67"/>
        <n v="945.4"/>
        <n v="933.65"/>
        <n v="1215.03"/>
        <n v="1130.77"/>
        <n v="1309.25"/>
        <n v="1406.61"/>
        <n v="1682.03"/>
        <n v="1197.0999999999999"/>
        <n v="1585.43"/>
        <n v="1099.3499999999999"/>
        <n v="1042.68"/>
        <n v="1209.67"/>
        <n v="1119.6099999999999"/>
        <n v="1073.02"/>
        <n v="1025.6500000000001"/>
        <n v="1194.0899999999999"/>
        <n v="1402.87"/>
        <n v="1180.76"/>
        <n v="1202.72"/>
        <n v="1219.67"/>
        <n v="1223.46"/>
        <n v="1707.77"/>
        <n v="1557.7"/>
        <n v="1137.8900000000001"/>
        <n v="1773.44"/>
        <n v="967.21"/>
        <n v="1713.56"/>
        <n v="1798.59"/>
        <n v="1133.57"/>
        <n v="1652.98"/>
        <n v="1737.37"/>
        <n v="1307.43"/>
        <n v="1558.1"/>
        <n v="1798.39"/>
        <n v="1639.79"/>
        <n v="1307.6500000000001"/>
        <n v="1355.28"/>
        <n v="934.66"/>
        <n v="1343.51"/>
        <n v="1016.93"/>
        <n v="1776.01"/>
        <n v="993.64"/>
        <n v="1387.31"/>
        <n v="1719.55"/>
        <n v="1300.97"/>
        <n v="1291.8599999999999"/>
        <n v="1626.57"/>
        <n v="1766.26"/>
        <n v="1793.94"/>
        <n v="1050.5899999999999"/>
        <n v="1147.24"/>
        <n v="1659.44"/>
        <n v="1096.6099999999999"/>
        <n v="937.42"/>
        <n v="1465.47"/>
        <n v="1702.93"/>
        <n v="1650.52"/>
        <n v="1422.01"/>
        <n v="1632.67"/>
        <n v="952.18"/>
        <n v="1767.63"/>
        <n v="1688.31"/>
        <n v="1706.87"/>
        <n v="1544.1"/>
        <n v="1427.57"/>
        <n v="1335.23"/>
        <n v="903.66"/>
        <n v="1651.77"/>
        <n v="1663.83"/>
        <n v="1065.42"/>
        <n v="1559.83"/>
        <n v="1130.8399999999999"/>
        <n v="972.91"/>
        <n v="1241.6300000000001"/>
        <n v="1251.76"/>
        <n v="1053.71"/>
        <n v="1259.58"/>
        <n v="1075.3499999999999"/>
        <n v="1200.1600000000001"/>
        <n v="1463.88"/>
        <n v="942.56"/>
        <n v="1700.79"/>
        <n v="941.73"/>
        <n v="1399.97"/>
        <n v="1682.94"/>
        <n v="947.74"/>
        <n v="1089.5"/>
        <n v="1216.23"/>
        <n v="1269.45"/>
        <n v="1362.74"/>
        <n v="1469.26"/>
        <n v="1756.26"/>
        <n v="1550.05"/>
        <n v="1484.75"/>
        <n v="1470.85"/>
        <n v="1452.18"/>
        <n v="1560.56"/>
        <n v="1605.65"/>
        <n v="1099.25"/>
        <n v="1393.7"/>
        <n v="913.73"/>
        <n v="995.98"/>
        <n v="1412.63"/>
        <n v="1772.8"/>
        <n v="1318.95"/>
        <n v="1030.57"/>
        <n v="1056.33"/>
        <n v="1492.42"/>
        <n v="1041.49"/>
        <n v="1228.8699999999999"/>
        <n v="1658.07"/>
        <n v="1403.56"/>
        <n v="977.32"/>
        <n v="1693.6"/>
        <n v="1728.41"/>
        <n v="1431.97"/>
        <n v="1679.39"/>
        <n v="1613.85"/>
        <n v="1271.4000000000001"/>
        <n v="1631.9"/>
        <n v="1686.11"/>
        <n v="1233.58"/>
        <n v="1130.9100000000001"/>
        <n v="1268.24"/>
        <n v="1066.27"/>
        <n v="1563.39"/>
        <n v="1442.26"/>
        <n v="1122.45"/>
        <n v="1673.03"/>
        <n v="1234.42"/>
        <n v="1409.06"/>
        <n v="1740.95"/>
        <n v="1217.1500000000001"/>
        <n v="1430.44"/>
        <n v="1031.6099999999999"/>
        <n v="1573.45"/>
        <n v="1547.12"/>
        <n v="1505.46"/>
        <n v="1358.46"/>
        <n v="1554.97"/>
        <n v="1417.21"/>
        <n v="1786.84"/>
        <n v="1022.14"/>
        <n v="907.66"/>
        <n v="1184.73"/>
        <n v="1713.77"/>
        <n v="1610.78"/>
        <n v="1391.65"/>
        <n v="1111.5"/>
        <n v="1610.67"/>
        <n v="1519.87"/>
        <n v="1752.6"/>
        <n v="981.84"/>
        <n v="1153.48"/>
        <n v="1109.28"/>
        <n v="1727.85"/>
        <n v="1669.57"/>
        <n v="1178.79"/>
        <n v="1282.44"/>
        <n v="1387.74"/>
        <n v="1302.42"/>
        <n v="1121.1600000000001"/>
        <n v="1796.54"/>
        <n v="1095.05"/>
        <n v="1659.88"/>
        <n v="997.97"/>
        <n v="1125.97"/>
        <n v="962.68"/>
        <n v="1799.37"/>
        <n v="1247.5899999999999"/>
        <n v="999.98"/>
        <n v="1428.84"/>
        <n v="1188.78"/>
        <n v="984.2"/>
        <n v="1360.56"/>
        <n v="1344.4"/>
        <n v="1660.71"/>
        <n v="944.7"/>
        <n v="1046.76"/>
        <n v="1744.32"/>
        <n v="955.19"/>
        <n v="1621.51"/>
        <n v="990.22"/>
        <n v="1758.36"/>
        <n v="908.96"/>
        <n v="1215.3800000000001"/>
        <n v="1030.8599999999999"/>
        <n v="1640.89"/>
        <n v="1164.19"/>
        <n v="924.26"/>
        <n v="1596.01"/>
        <n v="1604.69"/>
        <n v="1506.3"/>
        <n v="1231.73"/>
        <n v="1684.14"/>
        <n v="1763.03"/>
        <n v="1726.72"/>
        <n v="1691.33"/>
        <n v="1394.67"/>
        <n v="1400.98"/>
        <n v="959.05"/>
        <n v="966.82"/>
        <n v="1580.03"/>
        <n v="1462.91"/>
        <n v="1540.98"/>
        <n v="1537.75"/>
        <n v="1513.89"/>
        <n v="1361.77"/>
        <n v="984.08"/>
        <n v="1143.68"/>
        <n v="1029.1300000000001"/>
        <n v="1383.07"/>
        <n v="1277.49"/>
        <n v="1689.5"/>
        <n v="1586.43"/>
        <n v="1106.1199999999999"/>
        <n v="1047.6099999999999"/>
        <n v="1408.24"/>
        <n v="1522.22"/>
        <n v="1546.82"/>
        <n v="1068.42"/>
        <n v="1763.99"/>
        <n v="1004.99"/>
        <n v="1569.84"/>
        <n v="933.2"/>
        <n v="1443.19"/>
        <n v="1090.43"/>
        <n v="1524.19"/>
        <n v="1557.65"/>
        <n v="1497.04"/>
        <n v="1252.6600000000001"/>
        <n v="1600.09"/>
        <n v="1596.37"/>
        <n v="1557.56"/>
        <n v="944.91"/>
        <n v="1345.1"/>
        <n v="1140.81"/>
        <n v="1591.05"/>
        <n v="1510.56"/>
        <n v="1736.76"/>
        <n v="1229.43"/>
        <n v="1538.67"/>
        <n v="1789.32"/>
        <n v="1796.28"/>
        <n v="1124.56"/>
        <n v="1142.3399999999999"/>
        <n v="1508.55"/>
        <n v="1713.65"/>
        <n v="1770.51"/>
        <n v="1521.33"/>
        <n v="906.78"/>
        <n v="1339.55"/>
        <n v="980.42"/>
        <n v="1295.6300000000001"/>
        <n v="1033.73"/>
        <n v="1776.55"/>
        <n v="1367.34"/>
        <n v="1333.9"/>
        <n v="1440.4"/>
        <n v="1146.54"/>
        <n v="1098.53"/>
        <n v="1414.68"/>
        <n v="1231.8800000000001"/>
        <n v="1025.8800000000001"/>
        <n v="1190.77"/>
        <n v="1404.21"/>
        <n v="1218.76"/>
        <n v="1021.48"/>
        <n v="1061.93"/>
        <n v="1785.88"/>
        <n v="1450.88"/>
        <n v="1142.53"/>
        <n v="1605.22"/>
        <n v="1595.93"/>
        <n v="1752.36"/>
        <n v="1097.31"/>
        <n v="1314.59"/>
        <n v="1607.29"/>
        <n v="1789.42"/>
        <n v="1591.41"/>
        <n v="1732.22"/>
        <n v="1730.39"/>
        <n v="1338.11"/>
        <n v="925.26"/>
        <n v="1772.59"/>
        <n v="1176.74"/>
        <n v="1503.7"/>
        <n v="1651.83"/>
        <n v="1712.58"/>
        <n v="1383.08"/>
        <n v="990.6"/>
        <n v="1654.42"/>
        <n v="1482.99"/>
        <n v="1301.28"/>
        <n v="1046.6199999999999"/>
        <n v="1137.69"/>
        <n v="1011.68"/>
        <n v="1218.78"/>
        <n v="1133.47"/>
        <n v="989.72"/>
        <n v="1706.05"/>
        <n v="911.67"/>
        <n v="1001.74"/>
        <n v="964.71"/>
        <n v="1409.04"/>
        <n v="1580.97"/>
        <n v="1469.1"/>
        <n v="1029.75"/>
        <n v="1659.11"/>
        <n v="1528.56"/>
        <n v="1771.03"/>
        <n v="1667.18"/>
        <n v="1349.86"/>
        <n v="1793.6"/>
        <n v="1269.94"/>
        <n v="1144.02"/>
        <n v="1736.12"/>
        <n v="1406.37"/>
        <n v="1561.41"/>
        <n v="1612.23"/>
        <n v="1066.42"/>
        <n v="1027.7"/>
        <n v="1270.1600000000001"/>
        <n v="1565.82"/>
        <n v="1343.02"/>
        <n v="1037.25"/>
        <n v="1728.76"/>
        <n v="1541.75"/>
        <n v="1116.7"/>
        <n v="977.11"/>
        <n v="938.63"/>
        <n v="1339.11"/>
        <n v="1146.23"/>
        <n v="1515.84"/>
        <n v="1524.79"/>
        <n v="1785.61"/>
        <n v="1733.59"/>
        <n v="1775.92"/>
        <n v="1439.91"/>
        <n v="1535.36"/>
        <n v="1051.3699999999999"/>
        <n v="1090.9100000000001"/>
        <n v="1787.72"/>
        <n v="1172.27"/>
        <n v="1737.08"/>
        <n v="1341.63"/>
        <n v="1745.13"/>
        <n v="1307.21"/>
        <n v="1552.69"/>
        <n v="1402.29"/>
        <n v="1259.3"/>
        <n v="1611.03"/>
        <n v="1017.39"/>
        <n v="1205.71"/>
        <n v="1102.74"/>
        <n v="1751.97"/>
        <n v="1687.41"/>
        <n v="1179.03"/>
        <n v="1236.57"/>
        <n v="1420.83"/>
        <n v="1594.27"/>
        <n v="1763.87"/>
        <n v="1528.52"/>
        <n v="984.93"/>
        <n v="1333.22"/>
        <n v="1367.38"/>
        <n v="972.76"/>
        <n v="974.4"/>
        <n v="1243.58"/>
        <n v="1305.8"/>
        <n v="1080.71"/>
        <n v="1205.52"/>
        <n v="1377.38"/>
        <n v="1536.73"/>
        <n v="1598.91"/>
        <n v="1425.28"/>
        <n v="1515.61"/>
        <n v="1661.47"/>
        <n v="1728.7"/>
        <n v="1158.8900000000001"/>
        <n v="1249.97"/>
        <n v="1613.82"/>
        <n v="1281.1600000000001"/>
        <n v="1582.1"/>
        <n v="1321.1"/>
        <n v="1026.5999999999999"/>
        <n v="1057.57"/>
        <n v="1770.58"/>
        <n v="941.25"/>
        <n v="1335.4"/>
        <n v="1638.26"/>
        <n v="1304.0899999999999"/>
        <n v="1598.25"/>
        <n v="1586.07"/>
        <n v="1558.72"/>
        <n v="1796.91"/>
        <n v="1734.26"/>
        <n v="1401.42"/>
        <n v="1166.78"/>
        <n v="1279.08"/>
        <n v="1353.33"/>
        <n v="933.72"/>
        <n v="1168.22"/>
        <n v="1524.2"/>
        <n v="1220.8399999999999"/>
        <n v="1074.81"/>
        <n v="900.13"/>
        <n v="1268.26"/>
        <n v="1073.74"/>
        <n v="1536.49"/>
        <n v="1707.2"/>
        <n v="1120.3599999999999"/>
        <n v="1034.6600000000001"/>
        <n v="1022.73"/>
        <n v="1588.15"/>
        <n v="914.03"/>
        <n v="1093.67"/>
        <n v="1440.45"/>
        <n v="1275.3"/>
        <n v="1610.06"/>
        <n v="919.97"/>
        <n v="944.01"/>
        <n v="1069.6600000000001"/>
        <n v="1035.42"/>
        <n v="1102.46"/>
        <n v="1125.25"/>
        <n v="1425.53"/>
        <n v="1763.91"/>
        <n v="1295.19"/>
        <n v="1463.69"/>
        <n v="1302.22"/>
        <n v="1224.3900000000001"/>
        <n v="1104.57"/>
        <n v="1303.1099999999999"/>
        <n v="1519.47"/>
        <n v="980.21"/>
        <n v="1124.6600000000001"/>
        <n v="964.45"/>
        <n v="1125.95"/>
        <n v="1506.29"/>
        <n v="1404.52"/>
        <n v="1393.73"/>
        <n v="1419.97"/>
        <n v="993.52"/>
        <n v="964.35"/>
        <n v="1423.57"/>
        <n v="1074.4000000000001"/>
        <n v="927.44"/>
        <n v="1528.05"/>
        <n v="1597.45"/>
        <n v="1698.26"/>
        <n v="1078.17"/>
        <n v="1449.72"/>
        <n v="1557.74"/>
        <n v="1020.97"/>
        <n v="934.1"/>
        <n v="918.72"/>
        <n v="1596.7"/>
        <n v="1283.6099999999999"/>
        <n v="1406.56"/>
        <n v="1668.79"/>
        <n v="1117.92"/>
        <n v="1118.8399999999999"/>
        <n v="1697.3"/>
        <n v="1431.99"/>
        <n v="997.89"/>
        <n v="1363.65"/>
        <n v="1050.01"/>
        <n v="1190.3599999999999"/>
        <n v="1015.58"/>
        <n v="1770.49"/>
        <n v="1426.56"/>
        <n v="1696.34"/>
        <n v="1555.68"/>
        <n v="954.59"/>
        <n v="1060.3900000000001"/>
        <n v="1048.94"/>
        <n v="1283.8499999999999"/>
        <n v="1160.03"/>
        <n v="1727.82"/>
        <n v="1428.76"/>
        <n v="946.06"/>
        <n v="1380.01"/>
        <n v="1485.21"/>
        <n v="1455.52"/>
        <n v="1796.88"/>
        <n v="1269.98"/>
        <n v="1160.04"/>
        <n v="1215.28"/>
        <n v="1366.71"/>
        <n v="1794.97"/>
        <n v="1460.45"/>
        <n v="1097.08"/>
        <n v="1486.36"/>
        <n v="1146.2"/>
        <n v="1767.03"/>
        <n v="920.41"/>
        <n v="1593.38"/>
        <n v="1654.57"/>
        <n v="1100.79"/>
        <n v="1691.47"/>
        <n v="953.38"/>
        <n v="1507.85"/>
        <n v="1572.4"/>
        <n v="1629.74"/>
        <n v="1745.06"/>
        <n v="996.63"/>
        <n v="1247.57"/>
        <n v="984.14"/>
        <n v="1236.5999999999999"/>
        <n v="911.46"/>
        <n v="1701.29"/>
        <n v="1284.19"/>
        <n v="1648.28"/>
        <n v="1191.8900000000001"/>
        <n v="1126.5999999999999"/>
        <n v="1563.94"/>
        <n v="1416.02"/>
        <n v="1470.95"/>
        <n v="1543.17"/>
        <n v="1352.69"/>
        <n v="1225.3"/>
        <n v="1697.81"/>
        <n v="1507.04"/>
        <n v="1624.85"/>
        <n v="1280.26"/>
        <n v="1284.18"/>
        <n v="1072.8900000000001"/>
        <n v="1712.77"/>
        <n v="1431.52"/>
        <n v="1544.4"/>
        <n v="1487.11"/>
        <n v="1111.78"/>
        <n v="1537.05"/>
        <n v="926.11"/>
        <n v="917.4"/>
        <n v="1533.43"/>
        <n v="1661.1"/>
        <n v="977.25"/>
        <n v="1693.35"/>
        <n v="1327.49"/>
        <n v="1628.53"/>
        <n v="1423.77"/>
        <n v="1466.16"/>
        <n v="1655.75"/>
        <n v="1454.55"/>
        <n v="1579.7"/>
        <n v="1711.33"/>
        <n v="1393.37"/>
        <n v="989.77"/>
        <n v="1481.56"/>
        <n v="1447.31"/>
        <n v="960.05"/>
        <n v="1741.39"/>
        <n v="911.55"/>
        <n v="1245.33"/>
        <n v="1342.06"/>
        <n v="1126.83"/>
        <n v="1691.13"/>
        <n v="1571.81"/>
        <n v="1429.31"/>
        <n v="1615.29"/>
        <n v="1071.55"/>
        <n v="1751.02"/>
        <n v="1261.3"/>
        <n v="1451.9"/>
        <n v="1023.6"/>
        <n v="1118.78"/>
        <n v="1403.35"/>
        <n v="1258.5999999999999"/>
        <n v="1088.1500000000001"/>
        <n v="1562.95"/>
        <n v="1562.93"/>
        <n v="1649.5"/>
        <n v="952.06"/>
        <n v="1181.8499999999999"/>
        <n v="1241.77"/>
        <n v="1752.42"/>
        <n v="1089.71"/>
        <n v="1209.1400000000001"/>
        <n v="1471.64"/>
        <n v="1302.01"/>
        <n v="962.49"/>
        <n v="1359.87"/>
        <n v="1675.38"/>
        <n v="1268.67"/>
        <n v="1063.08"/>
        <n v="1486.39"/>
        <n v="1337.13"/>
        <n v="1144.76"/>
        <n v="1769.12"/>
        <n v="1381.86"/>
        <n v="1435.92"/>
        <n v="999.93"/>
        <n v="1483.6"/>
        <n v="1343.43"/>
        <n v="1241.02"/>
        <n v="1571.68"/>
        <n v="1074.44"/>
        <n v="1016.63"/>
        <n v="951.22"/>
        <n v="1499.81"/>
        <n v="1144.03"/>
        <n v="1277.74"/>
        <n v="1651.66"/>
        <n v="1116.23"/>
        <n v="1406.31"/>
        <n v="1197.8800000000001"/>
        <n v="1242.76"/>
        <n v="950.24"/>
        <n v="1039.5"/>
        <n v="1559.84"/>
        <n v="1487.47"/>
        <n v="1075.5"/>
        <n v="1264.6500000000001"/>
        <n v="1206.22"/>
        <n v="1525.02"/>
        <n v="972.48"/>
        <n v="1714.28"/>
        <n v="1776.25"/>
        <n v="911.71"/>
        <n v="1458.51"/>
        <n v="1794.7"/>
        <n v="1721.83"/>
        <n v="1020.84"/>
        <n v="905.33"/>
        <n v="1208.68"/>
        <n v="1513.05"/>
        <n v="1564.78"/>
        <n v="914.84"/>
        <n v="1087.02"/>
        <n v="1735.27"/>
        <n v="1153.23"/>
        <n v="1421.06"/>
        <n v="1187.19"/>
        <n v="1084.98"/>
        <n v="935.45"/>
        <n v="1211.28"/>
        <n v="1599.97"/>
        <n v="1495.9"/>
        <n v="1687.95"/>
        <n v="1525.29"/>
        <n v="1637.91"/>
        <n v="1503.73"/>
        <n v="1260.56"/>
        <n v="1146.1300000000001"/>
        <n v="1274.28"/>
        <n v="1535.72"/>
        <n v="1655.51"/>
        <n v="1538.98"/>
        <n v="1685.72"/>
        <n v="1413.21"/>
        <n v="1576.45"/>
        <n v="1574.1"/>
        <n v="1310.97"/>
        <n v="1651.94"/>
        <n v="1021.91"/>
        <n v="1134.71"/>
        <n v="1305.8499999999999"/>
        <n v="1710.2"/>
        <n v="1482.53"/>
        <n v="931.48"/>
        <n v="1378.67"/>
        <n v="1467.67"/>
        <n v="1266.9100000000001"/>
        <n v="1498.22"/>
        <n v="1341.31"/>
        <n v="1221.27"/>
        <n v="1126.8"/>
        <n v="1241.28"/>
        <n v="1775.56"/>
        <n v="1542.49"/>
        <n v="1423.96"/>
        <n v="1667.98"/>
        <n v="1657.19"/>
        <n v="1149.57"/>
        <n v="1471.11"/>
        <n v="1365.11"/>
        <n v="1474.39"/>
        <n v="1355.43"/>
        <n v="1291.01"/>
        <n v="1540.12"/>
        <n v="1246.27"/>
        <n v="1616.66"/>
        <n v="1297.6400000000001"/>
        <n v="1107.67"/>
        <n v="1241.2"/>
        <n v="1447.66"/>
        <n v="1743.71"/>
        <n v="1343.27"/>
        <n v="1379.65"/>
        <n v="985.17"/>
        <n v="1188.8900000000001"/>
        <n v="1596.56"/>
        <n v="1252.95"/>
        <n v="965.98"/>
        <n v="1579.48"/>
        <n v="1186.6199999999999"/>
        <n v="965.76"/>
        <n v="1138.3399999999999"/>
        <n v="987.43"/>
        <n v="1099.29"/>
        <n v="1084.49"/>
        <n v="1453.95"/>
        <n v="1347.11"/>
        <n v="1393.83"/>
        <n v="1073.67"/>
        <n v="1195.31"/>
        <n v="1615.25"/>
        <n v="1659.08"/>
        <n v="1788.27"/>
        <n v="1060.8"/>
        <n v="1793.99"/>
        <n v="930.87"/>
        <n v="1330.3"/>
        <n v="1760.63"/>
        <n v="1209.77"/>
        <n v="1593.81"/>
        <n v="909.93"/>
        <n v="1122.24"/>
        <n v="1012.7"/>
        <n v="1232.52"/>
        <n v="987.07"/>
        <n v="1353.54"/>
        <n v="1242.83"/>
        <n v="1312.49"/>
        <n v="1075.6500000000001"/>
        <n v="1450.3"/>
        <n v="1037.19"/>
        <n v="1372.44"/>
        <n v="1406.54"/>
        <n v="911.16"/>
        <n v="1123.27"/>
        <n v="1035.53"/>
        <n v="985.23"/>
        <n v="1255.9000000000001"/>
        <n v="1644.89"/>
        <n v="1280.1199999999999"/>
        <n v="1175.93"/>
        <n v="1625.97"/>
        <n v="1633.74"/>
        <n v="1398.66"/>
        <n v="1516.58"/>
        <n v="1113.45"/>
        <n v="1744.47"/>
        <n v="1486.47"/>
        <n v="1536.9"/>
        <n v="1738.01"/>
        <n v="1330.01"/>
        <n v="1401.24"/>
        <n v="1097.9000000000001"/>
        <n v="1431.58"/>
        <n v="1020.42"/>
        <n v="1079.2"/>
        <n v="969.97"/>
        <n v="939.51"/>
        <n v="1322.17"/>
        <n v="1607.69"/>
        <n v="1566.73"/>
        <n v="1280.8599999999999"/>
        <n v="1518.74"/>
        <n v="1754.49"/>
        <n v="1797.16"/>
        <n v="1517.06"/>
        <n v="982.21"/>
        <n v="1305.95"/>
        <n v="1643.36"/>
        <n v="1245.58"/>
        <n v="1440.9"/>
        <n v="1114"/>
        <n v="1781.1"/>
        <n v="1083.19"/>
        <n v="1644.75"/>
        <n v="1374.37"/>
        <n v="1704.6"/>
        <n v="1602.29"/>
        <n v="1362.49"/>
        <n v="1517.63"/>
        <n v="913.77"/>
        <n v="1253.9000000000001"/>
        <n v="1479.13"/>
        <n v="1546.57"/>
        <n v="1346.49"/>
        <n v="1712.85"/>
        <n v="1655.48"/>
        <n v="1455.02"/>
        <n v="1205.94"/>
        <n v="1201.5999999999999"/>
        <n v="1488.78"/>
        <n v="1793.35"/>
        <n v="1104.33"/>
        <n v="1633.46"/>
        <n v="1008.98"/>
        <n v="1614.8"/>
        <n v="1534"/>
        <n v="1393.25"/>
        <n v="1705.29"/>
        <n v="1478.45"/>
        <n v="1071.78"/>
        <n v="1703.87"/>
        <n v="1726.81"/>
        <n v="1288.8"/>
        <n v="1696.28"/>
        <n v="1525.5"/>
        <n v="1464.05"/>
        <n v="1788.55"/>
        <n v="1438.68"/>
        <n v="1623.83"/>
        <n v="1600.08"/>
        <n v="1247.29"/>
        <n v="1690.02"/>
        <n v="1424.31"/>
        <n v="1720.89"/>
        <n v="1267.67"/>
        <n v="1396.47"/>
        <n v="1069.3800000000001"/>
        <n v="1767.98"/>
        <n v="1403.06"/>
        <n v="1339.19"/>
        <n v="1539.61"/>
        <n v="1590.22"/>
        <n v="1707.74"/>
        <n v="1135.52"/>
        <n v="1540.43"/>
        <n v="1031.74"/>
        <n v="1797.81"/>
        <n v="1782.92"/>
        <n v="932.77"/>
        <n v="900.95"/>
        <n v="1662.86"/>
        <n v="1252.47"/>
        <n v="1508.02"/>
        <n v="1492.25"/>
        <n v="1624.49"/>
        <n v="1131.0899999999999"/>
        <n v="920.59"/>
        <n v="1134.29"/>
        <n v="1789.22"/>
        <n v="1285.1099999999999"/>
        <n v="1609.27"/>
        <n v="1369.36"/>
        <n v="1128.42"/>
        <n v="1595.48"/>
        <n v="1624.47"/>
        <n v="1306.52"/>
        <n v="1072.1400000000001"/>
        <n v="1771.84"/>
        <n v="900.36"/>
        <n v="924.15"/>
        <n v="1287.44"/>
        <n v="1346.61"/>
        <n v="1463.36"/>
        <n v="1703.11"/>
        <n v="1750.03"/>
        <n v="1045.01"/>
        <n v="1694.46"/>
        <n v="1182.99"/>
        <n v="1002.85"/>
        <n v="957.87"/>
        <n v="1041.93"/>
        <n v="1106.04"/>
        <n v="1306.98"/>
        <n v="1257.01"/>
        <n v="1461.89"/>
        <n v="1526.06"/>
        <n v="1756.76"/>
        <n v="1103.53"/>
        <n v="970.21"/>
        <n v="1401.43"/>
        <n v="1294.05"/>
        <n v="1176.07"/>
        <n v="1438.31"/>
        <n v="1299.1199999999999"/>
        <n v="940.77"/>
        <n v="1723.31"/>
        <n v="964.41"/>
        <n v="1360.29"/>
        <n v="1455.41"/>
        <n v="1073.44"/>
        <n v="1199.03"/>
        <n v="1517.75"/>
        <n v="1667.02"/>
        <n v="1185.73"/>
        <n v="1763.02"/>
        <n v="1648.47"/>
        <n v="1565.92"/>
        <n v="954.38"/>
        <n v="1510"/>
        <n v="1601.81"/>
        <n v="967.59"/>
        <n v="1210.21"/>
        <n v="1341.42"/>
        <n v="1636.77"/>
        <n v="969.09"/>
        <n v="1132.79"/>
        <n v="1137.3900000000001"/>
        <n v="1795.22"/>
        <n v="1228.45"/>
        <n v="1288.73"/>
        <n v="1028.23"/>
        <n v="1776.4"/>
        <n v="1697.18"/>
        <n v="1364.41"/>
        <n v="1556.3"/>
        <n v="1395.06"/>
        <n v="1353.48"/>
        <n v="1056.5"/>
        <n v="1593.99"/>
        <n v="1211.93"/>
        <n v="1613.57"/>
        <n v="1450.92"/>
        <n v="1556.49"/>
        <n v="1432.86"/>
        <n v="1217.92"/>
        <n v="1128.44"/>
        <n v="1467.79"/>
        <n v="1472.77"/>
        <n v="1389.93"/>
        <n v="1001.9"/>
        <n v="1311.34"/>
        <n v="1725.68"/>
        <n v="1390.51"/>
        <n v="1424.81"/>
        <n v="1063.5999999999999"/>
        <n v="1245.93"/>
        <n v="1409.46"/>
        <n v="1380.9"/>
        <n v="1105.02"/>
        <n v="1727.12"/>
        <n v="1400.28"/>
        <n v="1166.75"/>
        <n v="1134.05"/>
        <n v="1311.29"/>
        <n v="1069.52"/>
        <n v="1217.8900000000001"/>
        <n v="1465.79"/>
        <n v="1395.13"/>
        <n v="1012.47"/>
        <n v="949.33"/>
        <n v="1279.9100000000001"/>
        <n v="1358.54"/>
        <n v="1767.02"/>
        <n v="1348.47"/>
        <n v="1493.61"/>
        <n v="1725.44"/>
        <n v="1499.53"/>
        <n v="1285.01"/>
        <n v="910.31"/>
        <n v="1751.09"/>
        <n v="1287.76"/>
        <n v="1683.75"/>
        <n v="1581.37"/>
        <n v="1446.03"/>
        <n v="1731.71"/>
        <n v="1177.94"/>
        <n v="1403.48"/>
        <n v="1681.41"/>
        <n v="1059.95"/>
        <n v="1195.53"/>
        <n v="1664.02"/>
        <n v="970.41"/>
        <n v="1611.57"/>
        <n v="919.23"/>
        <n v="1065.24"/>
        <n v="1288.74"/>
        <n v="1340.74"/>
        <n v="1609.02"/>
        <n v="997.96"/>
        <n v="943.96"/>
        <n v="1762.68"/>
        <n v="1359.63"/>
        <n v="970.65"/>
        <n v="1364.95"/>
        <n v="1093.6600000000001"/>
        <n v="1047.0999999999999"/>
        <n v="1363.36"/>
        <n v="1486.27"/>
        <n v="987.38"/>
        <n v="1222.17"/>
        <n v="1103.82"/>
        <n v="986.01"/>
        <n v="1078.47"/>
        <n v="1353.23"/>
        <n v="1314.5"/>
        <n v="990.89"/>
        <n v="1346.6"/>
        <n v="1604.44"/>
        <n v="1167.5899999999999"/>
        <n v="1588.1"/>
        <n v="1673.49"/>
        <n v="1208.69"/>
        <n v="1385.92"/>
        <n v="923.34"/>
        <n v="1564.34"/>
        <n v="1187.7"/>
        <n v="1260.54"/>
        <n v="1618"/>
        <n v="1441.9"/>
        <n v="995.93"/>
        <n v="1633.82"/>
        <n v="915.31"/>
        <n v="1707.75"/>
        <n v="1680.29"/>
        <n v="1706.57"/>
        <n v="1151.72"/>
        <n v="1067.22"/>
        <n v="1539.23"/>
        <n v="1734.4"/>
        <n v="1552.68"/>
        <n v="1450.66"/>
        <n v="1112.0899999999999"/>
        <n v="995.9"/>
        <n v="1382.87"/>
        <n v="1531.31"/>
        <n v="1479.02"/>
        <n v="1386.96"/>
        <n v="1548.23"/>
        <n v="1716.29"/>
        <n v="1036.29"/>
        <n v="1194.25"/>
        <n v="960.7"/>
        <n v="1452.7"/>
        <n v="1426.5"/>
        <n v="993.53"/>
        <n v="1283.04"/>
        <n v="1482.75"/>
        <n v="1739.5"/>
        <n v="1299.95"/>
        <n v="1357.43"/>
        <n v="994.24"/>
        <n v="1516.88"/>
        <n v="1718.46"/>
        <n v="1280.46"/>
        <n v="900.67"/>
        <n v="942.65"/>
        <n v="1634.86"/>
        <n v="1567.7"/>
        <n v="1414.25"/>
        <n v="1675.11"/>
        <n v="1423.59"/>
        <n v="1518.5"/>
        <n v="1198.07"/>
        <n v="945.19"/>
        <n v="915.48"/>
        <n v="1348.81"/>
        <n v="1525.21"/>
        <n v="1552.92"/>
        <n v="1768.21"/>
        <n v="1788.98"/>
        <n v="1432.46"/>
        <n v="1664.12"/>
        <n v="1650.98"/>
        <n v="1665.67"/>
        <n v="1361.2"/>
        <n v="1735.34"/>
        <n v="1781.77"/>
        <n v="1434.95"/>
        <n v="1580.09"/>
        <n v="1456.83"/>
        <n v="1628"/>
        <n v="1182.9100000000001"/>
        <n v="1199.93"/>
        <n v="1327.86"/>
        <n v="1585.1"/>
        <n v="1532.21"/>
        <n v="1346.83"/>
        <n v="1628.55"/>
        <n v="1408.83"/>
        <n v="1054.1199999999999"/>
        <n v="1157.25"/>
        <n v="1131.18"/>
        <n v="1211.56"/>
        <n v="1536.81"/>
        <n v="1690.03"/>
        <n v="1605.49"/>
        <n v="1787.24"/>
        <n v="1583.12"/>
        <n v="1355.41"/>
        <n v="954.73"/>
        <n v="1785.92"/>
        <n v="1111.76"/>
        <n v="1064.56"/>
        <n v="1113.9000000000001"/>
        <n v="1038"/>
        <n v="1241.71"/>
        <n v="1052.4100000000001"/>
        <n v="1696.68"/>
        <n v="1088.99"/>
        <n v="1626.14"/>
        <n v="1295.95"/>
        <n v="1130.48"/>
        <n v="968.47"/>
        <n v="1711.36"/>
        <n v="1535.12"/>
        <n v="1148.1099999999999"/>
        <n v="1022.3"/>
        <n v="1294.0899999999999"/>
        <n v="1303.25"/>
        <n v="1188.6199999999999"/>
        <n v="1053.3599999999999"/>
        <n v="1195.75"/>
        <n v="1356.99"/>
        <n v="1479.5"/>
        <n v="1054.3900000000001"/>
        <n v="1616.34"/>
        <n v="1443.83"/>
        <n v="1589.35"/>
        <n v="1300.22"/>
        <n v="1292.1199999999999"/>
        <n v="1104.95"/>
        <n v="1013.57"/>
        <n v="978.7"/>
        <n v="1237.5"/>
        <n v="1743.63"/>
        <n v="1454.29"/>
        <n v="1358.23"/>
        <n v="1335.19"/>
        <n v="1535.09"/>
        <n v="1501.45"/>
        <n v="1639.78"/>
        <n v="1077.28"/>
        <n v="1584.44"/>
        <n v="1097.22"/>
        <n v="1620.45"/>
        <n v="1719.71"/>
        <n v="1348.43"/>
        <n v="1778.12"/>
        <n v="1000.14"/>
        <n v="1409.83"/>
        <n v="1230.29"/>
        <n v="1547.27"/>
        <n v="1450"/>
        <n v="1575.94"/>
        <n v="1295.8900000000001"/>
        <n v="1224.58"/>
        <n v="1276.1199999999999"/>
        <n v="1764.5"/>
        <n v="1010.43"/>
        <n v="1237.5899999999999"/>
        <n v="1113.75"/>
        <n v="1329.52"/>
        <n v="1305.79"/>
        <n v="1555.72"/>
        <n v="1670.01"/>
        <n v="1509.83"/>
        <n v="938.88"/>
        <n v="1700.98"/>
        <n v="1539.33"/>
        <n v="1366.63"/>
        <n v="1118.29"/>
        <n v="1741.12"/>
        <n v="1265.68"/>
        <n v="1720.6"/>
        <n v="1329.67"/>
        <n v="1446.01"/>
        <n v="1602.04"/>
        <n v="1031"/>
        <n v="1159.67"/>
        <n v="1430.47"/>
        <n v="1781"/>
        <n v="949.8"/>
        <n v="1577.17"/>
        <n v="1538.28"/>
        <n v="1570.97"/>
        <n v="1207.76"/>
        <n v="1566.48"/>
        <n v="1792.38"/>
        <n v="1151.47"/>
        <n v="1761.22"/>
        <n v="1549.23"/>
        <n v="954.15"/>
        <n v="1610.77"/>
        <n v="1070.22"/>
        <n v="1497.18"/>
        <n v="1490.48"/>
        <n v="1280.1400000000001"/>
        <n v="1499.6"/>
        <n v="1199.07"/>
        <n v="990.05"/>
        <n v="1266.3"/>
        <n v="1543.29"/>
        <n v="909.24"/>
        <n v="905.39"/>
        <n v="1049.54"/>
        <n v="1611.82"/>
        <n v="1529.28"/>
        <n v="1717.28"/>
        <n v="1097.45"/>
        <n v="1162.1300000000001"/>
        <n v="1171.0899999999999"/>
        <n v="1464.6"/>
        <n v="1593.61"/>
        <n v="1434.13"/>
        <n v="1376.05"/>
        <n v="1619.87"/>
        <n v="996.43"/>
        <n v="1440.71"/>
        <n v="942.25"/>
        <n v="1297.3399999999999"/>
        <n v="995.28"/>
        <n v="1606.31"/>
        <n v="1266.53"/>
        <n v="1645.6"/>
        <n v="1713.87"/>
        <n v="958.27"/>
        <n v="1353.55"/>
        <n v="1758.56"/>
        <n v="1304.68"/>
        <n v="1641.89"/>
        <n v="1429.32"/>
        <n v="1312.34"/>
        <n v="1022.35"/>
        <n v="1099.6099999999999"/>
        <n v="1195.1300000000001"/>
        <n v="1594.61"/>
        <n v="1733.27"/>
        <n v="1271.04"/>
        <n v="1670.14"/>
        <n v="1123.56"/>
        <n v="1104.81"/>
        <n v="1105.8499999999999"/>
        <n v="1490.96"/>
        <n v="1594.75"/>
        <n v="905.5"/>
        <n v="1397.09"/>
        <n v="1039.3599999999999"/>
        <n v="1662.91"/>
        <n v="1794.21"/>
        <n v="1089.6600000000001"/>
        <n v="1293.81"/>
        <n v="1506.6"/>
        <n v="1434.41"/>
        <n v="1680.45"/>
        <n v="1746.47"/>
        <n v="982.78"/>
        <n v="1146.83"/>
        <n v="1001.16"/>
        <n v="1569.34"/>
        <n v="1009.38"/>
        <n v="1210.67"/>
        <n v="1454.8"/>
        <n v="1172.73"/>
        <n v="1505.09"/>
        <n v="1137.05"/>
        <n v="1244.82"/>
        <n v="1795.47"/>
        <n v="927.2"/>
        <n v="1740.86"/>
        <n v="1741.06"/>
        <n v="1395.19"/>
        <n v="1395.62"/>
        <n v="1087.26"/>
        <n v="915.09"/>
        <n v="923.16"/>
        <n v="1137.6500000000001"/>
        <n v="1467.77"/>
        <n v="1751.27"/>
        <n v="1385.68"/>
        <n v="1095.9100000000001"/>
        <n v="1007.01"/>
        <n v="1395.87"/>
        <n v="1641.28"/>
        <n v="1619.47"/>
        <n v="1197.45"/>
        <n v="1078.6300000000001"/>
        <n v="915.11"/>
        <n v="1657.18"/>
        <n v="1430.61"/>
        <n v="1292.67"/>
        <n v="1286.71"/>
        <n v="1548.54"/>
        <n v="1348.59"/>
        <n v="1527.67"/>
        <n v="932.47"/>
        <n v="1349.8"/>
        <n v="1435"/>
        <n v="1666.39"/>
        <n v="1444.12"/>
        <n v="1287.47"/>
        <n v="1784.44"/>
        <n v="1704.18"/>
        <n v="1596.89"/>
        <n v="1578.25"/>
        <n v="1634.76"/>
        <n v="1129.68"/>
        <n v="1266.2"/>
        <n v="1194.48"/>
        <n v="1381.53"/>
        <n v="940.31"/>
        <n v="1009.45"/>
        <n v="1091.04"/>
        <n v="1466.62"/>
        <n v="1121.98"/>
        <n v="1400.19"/>
        <n v="1316.46"/>
        <n v="1293.08"/>
        <n v="1365.19"/>
        <n v="1713.36"/>
        <n v="983.44"/>
        <n v="1486"/>
        <n v="1748.09"/>
        <n v="1119.43"/>
        <n v="934.5"/>
        <n v="1107.1199999999999"/>
        <n v="1112.47"/>
        <n v="1035.8699999999999"/>
        <n v="1077.9000000000001"/>
        <n v="1671.65"/>
        <n v="1487.61"/>
        <n v="1523.74"/>
        <n v="1622.7"/>
        <n v="1621.6"/>
        <n v="1215.51"/>
        <n v="1040.1400000000001"/>
        <n v="962.54"/>
        <n v="1247.3499999999999"/>
        <n v="1102.99"/>
        <n v="1497.78"/>
        <n v="941.17"/>
        <n v="1285.7"/>
        <n v="1521.6"/>
        <n v="1253.44"/>
        <n v="1720.63"/>
        <n v="902.89"/>
        <n v="1761.98"/>
        <n v="1077.67"/>
        <n v="1433.18"/>
        <n v="958.11"/>
        <n v="1776.8"/>
        <n v="1064.76"/>
        <n v="1723.99"/>
        <n v="1462.25"/>
        <n v="1758.61"/>
        <n v="1425.88"/>
        <n v="1728.8"/>
        <n v="1188.5999999999999"/>
        <n v="973.14"/>
        <n v="1728.65"/>
        <n v="1720"/>
        <n v="1718.95"/>
        <n v="1665.05"/>
        <n v="1374.67"/>
        <n v="1522.82"/>
        <n v="1668.17"/>
        <n v="1494.95"/>
        <n v="1358.44"/>
        <n v="1374.71"/>
        <n v="1187.75"/>
        <n v="1664.1"/>
        <n v="1240.93"/>
        <n v="1705.71"/>
        <n v="1011.65"/>
        <n v="1701.51"/>
        <n v="1174.1199999999999"/>
        <n v="1328.39"/>
        <n v="1357.52"/>
        <n v="941.58"/>
        <n v="903.9"/>
        <n v="1162.78"/>
        <n v="1453.49"/>
        <n v="1785.13"/>
        <n v="1244.32"/>
        <n v="1369.92"/>
        <n v="1332.04"/>
        <n v="948.95"/>
        <n v="1325.76"/>
        <n v="1422.27"/>
        <n v="1643.12"/>
        <n v="1657.63"/>
        <n v="1018.76"/>
        <n v="1204.3699999999999"/>
        <n v="1376.91"/>
        <n v="1481.74"/>
        <n v="992.19"/>
        <n v="1530.58"/>
        <n v="1297.3499999999999"/>
        <n v="1004.46"/>
        <n v="1132.6300000000001"/>
        <n v="951.9"/>
        <n v="1077.5999999999999"/>
        <n v="1549.37"/>
        <n v="1513.16"/>
        <n v="1528.06"/>
        <n v="1044.74"/>
        <n v="1417.86"/>
        <n v="1048.49"/>
        <n v="1347.53"/>
        <n v="1711.7"/>
        <n v="1722.48"/>
        <n v="1619.96"/>
        <n v="993.41"/>
        <n v="1269.1300000000001"/>
        <n v="1304.4000000000001"/>
        <n v="1318.16"/>
        <n v="1567.05"/>
        <n v="1227.69"/>
        <n v="934.41"/>
        <n v="1460.32"/>
        <n v="1062.95"/>
        <n v="1146.79"/>
        <n v="984.55"/>
        <n v="1145.1500000000001"/>
        <n v="1068.6199999999999"/>
        <n v="1023.83"/>
        <n v="1463.4"/>
        <n v="1301.1600000000001"/>
        <n v="1020.89"/>
        <n v="1402.01"/>
        <n v="1565.58"/>
        <n v="1014.73"/>
        <n v="1136.08"/>
        <n v="1535.04"/>
        <n v="1599.74"/>
        <n v="1444.94"/>
        <n v="1740.45"/>
        <n v="1193.27"/>
        <n v="1665.72"/>
        <n v="1548.29"/>
        <n v="1678.47"/>
        <n v="1198.43"/>
        <n v="1307.1199999999999"/>
        <n v="1008.63"/>
        <n v="1094.6099999999999"/>
        <n v="1567.85"/>
        <n v="1382.11"/>
        <n v="1140.06"/>
        <n v="940.61"/>
        <n v="965.5"/>
        <n v="932.31"/>
        <n v="1542.01"/>
        <n v="1141.1400000000001"/>
        <n v="1597.1"/>
        <n v="1680.49"/>
        <n v="1643.48"/>
        <n v="1466.68"/>
        <n v="1058.8599999999999"/>
        <n v="1226.07"/>
        <n v="1238.9000000000001"/>
        <n v="1343.52"/>
        <n v="1738.43"/>
        <n v="1755.29"/>
        <n v="1105.55"/>
        <n v="1657.73"/>
        <n v="905.34"/>
        <n v="1524.28"/>
        <n v="1283.22"/>
        <n v="1683.8"/>
        <n v="1129.03"/>
        <n v="1798.84"/>
        <n v="1582.14"/>
        <n v="1264.27"/>
        <n v="1253.04"/>
        <n v="1675.1"/>
        <n v="1052.95"/>
        <n v="1613.88"/>
        <n v="1156.74"/>
        <n v="1385.9"/>
        <n v="1795.4"/>
        <n v="1546.53"/>
        <n v="1755.33"/>
        <n v="1243.28"/>
        <n v="1281.4100000000001"/>
        <n v="1073.2"/>
        <n v="1320.59"/>
        <n v="904.17"/>
        <n v="1261.93"/>
        <n v="1318.72"/>
        <n v="1244.4000000000001"/>
        <n v="1222.8399999999999"/>
        <n v="1681.01"/>
        <n v="1514.23"/>
        <n v="1103.08"/>
        <n v="1211.04"/>
        <n v="1352.83"/>
        <n v="1249.72"/>
        <n v="969.83"/>
        <n v="993.61"/>
        <n v="1129.0999999999999"/>
        <n v="1130.6099999999999"/>
        <n v="1787.68"/>
        <n v="1338.76"/>
        <n v="1396.01"/>
        <n v="1434.62"/>
        <n v="963.04"/>
        <n v="1613.79"/>
        <n v="1754.99"/>
        <n v="1547.26"/>
        <n v="1323.03"/>
        <n v="942.72"/>
        <n v="1414.2"/>
        <n v="1639.36"/>
        <n v="1486.68"/>
        <n v="1560.69"/>
        <n v="1405.77"/>
        <n v="1231.8399999999999"/>
        <n v="934.67"/>
        <n v="915.86"/>
        <n v="1715.78"/>
        <n v="1578.87"/>
        <n v="932.7"/>
        <n v="1241.42"/>
        <n v="1355.5"/>
        <n v="1307.0899999999999"/>
        <n v="1400.26"/>
        <n v="930.9"/>
        <n v="1047.76"/>
        <n v="1193.92"/>
        <n v="1747.14"/>
        <n v="1240.08"/>
        <n v="1135.23"/>
        <n v="1235.8499999999999"/>
        <n v="1248.25"/>
        <n v="1366.39"/>
        <n v="1133.03"/>
        <n v="1533.95"/>
        <n v="1183.46"/>
        <n v="1677.54"/>
        <n v="1550.67"/>
        <n v="1570.8"/>
        <n v="1629.99"/>
        <n v="1797.73"/>
        <n v="1247.97"/>
        <n v="1545.35"/>
        <n v="1246.93"/>
        <n v="1731.46"/>
        <n v="1118.79"/>
        <n v="1242.79"/>
        <n v="1724.63"/>
        <n v="1402.94"/>
        <n v="1251.95"/>
        <n v="1447.37"/>
        <n v="1540.33"/>
        <n v="1092.56"/>
        <n v="1517.02"/>
        <n v="1035.3399999999999"/>
        <n v="1530.12"/>
        <n v="1677.68"/>
        <n v="1724.64"/>
        <n v="1102.33"/>
        <n v="923.32"/>
        <n v="1706.44"/>
        <n v="1266.76"/>
        <n v="1778.62"/>
        <n v="1105.06"/>
        <n v="1371.14"/>
        <n v="1518.96"/>
        <n v="1211.1099999999999"/>
        <n v="988.17"/>
        <n v="1651.3"/>
        <n v="1004.4"/>
        <n v="1037.3"/>
        <n v="913.96"/>
        <n v="968.45"/>
        <n v="1607.26"/>
        <n v="1596.19"/>
        <n v="1774.4"/>
        <n v="1070.52"/>
        <n v="1053.49"/>
        <n v="1698.96"/>
        <n v="1189.52"/>
        <n v="1561.37"/>
        <n v="1078.26"/>
        <n v="914.45"/>
        <n v="1195.02"/>
        <n v="1076.8800000000001"/>
        <n v="931.09"/>
        <n v="1703.9"/>
        <n v="1685.12"/>
        <n v="1098.6099999999999"/>
        <n v="1577.39"/>
        <n v="1627.58"/>
        <n v="1157.47"/>
        <n v="1464.53"/>
        <n v="1506.41"/>
        <n v="985.37"/>
        <n v="1015.04"/>
        <n v="962.3"/>
        <n v="1681.37"/>
        <n v="1023.82"/>
        <n v="962.85"/>
        <n v="1196.19"/>
        <n v="1786.36"/>
        <n v="1292.28"/>
        <n v="1013.7"/>
        <n v="1109.6300000000001"/>
        <n v="1779.68"/>
        <n v="1129.53"/>
        <n v="987.31"/>
        <n v="1525.4"/>
        <n v="1136.72"/>
        <n v="903.08"/>
        <n v="1704.76"/>
        <n v="1788.24"/>
        <n v="1067.02"/>
        <n v="1635.05"/>
        <n v="1116.82"/>
        <n v="1127.9100000000001"/>
        <n v="1342.18"/>
        <n v="982.6"/>
        <n v="1295.6500000000001"/>
        <n v="1564.27"/>
        <n v="1275.3800000000001"/>
        <n v="925.73"/>
        <n v="1550.31"/>
        <n v="1099.78"/>
        <n v="1225.8"/>
        <n v="1022.15"/>
        <n v="1354.37"/>
        <n v="1353.2"/>
        <n v="1469.91"/>
        <n v="1505.27"/>
        <n v="1327.45"/>
        <n v="1410.77"/>
        <n v="1713.27"/>
        <n v="1044.44"/>
        <n v="953.35"/>
        <n v="1328.35"/>
        <n v="1472.72"/>
        <n v="1186.25"/>
        <n v="1211.29"/>
        <n v="1579.49"/>
        <n v="1566.59"/>
        <n v="1429.49"/>
        <n v="1797.48"/>
        <n v="1510.75"/>
        <n v="1427.69"/>
        <n v="1139.1199999999999"/>
        <n v="1266.4100000000001"/>
        <n v="1275.75"/>
        <n v="981.98"/>
        <n v="1468.49"/>
        <n v="1796.48"/>
        <n v="901.2"/>
        <n v="1494.75"/>
        <n v="1414.8"/>
        <n v="1692.1"/>
        <n v="1545.57"/>
        <n v="1052.6199999999999"/>
        <n v="1469.29"/>
        <n v="1544.01"/>
        <n v="1725.66"/>
        <n v="1323.01"/>
        <n v="1251"/>
        <n v="1106.3499999999999"/>
        <n v="1689.98"/>
        <n v="1588.29"/>
        <n v="1602.65"/>
        <n v="1536.88"/>
        <n v="1331.52"/>
        <n v="1631.63"/>
        <n v="1682.22"/>
        <n v="1613.84"/>
        <n v="1538.31"/>
        <n v="990.64"/>
        <n v="1388.89"/>
        <n v="1654.98"/>
        <n v="1118.1300000000001"/>
        <n v="1242.21"/>
        <n v="1543.2"/>
        <n v="1090.1099999999999"/>
        <n v="1701.53"/>
        <n v="918.19"/>
        <n v="1415.81"/>
        <n v="1368.32"/>
        <n v="1112.06"/>
        <n v="1004.43"/>
        <n v="1061.47"/>
        <n v="1168.71"/>
        <n v="1524.55"/>
        <n v="1578.35"/>
        <n v="1779.8"/>
        <n v="1070.31"/>
        <n v="1320.76"/>
        <n v="920.98"/>
        <n v="927.02"/>
        <n v="1760.58"/>
        <n v="998.63"/>
        <n v="1446.3"/>
        <n v="1690.01"/>
        <n v="1656.99"/>
        <n v="1448.28"/>
        <n v="1579.43"/>
        <n v="1486.17"/>
      </sharedItems>
    </cacheField>
    <cacheField name="Media_Sentiment_Score" numFmtId="2">
      <sharedItems containsSemiMixedTypes="0" containsString="0" containsNumber="1" minValue="-0.998" maxValue="0.998" count="1257">
        <n v="-0.77900000000000003"/>
        <n v="0.873"/>
        <n v="-0.22800000000000001"/>
        <n v="0.25600000000000001"/>
        <n v="-0.99399999999999999"/>
        <n v="0.32200000000000001"/>
        <n v="0.34899999999999998"/>
        <n v="0.28299999999999997"/>
        <n v="0.19500000000000001"/>
        <n v="-0.27500000000000002"/>
        <n v="-3.7999999999999999E-2"/>
        <n v="0.98299999999999998"/>
        <n v="-0.75600000000000001"/>
        <n v="0.106"/>
        <n v="0.98199999999999998"/>
        <n v="0.56100000000000005"/>
        <n v="-0.128"/>
        <n v="0.39700000000000002"/>
        <n v="-0.26500000000000001"/>
        <n v="0.28399999999999997"/>
        <n v="-0.33"/>
        <n v="-0.80700000000000005"/>
        <n v="-0.31"/>
        <n v="-0.219"/>
        <n v="-0.628"/>
        <n v="-0.60199999999999998"/>
        <n v="-0.79800000000000004"/>
        <n v="-0.753"/>
        <n v="-0.66400000000000003"/>
        <n v="-0.68700000000000006"/>
        <n v="-0.76"/>
        <n v="0.73799999999999999"/>
        <n v="0.34100000000000003"/>
        <n v="-0.73699999999999999"/>
        <n v="-0.86399999999999999"/>
        <n v="-4.1000000000000002E-2"/>
        <n v="0.55300000000000005"/>
        <n v="-0.504"/>
        <n v="-0.98"/>
        <n v="0.93200000000000005"/>
        <n v="-0.95899999999999996"/>
        <n v="-0.17599999999999999"/>
        <n v="0.67300000000000004"/>
        <n v="-0.93300000000000005"/>
        <n v="-0.16"/>
        <n v="0.21099999999999999"/>
        <n v="0.32900000000000001"/>
        <n v="2.9000000000000001E-2"/>
        <n v="-0.34399999999999997"/>
        <n v="-0.221"/>
        <n v="0.85499999999999998"/>
        <n v="0.247"/>
        <n v="-0.77200000000000002"/>
        <n v="-0.27600000000000002"/>
        <n v="-0.53700000000000003"/>
        <n v="0.312"/>
        <n v="0.89300000000000002"/>
        <n v="-0.95099999999999996"/>
        <n v="-0.39100000000000001"/>
        <n v="0.21299999999999999"/>
        <n v="0.90500000000000003"/>
        <n v="2.5000000000000001E-2"/>
        <n v="-0.90700000000000003"/>
        <n v="0.57299999999999995"/>
        <n v="0.65500000000000003"/>
        <n v="-0.66900000000000004"/>
        <n v="3.6999999999999998E-2"/>
        <n v="-0.30399999999999999"/>
        <n v="0.54200000000000004"/>
        <n v="0.27900000000000003"/>
        <n v="2.7E-2"/>
        <n v="-0.39800000000000002"/>
        <n v="0.23200000000000001"/>
        <n v="-0.95599999999999996"/>
        <n v="-0.378"/>
        <n v="0.73699999999999999"/>
        <n v="0.52400000000000002"/>
        <n v="-4.5999999999999999E-2"/>
        <n v="-0.22600000000000001"/>
        <n v="-0.83099999999999996"/>
        <n v="0.30099999999999999"/>
        <n v="0.56399999999999995"/>
        <n v="0.71599999999999997"/>
        <n v="0.84699999999999998"/>
        <n v="0.14000000000000001"/>
        <n v="-0.06"/>
        <n v="0.60399999999999998"/>
        <n v="-0.40500000000000003"/>
        <n v="0.68100000000000005"/>
        <n v="-0.14899999999999999"/>
        <n v="-0.84699999999999998"/>
        <n v="-0.72099999999999997"/>
        <n v="0.24"/>
        <n v="0.91600000000000004"/>
        <n v="0.81200000000000006"/>
        <n v="0.17599999999999999"/>
        <n v="0.47699999999999998"/>
        <n v="-0.59499999999999997"/>
        <n v="-0.251"/>
        <n v="-0.14399999999999999"/>
        <n v="-0.187"/>
        <n v="-7.6999999999999999E-2"/>
        <n v="-0.78200000000000003"/>
        <n v="0.58699999999999997"/>
        <n v="0.89400000000000002"/>
        <n v="0.626"/>
        <n v="0.57199999999999995"/>
        <n v="-1.4E-2"/>
        <n v="-0.14699999999999999"/>
        <n v="-0.58399999999999996"/>
        <n v="0.7"/>
        <n v="-0.252"/>
        <n v="0.496"/>
        <n v="-0.23200000000000001"/>
        <n v="-0.98399999999999999"/>
        <n v="-0.38700000000000001"/>
        <n v="0.748"/>
        <n v="0.54700000000000004"/>
        <n v="0.55800000000000005"/>
        <n v="0.58499999999999996"/>
        <n v="-9.6000000000000002E-2"/>
        <n v="-0.60699999999999998"/>
        <n v="0.52300000000000002"/>
        <n v="0.252"/>
        <n v="-0.64"/>
        <n v="0.251"/>
        <n v="-0.69299999999999995"/>
        <n v="-0.48499999999999999"/>
        <n v="-6.7000000000000004E-2"/>
        <n v="-0.67300000000000004"/>
        <n v="-0.29899999999999999"/>
        <n v="-0.54500000000000004"/>
        <n v="-0.32800000000000001"/>
        <n v="-0.53300000000000003"/>
        <n v="-0.39300000000000002"/>
        <n v="-0.748"/>
        <n v="0.746"/>
        <n v="-0.76500000000000001"/>
        <n v="-0.78400000000000003"/>
        <n v="0.67400000000000004"/>
        <n v="-0.315"/>
        <n v="0.54"/>
        <n v="0.498"/>
        <n v="-0.875"/>
        <n v="0.55700000000000005"/>
        <n v="-0.25700000000000001"/>
        <n v="0.70299999999999996"/>
        <n v="-0.53900000000000003"/>
        <n v="-0.95"/>
        <n v="-0.878"/>
        <n v="-0.159"/>
        <n v="-0.91700000000000004"/>
        <n v="-0.247"/>
        <n v="0.51300000000000001"/>
        <n v="-4.8000000000000001E-2"/>
        <n v="-0.61"/>
        <n v="0.32700000000000001"/>
        <n v="-0.86299999999999999"/>
        <n v="0.63700000000000001"/>
        <n v="0.33800000000000002"/>
        <n v="0.157"/>
        <n v="0.14499999999999999"/>
        <n v="-0.44800000000000001"/>
        <n v="0.36599999999999999"/>
        <n v="-0.53400000000000003"/>
        <n v="0.57399999999999995"/>
        <n v="-1.9E-2"/>
        <n v="-0.10199999999999999"/>
        <n v="-0.28499999999999998"/>
        <n v="-0.83199999999999996"/>
        <n v="-0.71199999999999997"/>
        <n v="-0.17399999999999999"/>
        <n v="-0.83499999999999996"/>
        <n v="-0.32200000000000001"/>
        <n v="0.39300000000000002"/>
        <n v="-0.71299999999999997"/>
        <n v="-0.56100000000000005"/>
        <n v="8.5999999999999993E-2"/>
        <n v="0.86699999999999999"/>
        <n v="-0.33500000000000002"/>
        <n v="-0.80400000000000005"/>
        <n v="-0.379"/>
        <n v="-0.67600000000000005"/>
        <n v="0.20899999999999999"/>
        <n v="-0.88500000000000001"/>
        <n v="0.90900000000000003"/>
        <n v="0.70899999999999996"/>
        <n v="-0.77500000000000002"/>
        <n v="-0.879"/>
        <n v="-0.64200000000000002"/>
        <n v="-0.16800000000000001"/>
        <n v="0.33"/>
        <n v="-0.97499999999999998"/>
        <n v="-0.74399999999999999"/>
        <n v="0.72"/>
        <n v="0.96099999999999997"/>
        <n v="-0.80900000000000005"/>
        <n v="0.67800000000000005"/>
        <n v="-0.68600000000000005"/>
        <n v="-0.627"/>
        <n v="0.61599999999999999"/>
        <n v="6.2E-2"/>
        <n v="-0.105"/>
        <n v="-0.80600000000000005"/>
        <n v="-0.871"/>
        <n v="0.40200000000000002"/>
        <n v="0.47199999999999998"/>
        <n v="0.15"/>
        <n v="0.121"/>
        <n v="-7.3999999999999996E-2"/>
        <n v="-0.83"/>
        <n v="0.50700000000000001"/>
        <n v="3.9E-2"/>
        <n v="-0.45"/>
        <n v="0.56000000000000005"/>
        <n v="0.17100000000000001"/>
        <n v="-0.1"/>
        <n v="0.80500000000000005"/>
        <n v="0.83799999999999997"/>
        <n v="0.93500000000000005"/>
        <n v="0.74299999999999999"/>
        <n v="0.43"/>
        <n v="0.72799999999999998"/>
        <n v="-0.91900000000000004"/>
        <n v="-0.91200000000000003"/>
        <n v="-0.96599999999999997"/>
        <n v="-0.97899999999999998"/>
        <n v="-0.30599999999999999"/>
        <n v="0.52900000000000003"/>
        <n v="0.55500000000000005"/>
        <n v="0.26500000000000001"/>
        <n v="0.53500000000000003"/>
        <n v="-0.313"/>
        <n v="-0.41799999999999998"/>
        <n v="0.627"/>
        <n v="0.51400000000000001"/>
        <n v="0.9"/>
        <n v="0.44"/>
        <n v="0.42399999999999999"/>
        <n v="0.63900000000000001"/>
        <n v="0.76300000000000001"/>
        <n v="0.78700000000000003"/>
        <n v="-0.374"/>
        <n v="0.84099999999999997"/>
        <n v="-0.76700000000000002"/>
        <n v="-0.54"/>
        <n v="-0.20300000000000001"/>
        <n v="-5.0999999999999997E-2"/>
        <n v="0.61899999999999999"/>
        <n v="-0.32400000000000001"/>
        <n v="-0.64400000000000002"/>
        <n v="0.18"/>
        <n v="-0.89700000000000002"/>
        <n v="0.16700000000000001"/>
        <n v="0.30399999999999999"/>
        <n v="0.1"/>
        <n v="0.53200000000000003"/>
        <n v="-0.55500000000000005"/>
        <n v="0.112"/>
        <n v="0.67500000000000004"/>
        <n v="0.224"/>
        <n v="0.29799999999999999"/>
        <n v="4.3999999999999997E-2"/>
        <n v="0.74199999999999999"/>
        <n v="-0.51400000000000001"/>
        <n v="-9.5000000000000001E-2"/>
        <n v="4.2999999999999997E-2"/>
        <n v="0.67100000000000004"/>
        <n v="0.74399999999999999"/>
        <n v="0.40400000000000003"/>
        <n v="-0.56499999999999995"/>
        <n v="0.50900000000000001"/>
        <n v="-0.62"/>
        <n v="0.65200000000000002"/>
        <n v="0.52700000000000002"/>
        <n v="-0.67800000000000005"/>
        <n v="0.64800000000000002"/>
        <n v="-0.122"/>
        <n v="0.378"/>
        <n v="0.187"/>
        <n v="-0.14499999999999999"/>
        <n v="-0.872"/>
        <n v="0.77700000000000002"/>
        <n v="-0.33700000000000002"/>
        <n v="0.76900000000000002"/>
        <n v="2.1000000000000001E-2"/>
        <n v="-0.63200000000000001"/>
        <n v="-0.47499999999999998"/>
        <n v="-0.46700000000000003"/>
        <n v="0.66700000000000004"/>
        <n v="-0.55900000000000005"/>
        <n v="0.314"/>
        <n v="0.96399999999999997"/>
        <n v="-0.71799999999999997"/>
        <n v="0.315"/>
        <n v="-0.93799999999999994"/>
        <n v="-9.2999999999999999E-2"/>
        <n v="0.115"/>
        <n v="0.51600000000000001"/>
        <n v="-0.191"/>
        <n v="0.38800000000000001"/>
        <n v="-0.438"/>
        <n v="-0.70299999999999996"/>
        <n v="-0.59399999999999997"/>
        <n v="0.33900000000000002"/>
        <n v="4.2000000000000003E-2"/>
        <n v="0.2"/>
        <n v="0.39600000000000002"/>
        <n v="-0.54900000000000004"/>
        <n v="-0.21199999999999999"/>
        <n v="-0.73599999999999999"/>
        <n v="0.82199999999999995"/>
        <n v="0.107"/>
        <n v="0.65900000000000003"/>
        <n v="0.218"/>
        <n v="-0.41299999999999998"/>
        <n v="0.248"/>
        <n v="0.998"/>
        <n v="-0.72399999999999998"/>
        <n v="0.61399999999999999"/>
        <n v="-0.51300000000000001"/>
        <n v="0.77600000000000002"/>
        <n v="0.16"/>
        <n v="-0.58299999999999996"/>
        <n v="0.39400000000000002"/>
        <n v="-0.47599999999999998"/>
        <n v="-0.61799999999999999"/>
        <n v="0.79300000000000004"/>
        <n v="0.14899999999999999"/>
        <n v="-7.0000000000000001E-3"/>
        <n v="5.8999999999999997E-2"/>
        <n v="-3.3000000000000002E-2"/>
        <n v="-0.54800000000000004"/>
        <n v="0.36199999999999999"/>
        <n v="0.24099999999999999"/>
        <n v="-9.9000000000000005E-2"/>
        <n v="-0.35899999999999999"/>
        <n v="0.71"/>
        <n v="0.14699999999999999"/>
        <n v="9.8000000000000004E-2"/>
        <n v="0.189"/>
        <n v="0.374"/>
        <n v="0.92600000000000005"/>
        <n v="-0.77100000000000002"/>
        <n v="-0.23"/>
        <n v="-0.76900000000000002"/>
        <n v="0.33600000000000002"/>
        <n v="-0.17299999999999999"/>
        <n v="-8.0000000000000002E-3"/>
        <n v="-1.6E-2"/>
        <n v="-6.8000000000000005E-2"/>
        <n v="9.9000000000000005E-2"/>
        <n v="0.47599999999999998"/>
        <n v="3.5999999999999997E-2"/>
        <n v="-0.35399999999999998"/>
        <n v="0.34200000000000003"/>
        <n v="-0.123"/>
        <n v="0.16300000000000001"/>
        <n v="-0.02"/>
        <n v="0.34599999999999997"/>
        <n v="0.52600000000000002"/>
        <n v="-0.94299999999999995"/>
        <n v="-0.73199999999999998"/>
        <n v="-0.51200000000000001"/>
        <n v="0.89700000000000002"/>
        <n v="0.23400000000000001"/>
        <n v="-0.497"/>
        <n v="-0.86799999999999999"/>
        <n v="-0.92700000000000005"/>
        <n v="0.23899999999999999"/>
        <n v="1.7999999999999999E-2"/>
        <n v="0.17"/>
        <n v="0.47899999999999998"/>
        <n v="0.66600000000000004"/>
        <n v="-0.28399999999999997"/>
        <n v="0.56699999999999995"/>
        <n v="0.436"/>
        <n v="0.317"/>
        <n v="0.65100000000000002"/>
        <n v="-0.94099999999999995"/>
        <n v="-0.215"/>
        <n v="-0.85499999999999998"/>
        <n v="-0.33800000000000002"/>
        <n v="0.439"/>
        <n v="-0.89400000000000002"/>
        <n v="-0.80500000000000005"/>
        <n v="-0.57899999999999996"/>
        <n v="-6.6000000000000003E-2"/>
        <n v="-0.12"/>
        <n v="-0.42199999999999999"/>
        <n v="-0.622"/>
        <n v="0.68700000000000006"/>
        <n v="0.93400000000000005"/>
        <n v="-0.129"/>
        <n v="-7.0999999999999994E-2"/>
        <n v="-0.48699999999999999"/>
        <n v="0.309"/>
        <n v="0.61699999999999999"/>
        <n v="0.95599999999999996"/>
        <n v="0.28799999999999998"/>
        <n v="-0.33300000000000002"/>
        <n v="-0.84199999999999997"/>
        <n v="9.6000000000000002E-2"/>
        <n v="-0.23899999999999999"/>
        <n v="0.42699999999999999"/>
        <n v="-1.4999999999999999E-2"/>
        <n v="0.80900000000000005"/>
        <n v="-0.58899999999999997"/>
        <n v="-0.441"/>
        <n v="-3.2000000000000001E-2"/>
        <n v="0.43099999999999999"/>
        <n v="0.105"/>
        <n v="-0.92900000000000005"/>
        <n v="0.88400000000000001"/>
        <n v="-0.48899999999999999"/>
        <n v="-0.99099999999999999"/>
        <n v="0.39"/>
        <n v="-0.876"/>
        <n v="0.16200000000000001"/>
        <n v="-0.59799999999999998"/>
        <n v="0.253"/>
        <n v="-0.76200000000000001"/>
        <n v="3.5000000000000003E-2"/>
        <n v="0.59299999999999997"/>
        <n v="-0.97699999999999998"/>
        <n v="0.53900000000000003"/>
        <n v="0.27600000000000002"/>
        <n v="-0.71599999999999997"/>
        <n v="-0.36399999999999999"/>
        <n v="-0.74199999999999999"/>
        <n v="-0.34100000000000003"/>
        <n v="0.55600000000000005"/>
        <n v="0.63"/>
        <n v="0.96699999999999997"/>
        <n v="-0.96299999999999997"/>
        <n v="-0.47099999999999997"/>
        <n v="-0.91600000000000004"/>
        <n v="0.92400000000000004"/>
        <n v="0.124"/>
        <n v="-0.42"/>
        <n v="-0.82599999999999996"/>
        <n v="-0.97599999999999998"/>
        <n v="-0.80200000000000005"/>
        <n v="8.4000000000000005E-2"/>
        <n v="-0.91500000000000004"/>
        <n v="0.36399999999999999"/>
        <n v="0.5"/>
        <n v="-8.1000000000000003E-2"/>
        <n v="0.86899999999999999"/>
        <n v="0.91800000000000004"/>
        <n v="-0.46300000000000002"/>
        <n v="-0.108"/>
        <n v="0.36"/>
        <n v="0.184"/>
        <n v="0.48199999999999998"/>
        <n v="0.76700000000000002"/>
        <n v="-0.79600000000000004"/>
        <n v="0.17399999999999999"/>
        <n v="-0.26"/>
        <n v="0.11"/>
        <n v="-0.35"/>
        <n v="-0.45100000000000001"/>
        <n v="0.97799999999999998"/>
        <n v="0.42099999999999999"/>
        <n v="0.63400000000000001"/>
        <n v="-0.254"/>
        <n v="0.45100000000000001"/>
        <n v="0.123"/>
        <n v="-0.23100000000000001"/>
        <n v="-0.32300000000000001"/>
        <n v="-0.80300000000000005"/>
        <n v="0.75900000000000001"/>
        <n v="0.64200000000000002"/>
        <n v="0.221"/>
        <n v="-0.371"/>
        <n v="0.122"/>
        <n v="0.49299999999999999"/>
        <n v="-0.77600000000000002"/>
        <n v="0.45700000000000002"/>
        <n v="0.79800000000000004"/>
        <n v="0.186"/>
        <n v="-0.34"/>
        <n v="-0.376"/>
        <n v="-0.84399999999999997"/>
        <n v="0.30599999999999999"/>
        <n v="4.7E-2"/>
        <n v="0.65800000000000003"/>
        <n v="-0.995"/>
        <n v="2.5999999999999999E-2"/>
        <n v="-0.65100000000000002"/>
        <n v="0.82"/>
        <n v="0.877"/>
        <n v="0.84399999999999997"/>
        <n v="6.8000000000000005E-2"/>
        <n v="-0.70499999999999996"/>
        <n v="-0.80100000000000005"/>
        <n v="-0.9"/>
        <n v="7.2999999999999995E-2"/>
        <n v="-0.96199999999999997"/>
        <n v="0.20100000000000001"/>
        <n v="0.97899999999999998"/>
        <n v="0.34399999999999997"/>
        <n v="-0.05"/>
        <n v="-0.152"/>
        <n v="0.76100000000000001"/>
        <n v="-0.69699999999999995"/>
        <n v="0.40500000000000003"/>
        <n v="0.29099999999999998"/>
        <n v="0.96899999999999997"/>
        <n v="0.35099999999999998"/>
        <n v="0.313"/>
        <n v="-0.184"/>
        <n v="-0.66200000000000003"/>
        <n v="-0.372"/>
        <n v="-0.97099999999999997"/>
        <n v="0.79500000000000004"/>
        <n v="-0.80800000000000005"/>
        <n v="-0.20699999999999999"/>
        <n v="0.41699999999999998"/>
        <n v="-0.94"/>
        <n v="0.85699999999999998"/>
        <n v="0.22600000000000001"/>
        <n v="0.48099999999999998"/>
        <n v="-0.188"/>
        <n v="0.24399999999999999"/>
        <n v="-0.52800000000000002"/>
        <n v="-0.186"/>
        <n v="0.85599999999999998"/>
        <n v="-0.53800000000000003"/>
        <n v="0.42899999999999999"/>
        <n v="0.91500000000000004"/>
        <n v="-0.67400000000000004"/>
        <n v="0.57899999999999996"/>
        <n v="-0.99299999999999999"/>
        <n v="0.64100000000000001"/>
        <n v="-2.4E-2"/>
        <n v="-0.79300000000000004"/>
        <n v="-0.71899999999999997"/>
        <n v="-0.52400000000000002"/>
        <n v="-0.312"/>
        <n v="0.216"/>
        <n v="5.6000000000000001E-2"/>
        <n v="0.88800000000000001"/>
        <n v="0.61199999999999999"/>
        <n v="8.0000000000000002E-3"/>
        <n v="-0.70899999999999996"/>
        <n v="0.81899999999999995"/>
        <n v="0.72199999999999998"/>
        <n v="-0.49299999999999999"/>
        <n v="0.83499999999999996"/>
        <n v="-0.82699999999999996"/>
        <n v="0.41299999999999998"/>
        <n v="-0.25900000000000001"/>
        <n v="0.94199999999999995"/>
        <n v="5.2999999999999999E-2"/>
        <n v="0.16800000000000001"/>
        <n v="-0.78900000000000003"/>
        <n v="-0.44"/>
        <n v="0.307"/>
        <n v="3.1E-2"/>
        <n v="-0.74299999999999999"/>
        <n v="-0.39900000000000002"/>
        <n v="0.46400000000000002"/>
        <n v="0.73099999999999998"/>
        <n v="-0.46100000000000002"/>
        <n v="0.69199999999999995"/>
        <n v="0.47299999999999998"/>
        <n v="0.48799999999999999"/>
        <n v="0.20399999999999999"/>
        <n v="0.83599999999999997"/>
        <n v="0.97399999999999998"/>
        <n v="0.49399999999999999"/>
        <n v="0.47"/>
        <n v="0.71699999999999997"/>
        <n v="-0.21"/>
        <n v="-0.36899999999999999"/>
        <n v="0.433"/>
        <n v="0.36499999999999999"/>
        <n v="-0.95399999999999996"/>
        <n v="-0.19500000000000001"/>
        <n v="-0.88700000000000001"/>
        <n v="-0.86099999999999999"/>
        <n v="0.10299999999999999"/>
        <n v="-0.65"/>
        <n v="-0.40400000000000003"/>
        <n v="-0.23799999999999999"/>
        <n v="0.33500000000000002"/>
        <n v="-0.68"/>
        <n v="-0.72599999999999998"/>
        <n v="-0.96699999999999997"/>
        <n v="0.70599999999999996"/>
        <n v="-0.57799999999999996"/>
        <n v="0.40300000000000002"/>
        <n v="-0.54600000000000004"/>
        <n v="-0.82"/>
        <n v="0.64700000000000002"/>
        <n v="-0.53600000000000003"/>
        <n v="-0.27700000000000002"/>
        <n v="0.73399999999999999"/>
        <n v="-0.70799999999999996"/>
        <n v="0.113"/>
        <n v="1.7000000000000001E-2"/>
        <n v="0.95899999999999996"/>
        <n v="-0.35299999999999998"/>
        <n v="0.62"/>
        <n v="-0.48799999999999999"/>
        <n v="-0.97199999999999998"/>
        <n v="-0.34699999999999998"/>
        <n v="0.48899999999999999"/>
        <n v="-0.873"/>
        <n v="-0.40200000000000002"/>
        <n v="-0.65500000000000003"/>
        <n v="-0.91100000000000003"/>
        <n v="0.41199999999999998"/>
        <n v="0.3"/>
        <n v="0.61799999999999999"/>
        <n v="-0.89500000000000002"/>
        <n v="-0.65200000000000002"/>
        <n v="-0.40600000000000003"/>
        <n v="-0.91400000000000003"/>
        <n v="-0.33400000000000002"/>
        <n v="0.95099999999999996"/>
        <n v="-0.28899999999999998"/>
        <n v="0.95299999999999996"/>
        <n v="-0.96799999999999997"/>
        <n v="-0.86199999999999999"/>
        <n v="0.35599999999999998"/>
        <n v="-0.85399999999999998"/>
        <n v="0.29699999999999999"/>
        <n v="-0.59099999999999997"/>
        <n v="-0.60799999999999998"/>
        <n v="-7.5999999999999998E-2"/>
        <n v="0.11899999999999999"/>
        <n v="0.434"/>
        <n v="0.26900000000000002"/>
        <n v="-6.4000000000000001E-2"/>
        <n v="2.8000000000000001E-2"/>
        <n v="0.22700000000000001"/>
        <n v="0.92700000000000005"/>
        <n v="-0.79500000000000004"/>
        <n v="0.70699999999999996"/>
        <n v="0.32600000000000001"/>
        <n v="-0.77700000000000002"/>
        <n v="-1.2E-2"/>
        <n v="0.16900000000000001"/>
        <n v="0.27400000000000002"/>
        <n v="0.86599999999999999"/>
        <n v="-0.39"/>
        <n v="-6.3E-2"/>
        <n v="0.24199999999999999"/>
        <n v="-0.56299999999999994"/>
        <n v="0.222"/>
        <n v="0.48399999999999999"/>
        <n v="-0.68200000000000005"/>
        <n v="-0.71399999999999997"/>
        <n v="0.59499999999999997"/>
        <n v="-0.73099999999999998"/>
        <n v="0.97599999999999998"/>
        <n v="0.70099999999999996"/>
        <n v="0.54800000000000004"/>
        <n v="-0.156"/>
        <n v="-0.83799999999999997"/>
        <n v="-0.66300000000000003"/>
        <n v="-0.499"/>
        <n v="0.96599999999999997"/>
        <n v="0.38500000000000001"/>
        <n v="0.91300000000000003"/>
        <n v="-0.63800000000000001"/>
        <n v="0.38700000000000001"/>
        <n v="-0.32600000000000001"/>
        <n v="0.371"/>
        <n v="0.44800000000000001"/>
        <n v="-0.45400000000000001"/>
        <n v="-0.50900000000000001"/>
        <n v="0.60499999999999998"/>
        <n v="0.17499999999999999"/>
        <n v="-0.84099999999999997"/>
        <n v="-0.95299999999999996"/>
        <n v="0.94299999999999995"/>
        <n v="5.8000000000000003E-2"/>
        <n v="-0.41099999999999998"/>
        <n v="0.83899999999999997"/>
        <n v="0.58599999999999997"/>
        <n v="-0.47"/>
        <n v="0.81299999999999994"/>
        <n v="0.78900000000000003"/>
        <n v="-0.57599999999999996"/>
        <n v="-0.193"/>
        <n v="0.80300000000000005"/>
        <n v="-0.08"/>
        <n v="0.45200000000000001"/>
        <n v="-5.7000000000000002E-2"/>
        <n v="0.76"/>
        <n v="0.67900000000000005"/>
        <n v="0.308"/>
        <n v="-0.61599999999999999"/>
        <n v="-0.98099999999999998"/>
        <n v="0.33200000000000002"/>
        <n v="-0.71499999999999997"/>
        <n v="1.9E-2"/>
        <n v="2E-3"/>
        <n v="0.89100000000000001"/>
        <n v="-0.93899999999999995"/>
        <n v="-0.27800000000000002"/>
        <n v="0.97299999999999998"/>
        <n v="-0.51"/>
        <n v="-0.81799999999999995"/>
        <n v="0.05"/>
        <n v="-0.36799999999999999"/>
        <n v="6.4000000000000001E-2"/>
        <n v="8.5000000000000006E-2"/>
        <n v="-0.88200000000000001"/>
        <n v="0.97"/>
        <n v="0.255"/>
        <n v="0.63800000000000001"/>
        <n v="-0.81299999999999994"/>
        <n v="0.25700000000000001"/>
        <n v="0.63600000000000001"/>
        <n v="0.997"/>
        <n v="-1.7999999999999999E-2"/>
        <n v="0.59799999999999998"/>
        <n v="0.66"/>
        <n v="-0.19400000000000001"/>
        <n v="0.114"/>
        <n v="-3.0000000000000001E-3"/>
        <n v="-0.16600000000000001"/>
        <n v="-0.76400000000000001"/>
        <n v="0.73899999999999999"/>
        <n v="1.4E-2"/>
        <n v="-0.154"/>
        <n v="-2.5999999999999999E-2"/>
        <n v="0.85"/>
        <n v="-0.83599999999999997"/>
        <n v="0.185"/>
        <n v="0.41499999999999998"/>
        <n v="-0.18099999999999999"/>
        <n v="0.36099999999999999"/>
        <n v="-0.38500000000000001"/>
        <n v="0.82299999999999995"/>
        <n v="-0.40699999999999997"/>
        <n v="-0.82099999999999995"/>
        <n v="0.56299999999999994"/>
        <n v="-0.63600000000000001"/>
        <n v="-0.74"/>
        <n v="-0.50700000000000001"/>
        <n v="0.96299999999999997"/>
        <n v="0.126"/>
        <n v="-0.61399999999999999"/>
        <n v="0.59"/>
        <n v="0.83"/>
        <n v="-0.36699999999999999"/>
        <n v="0.435"/>
        <n v="-0.75900000000000001"/>
        <n v="0.53600000000000003"/>
        <n v="0.69899999999999995"/>
        <n v="7.8E-2"/>
        <n v="0.60099999999999998"/>
        <n v="0.19900000000000001"/>
        <n v="-3.9E-2"/>
        <n v="0.81399999999999995"/>
        <n v="-0.79"/>
        <n v="7.6999999999999999E-2"/>
        <n v="0.42"/>
        <n v="-0.33600000000000002"/>
        <n v="0.60899999999999999"/>
        <n v="-0.69399999999999995"/>
        <n v="-0.216"/>
        <n v="0.64900000000000002"/>
        <n v="-0.443"/>
        <n v="-0.70699999999999996"/>
        <n v="-0.316"/>
        <n v="-0.13500000000000001"/>
        <n v="0.80200000000000005"/>
        <n v="0.69299999999999995"/>
        <n v="0.11799999999999999"/>
        <n v="0.377"/>
        <n v="-0.59699999999999998"/>
        <n v="-0.877"/>
        <n v="-8.7999999999999995E-2"/>
        <n v="-0.22700000000000001"/>
        <n v="-0.85"/>
        <n v="0.56899999999999995"/>
        <n v="-7.9000000000000001E-2"/>
        <n v="0.223"/>
        <n v="0.39500000000000002"/>
        <n v="-0.27200000000000002"/>
        <n v="0.58199999999999996"/>
        <n v="0.751"/>
        <n v="0.44500000000000001"/>
        <n v="-0.50600000000000001"/>
        <n v="-5.0000000000000001E-3"/>
        <n v="-0.85099999999999998"/>
        <n v="0.19600000000000001"/>
        <n v="-0.182"/>
        <n v="0.71899999999999997"/>
        <n v="0.376"/>
        <n v="0.92"/>
        <n v="7.0000000000000007E-2"/>
        <n v="0.28899999999999998"/>
        <n v="0.45600000000000002"/>
        <n v="6.9000000000000006E-2"/>
        <n v="-0.42799999999999999"/>
        <n v="0.58099999999999996"/>
        <n v="-0.30099999999999999"/>
        <n v="-0.94499999999999995"/>
        <n v="-0.79900000000000004"/>
        <n v="-0.746"/>
        <n v="-0.72899999999999998"/>
        <n v="-0.70599999999999996"/>
        <n v="0.64400000000000002"/>
        <n v="-0.69099999999999995"/>
        <n v="0.13"/>
        <n v="0.67200000000000004"/>
        <n v="0.16400000000000001"/>
        <n v="-0.99199999999999999"/>
        <n v="0.29399999999999998"/>
        <n v="-0.505"/>
        <n v="9.0999999999999998E-2"/>
        <n v="0.68"/>
        <n v="0.6"/>
        <n v="0.745"/>
        <n v="-0.64600000000000002"/>
        <n v="-0.85199999999999998"/>
        <n v="-0.56799999999999995"/>
        <n v="-0.90800000000000003"/>
        <n v="3.7999999999999999E-2"/>
        <n v="-0.90900000000000003"/>
        <n v="-0.17699999999999999"/>
        <n v="-0.92800000000000005"/>
        <n v="0.442"/>
        <n v="-0.89200000000000002"/>
        <n v="-0.32500000000000001"/>
        <n v="-0.73299999999999998"/>
        <n v="0.75"/>
        <n v="-0.72199999999999998"/>
        <n v="0.23799999999999999"/>
        <n v="-0.54700000000000004"/>
        <n v="0.58299999999999996"/>
        <n v="0.94099999999999995"/>
        <n v="0.501"/>
        <n v="0.44900000000000001"/>
        <n v="-5.8000000000000003E-2"/>
        <n v="0.23499999999999999"/>
        <n v="-0.34799999999999998"/>
        <n v="-0.45300000000000001"/>
        <n v="-0.55400000000000005"/>
        <n v="-0.32"/>
        <n v="-0.29699999999999999"/>
        <n v="-0.83399999999999996"/>
        <n v="-0.93100000000000005"/>
        <n v="-0.81399999999999995"/>
        <n v="-0.20799999999999999"/>
        <n v="-0.5"/>
        <n v="-0.93"/>
        <n v="-0.59"/>
        <n v="0.52"/>
        <n v="-0.217"/>
        <n v="-7.8E-2"/>
        <n v="0.47099999999999997"/>
        <n v="0.98399999999999999"/>
        <n v="-0.13400000000000001"/>
        <n v="0.77800000000000002"/>
        <n v="-0.78300000000000003"/>
        <n v="0.08"/>
        <n v="-0.45500000000000002"/>
        <n v="0.752"/>
        <n v="0.505"/>
        <n v="-0.495"/>
        <n v="-0.64300000000000002"/>
        <n v="-4.9000000000000002E-2"/>
        <n v="-0.40899999999999997"/>
        <n v="4.4999999999999998E-2"/>
        <n v="0.747"/>
        <n v="-0.58699999999999997"/>
        <n v="-0.24099999999999999"/>
        <n v="-0.25600000000000001"/>
        <n v="-0.314"/>
        <n v="0.71499999999999997"/>
        <n v="-0.25"/>
        <n v="-0.625"/>
        <n v="-0.222"/>
        <n v="-0.52700000000000002"/>
        <n v="7.3999999999999996E-2"/>
        <n v="0.68400000000000005"/>
        <n v="0.93700000000000006"/>
        <n v="-0.64900000000000002"/>
        <n v="-1E-3"/>
        <n v="0.77900000000000003"/>
        <n v="-0.13900000000000001"/>
        <n v="0.23699999999999999"/>
        <n v="-0.77"/>
        <n v="-0.89100000000000001"/>
        <n v="0.623"/>
        <n v="-8.3000000000000004E-2"/>
        <n v="-0.7"/>
        <n v="-0.58099999999999996"/>
        <n v="0.28100000000000003"/>
        <n v="5.0000000000000001E-3"/>
        <n v="-0.93400000000000005"/>
        <n v="-0.63700000000000001"/>
        <n v="-0.38400000000000001"/>
        <n v="-0.245"/>
        <n v="0.91100000000000003"/>
        <n v="-0.54100000000000004"/>
        <n v="0.52200000000000002"/>
        <n v="0.79700000000000004"/>
        <n v="-0.28799999999999998"/>
        <n v="-0.25800000000000001"/>
        <n v="0.23100000000000001"/>
        <n v="-0.87"/>
        <n v="0.68500000000000005"/>
        <n v="0.56499999999999995"/>
        <n v="-3.5999999999999997E-2"/>
        <n v="0.95"/>
        <n v="-0.66500000000000004"/>
        <n v="0.879"/>
        <n v="-0.749"/>
        <n v="-0.36"/>
        <n v="-0.38200000000000001"/>
        <n v="0.69"/>
        <n v="3.2000000000000001E-2"/>
        <n v="-8.6999999999999994E-2"/>
        <n v="0.28599999999999998"/>
        <n v="0.99099999999999999"/>
        <n v="0.68300000000000005"/>
        <n v="0.40100000000000002"/>
        <n v="-0.96099999999999997"/>
        <n v="-0.57299999999999995"/>
        <n v="-0.61899999999999999"/>
        <n v="-0.73399999999999999"/>
        <n v="-0.17199999999999999"/>
        <n v="-0.29099999999999998"/>
        <n v="-0.51900000000000002"/>
        <n v="-0.30299999999999999"/>
        <n v="-0.35499999999999998"/>
        <n v="-0.84499999999999997"/>
        <n v="-0.14299999999999999"/>
        <n v="-0.79200000000000004"/>
        <n v="-7.4999999999999997E-2"/>
        <n v="0.71099999999999997"/>
        <n v="-0.81200000000000006"/>
        <n v="1.0999999999999999E-2"/>
        <n v="-0.41199999999999998"/>
        <n v="-0.64100000000000001"/>
        <n v="9.5000000000000001E-2"/>
        <n v="-0.502"/>
        <n v="-0.77800000000000002"/>
        <n v="-0.43"/>
        <n v="0.14099999999999999"/>
        <n v="0.316"/>
        <n v="-0.67500000000000004"/>
        <n v="-0.98899999999999999"/>
        <n v="-0.26700000000000002"/>
        <n v="0.66300000000000003"/>
        <n v="0.42199999999999999"/>
        <n v="0.64"/>
        <n v="0.17899999999999999"/>
        <n v="0.625"/>
        <n v="0.69799999999999995"/>
        <n v="0.45500000000000002"/>
        <n v="-0.73"/>
        <n v="-9.4E-2"/>
        <n v="0.19800000000000001"/>
        <n v="7.9000000000000001E-2"/>
        <n v="-0.253"/>
        <n v="0.183"/>
        <n v="-0.90100000000000002"/>
        <n v="0.13200000000000001"/>
        <n v="0.94799999999999995"/>
        <n v="-9.0999999999999998E-2"/>
        <n v="-0.91800000000000004"/>
        <n v="-0.503"/>
        <n v="0.89800000000000002"/>
        <n v="-0.126"/>
        <n v="-0.78700000000000003"/>
        <n v="-0.125"/>
        <n v="0.151"/>
        <n v="-0.121"/>
        <n v="-0.29499999999999998"/>
        <n v="0.82699999999999996"/>
        <n v="0.37"/>
        <n v="-0.58799999999999997"/>
        <n v="1.2999999999999999E-2"/>
        <n v="0.27200000000000002"/>
        <n v="0.36299999999999999"/>
        <n v="0.46500000000000002"/>
        <n v="0.23599999999999999"/>
        <n v="-0.58599999999999997"/>
        <n v="-0.46"/>
        <n v="-0.13800000000000001"/>
        <n v="0.31"/>
        <n v="0.86299999999999999"/>
        <n v="-0.97399999999999998"/>
        <n v="-6.0999999999999999E-2"/>
        <n v="-9.1999999999999998E-2"/>
        <n v="0.753"/>
        <n v="0.51700000000000002"/>
        <n v="-6.9000000000000006E-2"/>
        <n v="-4.7E-2"/>
        <n v="-0.19700000000000001"/>
        <n v="-0.33900000000000002"/>
        <n v="0.49"/>
        <n v="-0.59199999999999997"/>
        <n v="0.20599999999999999"/>
        <n v="0.30299999999999999"/>
        <n v="0.215"/>
        <n v="0.13100000000000001"/>
        <n v="5.3999999999999999E-2"/>
        <n v="-0.373"/>
        <n v="-6.5000000000000002E-2"/>
        <n v="0.67"/>
        <n v="0.56599999999999995"/>
        <n v="0.17199999999999999"/>
        <n v="-0.36199999999999999"/>
        <n v="-0.44400000000000001"/>
        <n v="-0.26900000000000002"/>
        <n v="0.624"/>
        <n v="0.88700000000000001"/>
        <n v="0.21199999999999999"/>
        <n v="0.91700000000000004"/>
        <n v="0.51200000000000001"/>
        <n v="0.35199999999999998"/>
        <n v="0.89600000000000002"/>
        <n v="-0.16500000000000001"/>
        <n v="-0.93600000000000005"/>
        <n v="-0.623"/>
        <n v="0.59899999999999998"/>
        <n v="-0.69899999999999995"/>
        <n v="-0.79100000000000004"/>
        <n v="0.61499999999999999"/>
        <n v="-0.96899999999999997"/>
        <n v="-3.6999999999999998E-2"/>
        <n v="-0.68799999999999994"/>
        <n v="-0.21299999999999999"/>
        <n v="0.69499999999999995"/>
        <n v="-0.23400000000000001"/>
        <n v="0.90800000000000003"/>
        <n v="-0.46200000000000002"/>
        <n v="-8.2000000000000003E-2"/>
        <n v="-0.63300000000000001"/>
        <n v="0.75700000000000001"/>
        <n v="-0.70199999999999996"/>
        <n v="0.20200000000000001"/>
        <n v="0.182"/>
        <n v="-0.82399999999999995"/>
        <n v="0.246"/>
        <n v="0.64300000000000002"/>
        <n v="-0.68400000000000005"/>
        <n v="0.70499999999999996"/>
        <n v="0.79600000000000004"/>
        <n v="-0.90300000000000002"/>
        <n v="0.65600000000000003"/>
        <n v="-0.44500000000000001"/>
        <n v="0.46800000000000003"/>
        <n v="-0.24399999999999999"/>
        <n v="-0.89"/>
        <n v="0.127"/>
        <n v="-0.183"/>
        <n v="0.38100000000000001"/>
        <n v="0.81499999999999995"/>
        <n v="0.23"/>
        <n v="0.152"/>
        <n v="0.84499999999999997"/>
        <n v="-0.84299999999999997"/>
        <n v="0.91"/>
        <n v="-0.86499999999999999"/>
        <n v="0.56799999999999995"/>
        <n v="0.318"/>
        <n v="-0.20200000000000001"/>
        <n v="-0.41399999999999998"/>
        <n v="0.57799999999999996"/>
        <n v="0.73299999999999998"/>
        <n v="0.504"/>
        <n v="-0.36099999999999999"/>
        <n v="-0.22"/>
        <n v="0.438"/>
        <n v="-0.39400000000000002"/>
        <n v="-0.89300000000000002"/>
        <n v="-0.82799999999999996"/>
        <n v="-0.751"/>
        <n v="-0.84"/>
        <n v="0.41399999999999998"/>
        <n v="0.29299999999999998"/>
        <n v="-0.998"/>
        <n v="0.34799999999999998"/>
        <n v="0.96499999999999997"/>
        <n v="0.99199999999999999"/>
        <n v="0.94399999999999995"/>
        <n v="-0.40100000000000002"/>
        <n v="-2.1000000000000001E-2"/>
        <n v="-0.69"/>
        <n v="-0.58199999999999996"/>
        <n v="0.55100000000000005"/>
        <n v="0.77100000000000002"/>
        <n v="-4.2000000000000003E-2"/>
        <n v="-0.55700000000000005"/>
        <n v="-0.73899999999999999"/>
        <n v="-0.88"/>
        <n v="0.01"/>
        <n v="-0.72299999999999998"/>
        <n v="0.22500000000000001"/>
        <n v="0.27"/>
        <n v="-0.79400000000000004"/>
        <n v="0.73199999999999998"/>
        <n v="-0.38900000000000001"/>
        <n v="0.622"/>
        <n v="0.29599999999999999"/>
        <n v="0.39100000000000001"/>
        <n v="-2.1999999999999999E-2"/>
        <n v="-0.81899999999999995"/>
        <n v="0.61099999999999999"/>
        <n v="0.94599999999999995"/>
        <n v="0.373"/>
        <n v="7.4999999999999997E-2"/>
        <n v="0.86099999999999999"/>
        <n v="-0.82899999999999996"/>
        <n v="0.49099999999999999"/>
        <n v="-0.26600000000000001"/>
        <n v="0.52500000000000002"/>
        <n v="0.57099999999999995"/>
        <n v="0.13800000000000001"/>
        <n v="0.94"/>
        <n v="0.57599999999999996"/>
        <n v="0.25800000000000001"/>
        <n v="-0.2"/>
        <n v="-0.81100000000000005"/>
        <n v="0.76800000000000002"/>
        <n v="0.33300000000000002"/>
        <n v="-0.35799999999999998"/>
        <n v="0.77200000000000002"/>
        <n v="-0.61699999999999999"/>
        <n v="0.44400000000000001"/>
        <n v="-0.29199999999999998"/>
        <n v="0.192"/>
        <n v="0.68200000000000005"/>
        <n v="-0.98599999999999999"/>
        <n v="-0.70399999999999996"/>
        <n v="-0.44600000000000001"/>
        <n v="-0.48399999999999999"/>
        <n v="-0.39500000000000002"/>
        <n v="-7.2999999999999995E-2"/>
        <n v="-0.375"/>
        <n v="0.375"/>
        <n v="0.26400000000000001"/>
        <n v="-0.42499999999999999"/>
        <n v="0.17699999999999999"/>
        <n v="-0.311"/>
        <n v="0.13500000000000001"/>
        <n v="0.39200000000000002"/>
        <n v="-0.51800000000000002"/>
        <n v="0.27700000000000002"/>
        <n v="-0.27900000000000003"/>
        <n v="-0.95699999999999996"/>
        <n v="0.497"/>
        <n v="-0.38"/>
        <n v="0.97499999999999998"/>
        <n v="-0.90600000000000003"/>
        <n v="0.78300000000000003"/>
        <n v="-0.20399999999999999"/>
        <n v="-0.754"/>
        <n v="-0.82299999999999995"/>
        <n v="-0.218"/>
        <n v="0.45"/>
        <n v="-0.41699999999999998"/>
        <n v="0.99299999999999999"/>
        <n v="0.82399999999999995"/>
        <n v="-0.255"/>
        <n v="0.86399999999999999"/>
        <n v="-0.34200000000000003"/>
        <n v="0.53800000000000003"/>
        <n v="-0.72499999999999998"/>
        <n v="-0.112"/>
        <n v="-0.65300000000000002"/>
        <n v="0.16600000000000001"/>
        <n v="0.64600000000000002"/>
        <n v="0.67700000000000005"/>
        <n v="-0.61499999999999999"/>
        <n v="0.69099999999999995"/>
        <n v="-0.63"/>
        <n v="-0.35099999999999998"/>
        <n v="0.68899999999999995"/>
        <n v="-0.46600000000000003"/>
        <n v="0.13900000000000001"/>
        <n v="0.88900000000000001"/>
        <n v="0.85799999999999998"/>
        <n v="-0.97799999999999998"/>
        <n v="-0.94699999999999995"/>
        <n v="-0.56399999999999995"/>
        <n v="0"/>
        <n v="0.04"/>
        <n v="0.995"/>
        <n v="4.1000000000000002E-2"/>
        <n v="0.94699999999999995"/>
        <n v="0.432"/>
        <n v="-0.45700000000000002"/>
        <n v="-0.33200000000000002"/>
        <n v="-0.318"/>
        <n v="-0.94599999999999995"/>
        <n v="0.56200000000000006"/>
        <n v="0.76500000000000001"/>
        <n v="-6.2E-2"/>
        <n v="-0.69199999999999995"/>
        <n v="-0.13100000000000001"/>
        <n v="4.0000000000000001E-3"/>
        <n v="0.58799999999999997"/>
        <n v="0.108"/>
        <n v="-0.153"/>
        <n v="-0.51600000000000001"/>
        <n v="0.629"/>
        <n v="0.63500000000000001"/>
        <n v="0.27300000000000002"/>
        <n v="-0.97299999999999998"/>
        <n v="-0.54300000000000004"/>
        <n v="0.621"/>
        <n v="0.85899999999999999"/>
        <n v="0.188"/>
        <n v="0.628"/>
        <n v="0.82499999999999996"/>
        <n v="0.79400000000000004"/>
        <n v="0.41599999999999998"/>
        <n v="0.32800000000000001"/>
        <n v="-0.66800000000000004"/>
        <n v="-5.8999999999999997E-2"/>
        <n v="0.74099999999999999"/>
        <n v="0.59199999999999997"/>
        <n v="-0.42899999999999999"/>
        <n v="0.755"/>
        <n v="-0.28699999999999998"/>
        <n v="-8.5999999999999993E-2"/>
        <n v="0.84899999999999998"/>
        <n v="0.129"/>
        <n v="0.90700000000000003"/>
        <n v="-0.53500000000000003"/>
        <n v="0.72299999999999998"/>
        <n v="-0.60099999999999998"/>
        <n v="0.502"/>
        <n v="0.88200000000000001"/>
        <n v="-0.434"/>
        <n v="-0.91"/>
        <n v="0.85299999999999998"/>
        <n v="0.85399999999999998"/>
        <n v="0.92100000000000004"/>
        <n v="-0.68899999999999995"/>
        <n v="-0.81499999999999995"/>
        <n v="-0.16900000000000001"/>
        <n v="0.56999999999999995"/>
        <n v="-0.35199999999999998"/>
        <n v="0.19700000000000001"/>
        <n v="0.98599999999999999"/>
        <n v="0.85099999999999998"/>
        <n v="0.70799999999999996"/>
        <n v="0.20499999999999999"/>
        <n v="-0.88300000000000001"/>
        <n v="-0.42599999999999999"/>
        <n v="-0.13200000000000001"/>
        <n v="-0.20100000000000001"/>
        <n v="0.191"/>
      </sharedItems>
    </cacheField>
    <cacheField name="Total_Attacks" numFmtId="0">
      <sharedItems containsSemiMixedTypes="0" containsString="0" containsNumber="1" containsInteger="1" minValue="1" maxValue="197" count="191">
        <n v="112"/>
        <n v="106"/>
        <n v="37"/>
        <n v="57"/>
        <n v="52"/>
        <n v="113"/>
        <n v="129"/>
        <n v="6"/>
        <n v="127"/>
        <n v="154"/>
        <n v="83"/>
        <n v="66"/>
        <n v="128"/>
        <n v="61"/>
        <n v="139"/>
        <n v="108"/>
        <n v="69"/>
        <n v="182"/>
        <n v="54"/>
        <n v="51"/>
        <n v="77"/>
        <n v="158"/>
        <n v="145"/>
        <n v="82"/>
        <n v="76"/>
        <n v="74"/>
        <n v="168"/>
        <n v="137"/>
        <n v="62"/>
        <n v="68"/>
        <n v="100"/>
        <n v="117"/>
        <n v="187"/>
        <n v="159"/>
        <n v="31"/>
        <n v="102"/>
        <n v="138"/>
        <n v="49"/>
        <n v="115"/>
        <n v="142"/>
        <n v="36"/>
        <n v="90"/>
        <n v="88"/>
        <n v="132"/>
        <n v="53"/>
        <n v="14"/>
        <n v="45"/>
        <n v="32"/>
        <n v="184"/>
        <n v="78"/>
        <n v="65"/>
        <n v="98"/>
        <n v="85"/>
        <n v="84"/>
        <n v="34"/>
        <n v="165"/>
        <n v="123"/>
        <n v="133"/>
        <n v="134"/>
        <n v="58"/>
        <n v="64"/>
        <n v="118"/>
        <n v="116"/>
        <n v="55"/>
        <n v="50"/>
        <n v="161"/>
        <n v="91"/>
        <n v="20"/>
        <n v="121"/>
        <n v="188"/>
        <n v="141"/>
        <n v="157"/>
        <n v="79"/>
        <n v="181"/>
        <n v="75"/>
        <n v="173"/>
        <n v="110"/>
        <n v="160"/>
        <n v="72"/>
        <n v="101"/>
        <n v="126"/>
        <n v="73"/>
        <n v="41"/>
        <n v="87"/>
        <n v="166"/>
        <n v="95"/>
        <n v="122"/>
        <n v="29"/>
        <n v="86"/>
        <n v="174"/>
        <n v="169"/>
        <n v="143"/>
        <n v="151"/>
        <n v="109"/>
        <n v="119"/>
        <n v="42"/>
        <n v="26"/>
        <n v="120"/>
        <n v="114"/>
        <n v="124"/>
        <n v="130"/>
        <n v="80"/>
        <n v="28"/>
        <n v="107"/>
        <n v="63"/>
        <n v="152"/>
        <n v="149"/>
        <n v="7"/>
        <n v="135"/>
        <n v="190"/>
        <n v="131"/>
        <n v="96"/>
        <n v="111"/>
        <n v="136"/>
        <n v="186"/>
        <n v="47"/>
        <n v="92"/>
        <n v="70"/>
        <n v="103"/>
        <n v="150"/>
        <n v="81"/>
        <n v="167"/>
        <n v="192"/>
        <n v="67"/>
        <n v="89"/>
        <n v="155"/>
        <n v="60"/>
        <n v="39"/>
        <n v="156"/>
        <n v="153"/>
        <n v="24"/>
        <n v="180"/>
        <n v="93"/>
        <n v="56"/>
        <n v="94"/>
        <n v="46"/>
        <n v="35"/>
        <n v="163"/>
        <n v="146"/>
        <n v="105"/>
        <n v="25"/>
        <n v="99"/>
        <n v="33"/>
        <n v="44"/>
        <n v="162"/>
        <n v="23"/>
        <n v="71"/>
        <n v="104"/>
        <n v="164"/>
        <n v="97"/>
        <n v="176"/>
        <n v="147"/>
        <n v="191"/>
        <n v="189"/>
        <n v="18"/>
        <n v="48"/>
        <n v="17"/>
        <n v="140"/>
        <n v="22"/>
        <n v="16"/>
        <n v="148"/>
        <n v="21"/>
        <n v="170"/>
        <n v="12"/>
        <n v="40"/>
        <n v="194"/>
        <n v="15"/>
        <n v="59"/>
        <n v="172"/>
        <n v="125"/>
        <n v="179"/>
        <n v="43"/>
        <n v="175"/>
        <n v="144"/>
        <n v="5"/>
        <n v="9"/>
        <n v="38"/>
        <n v="13"/>
        <n v="178"/>
        <n v="185"/>
        <n v="30"/>
        <n v="1"/>
        <n v="8"/>
        <n v="177"/>
        <n v="193"/>
        <n v="19"/>
        <n v="171"/>
        <n v="27"/>
        <n v="2"/>
        <n v="197"/>
        <n v="183"/>
      </sharedItems>
    </cacheField>
    <cacheField name="Total_Casualties" numFmtId="0">
      <sharedItems containsSemiMixedTypes="0" containsString="0" containsNumber="1" containsInteger="1" minValue="4" maxValue="237" count="228">
        <n v="93"/>
        <n v="110"/>
        <n v="115"/>
        <n v="190"/>
        <n v="209"/>
        <n v="20"/>
        <n v="145"/>
        <n v="47"/>
        <n v="85"/>
        <n v="107"/>
        <n v="133"/>
        <n v="61"/>
        <n v="118"/>
        <n v="113"/>
        <n v="164"/>
        <n v="86"/>
        <n v="14"/>
        <n v="31"/>
        <n v="176"/>
        <n v="53"/>
        <n v="78"/>
        <n v="126"/>
        <n v="111"/>
        <n v="122"/>
        <n v="91"/>
        <n v="147"/>
        <n v="143"/>
        <n v="188"/>
        <n v="219"/>
        <n v="50"/>
        <n v="76"/>
        <n v="89"/>
        <n v="157"/>
        <n v="119"/>
        <n v="72"/>
        <n v="154"/>
        <n v="120"/>
        <n v="90"/>
        <n v="138"/>
        <n v="132"/>
        <n v="146"/>
        <n v="165"/>
        <n v="130"/>
        <n v="152"/>
        <n v="216"/>
        <n v="33"/>
        <n v="156"/>
        <n v="22"/>
        <n v="129"/>
        <n v="43"/>
        <n v="42"/>
        <n v="182"/>
        <n v="44"/>
        <n v="169"/>
        <n v="54"/>
        <n v="101"/>
        <n v="49"/>
        <n v="121"/>
        <n v="210"/>
        <n v="67"/>
        <n v="69"/>
        <n v="83"/>
        <n v="28"/>
        <n v="84"/>
        <n v="25"/>
        <n v="167"/>
        <n v="68"/>
        <n v="128"/>
        <n v="178"/>
        <n v="151"/>
        <n v="106"/>
        <n v="58"/>
        <n v="166"/>
        <n v="57"/>
        <n v="55"/>
        <n v="80"/>
        <n v="124"/>
        <n v="198"/>
        <n v="59"/>
        <n v="112"/>
        <n v="35"/>
        <n v="180"/>
        <n v="99"/>
        <n v="77"/>
        <n v="87"/>
        <n v="174"/>
        <n v="171"/>
        <n v="144"/>
        <n v="189"/>
        <n v="39"/>
        <n v="127"/>
        <n v="114"/>
        <n v="214"/>
        <n v="75"/>
        <n v="131"/>
        <n v="97"/>
        <n v="139"/>
        <n v="15"/>
        <n v="137"/>
        <n v="148"/>
        <n v="175"/>
        <n v="38"/>
        <n v="27"/>
        <n v="208"/>
        <n v="215"/>
        <n v="74"/>
        <n v="159"/>
        <n v="187"/>
        <n v="184"/>
        <n v="162"/>
        <n v="200"/>
        <n v="117"/>
        <n v="123"/>
        <n v="231"/>
        <n v="163"/>
        <n v="195"/>
        <n v="173"/>
        <n v="105"/>
        <n v="103"/>
        <n v="96"/>
        <n v="29"/>
        <n v="56"/>
        <n v="10"/>
        <n v="98"/>
        <n v="185"/>
        <n v="218"/>
        <n v="160"/>
        <n v="172"/>
        <n v="95"/>
        <n v="94"/>
        <n v="168"/>
        <n v="140"/>
        <n v="92"/>
        <n v="116"/>
        <n v="186"/>
        <n v="81"/>
        <n v="82"/>
        <n v="108"/>
        <n v="73"/>
        <n v="141"/>
        <n v="71"/>
        <n v="135"/>
        <n v="202"/>
        <n v="212"/>
        <n v="204"/>
        <n v="136"/>
        <n v="100"/>
        <n v="161"/>
        <n v="181"/>
        <n v="24"/>
        <n v="203"/>
        <n v="63"/>
        <n v="194"/>
        <n v="206"/>
        <n v="153"/>
        <n v="196"/>
        <n v="109"/>
        <n v="207"/>
        <n v="179"/>
        <n v="21"/>
        <n v="125"/>
        <n v="102"/>
        <n v="177"/>
        <n v="88"/>
        <n v="234"/>
        <n v="64"/>
        <n v="46"/>
        <n v="192"/>
        <n v="70"/>
        <n v="197"/>
        <n v="227"/>
        <n v="79"/>
        <n v="30"/>
        <n v="51"/>
        <n v="37"/>
        <n v="62"/>
        <n v="19"/>
        <n v="158"/>
        <n v="170"/>
        <n v="52"/>
        <n v="41"/>
        <n v="191"/>
        <n v="104"/>
        <n v="149"/>
        <n v="155"/>
        <n v="66"/>
        <n v="230"/>
        <n v="225"/>
        <n v="237"/>
        <n v="142"/>
        <n v="193"/>
        <n v="232"/>
        <n v="183"/>
        <n v="60"/>
        <n v="26"/>
        <n v="229"/>
        <n v="17"/>
        <n v="13"/>
        <n v="150"/>
        <n v="65"/>
        <n v="134"/>
        <n v="4"/>
        <n v="32"/>
        <n v="220"/>
        <n v="36"/>
        <n v="45"/>
        <n v="222"/>
        <n v="201"/>
        <n v="226"/>
        <n v="211"/>
        <n v="199"/>
        <n v="223"/>
        <n v="40"/>
        <n v="7"/>
        <n v="221"/>
        <n v="217"/>
        <n v="6"/>
        <n v="235"/>
        <n v="48"/>
        <n v="16"/>
        <n v="34"/>
        <n v="23"/>
        <n v="11"/>
        <n v="18"/>
        <n v="228"/>
        <n v="8"/>
        <n v="224"/>
        <n v="9"/>
      </sharedItems>
    </cacheField>
    <cacheField name="Attack_success_Rate" numFmtId="2">
      <sharedItems containsSemiMixedTypes="0" containsString="0" containsNumber="1" minValue="-22" maxValue="1" count="1630">
        <n v="0.8125"/>
        <n v="0.83018867924528295"/>
        <n v="0.40540540540540498"/>
        <n v="0.57894736842105299"/>
        <n v="-0.15384615384615399"/>
        <n v="0.238938053097345"/>
        <n v="0.92248062015503896"/>
        <n v="-4.5"/>
        <n v="0.68503937007874005"/>
        <n v="0.70779220779220797"/>
        <n v="0.95180722891566305"/>
        <n v="-0.28787878787878801"/>
        <n v="-0.31818181818181801"/>
        <n v="0.546875"/>
        <n v="0.55737704918032804"/>
        <n v="0.76978417266187105"/>
        <n v="0.38888888888888901"/>
        <n v="0.320754716981132"/>
        <n v="0.83928571428571397"/>
        <n v="0.30434782608695699"/>
        <n v="0.376811594202899"/>
        <n v="0.37795275590551197"/>
        <n v="0.86813186813186805"/>
        <n v="0.26086956521739102"/>
        <n v="0.66666666666666696"/>
        <n v="0.58823529411764697"/>
        <n v="0.96103896103896103"/>
        <n v="0.689873417721519"/>
        <n v="0.74482758620689704"/>
        <n v="0.439024390243902"/>
        <n v="0.93421052631579005"/>
        <n v="0.57547169811320797"/>
        <n v="0.77027027027026995"/>
        <n v="0.63690476190476197"/>
        <n v="0.56934306569343096"/>
        <n v="-1.6129032258064498E-2"/>
        <n v="0.82352941176470595"/>
        <n v="0.73"/>
        <n v="0.69230769230769196"/>
        <n v="0.914438502673797"/>
        <n v="0.85534591194968601"/>
        <n v="-1.74193548387097"/>
        <n v="0.74509803921568596"/>
        <n v="0.39855072463768099"/>
        <n v="0.72868217054263595"/>
        <n v="0.469387755102041"/>
        <n v="0.71304347826087"/>
        <n v="0.99295774647887303"/>
        <n v="-1"/>
        <n v="0.9"/>
        <n v="0.23863636363636401"/>
        <n v="0.77272727272727304"/>
        <n v="0.41304347826087001"/>
        <n v="0.75471698113207597"/>
        <n v="-4.5714285714285703"/>
        <n v="0.36111111111111099"/>
        <n v="-0.18918918918918901"/>
        <n v="0.46666666666666701"/>
        <n v="6.25E-2"/>
        <n v="0.79891304347826098"/>
        <n v="-1.9607843137254902E-2"/>
        <n v="-1.2820512820512799E-2"/>
        <n v="0.43076923076923102"/>
        <n v="0.62244897959183698"/>
        <n v="0.55294117647058805"/>
        <n v="0.96470588235294097"/>
        <n v="0.297619047619048"/>
        <n v="-0.58823529411764697"/>
        <n v="0.49696969696969701"/>
        <n v="0.94308943089430897"/>
        <n v="0.33834586466165401"/>
        <n v="0.52985074626865702"/>
        <n v="-6.8965517241379296E-2"/>
        <n v="0.82481751824817495"/>
        <n v="-0.34375"/>
        <n v="0.6"/>
        <n v="0.69491525423728795"/>
        <n v="0.70085470085470103"/>
        <n v="0.85344827586206895"/>
        <n v="0.83636363636363598"/>
        <n v="0.72262773722627704"/>
        <n v="-0.42"/>
        <n v="0.77018633540372705"/>
        <n v="0.27472527472527503"/>
        <n v="0.76033057851239705"/>
        <n v="0.76595744680851097"/>
        <n v="-0.44444444444444398"/>
        <n v="0.592592592592593"/>
        <n v="0.88652482269503496"/>
        <n v="0.39130434782608697"/>
        <n v="0.79591836734693899"/>
        <n v="1"/>
        <n v="0.77707006369426801"/>
        <n v="0.455696202531646"/>
        <n v="0.82320441988950299"/>
        <n v="0.97520661157024802"/>
        <n v="0.98780487804878103"/>
        <n v="-0.04"/>
        <n v="0.98265895953757199"/>
        <n v="0.80909090909090897"/>
        <n v="0.98750000000000004"/>
        <n v="0.4"/>
        <n v="0.88636363636363602"/>
        <n v="0.66473988439306397"/>
        <n v="0.47222222222222199"/>
        <n v="0.42857142857142899"/>
        <n v="0.79207920792079201"/>
        <n v="0.99206349206349198"/>
        <n v="-0.219178082191781"/>
        <n v="-0.85365853658536595"/>
        <n v="0.886075949367089"/>
        <n v="0.49425287356321801"/>
        <n v="0.79746835443038"/>
        <n v="0.52777777777777801"/>
        <n v="0.61538461538461497"/>
        <n v="0.66265060240963902"/>
        <n v="0.57377049180327899"/>
        <n v="0.75"/>
        <n v="0.115789473684211"/>
        <n v="0.69672131147541005"/>
        <n v="0.175824175824176"/>
        <n v="0.74647887323943696"/>
        <n v="-0.89655172413793105"/>
        <n v="6.9767441860465101E-2"/>
        <n v="0.79310344827586199"/>
        <n v="0.67460317460317498"/>
        <n v="0.75739644970414199"/>
        <n v="0.557894736842105"/>
        <n v="0.43055555555555602"/>
        <n v="0.55944055944056004"/>
        <n v="0.94890510948905105"/>
        <n v="0.19318181818181801"/>
        <n v="0.64900662251655605"/>
        <n v="0.91791044776119401"/>
        <n v="0.38532110091743099"/>
        <n v="0.56470588235294095"/>
        <n v="0.721804511278196"/>
        <n v="0.39669421487603301"/>
        <n v="0.92957746478873204"/>
        <n v="0.94117647058823495"/>
        <n v="-0.85714285714285698"/>
        <n v="0.94166666666666698"/>
        <n v="0.81065088757396497"/>
        <n v="-0.225806451612903"/>
        <n v="2.7027027027027001E-2"/>
        <n v="0.88679245283018904"/>
        <n v="0.81578947368421095"/>
        <n v="0.83760683760683796"/>
        <n v="-0.175438596491228"/>
        <n v="0.72254335260115599"/>
        <n v="0.58870967741935498"/>
        <n v="0.430894308943089"/>
        <n v="0.51515151515151503"/>
        <n v="0.58461538461538498"/>
        <n v="7.4999999999999997E-2"/>
        <n v="-1.53571428571429"/>
        <n v="0.71428571428571397"/>
        <n v="0.233644859813084"/>
        <n v="0.158730158730159"/>
        <n v="0.98026315789473695"/>
        <n v="0.31578947368421101"/>
        <n v="0.43220338983050899"/>
        <n v="0.28448275862069"/>
        <n v="0.81208053691275195"/>
        <n v="0.7265625"/>
        <n v="-3.8571428571428599"/>
        <n v="0.29565217391304399"/>
        <n v="-1.75"/>
        <n v="0.93333333333333302"/>
        <n v="0.46153846153846201"/>
        <n v="0.52201257861635197"/>
        <n v="0.58421052631578996"/>
        <n v="0.23853211009174299"/>
        <n v="0.94656488549618301"/>
        <n v="-0.48148148148148101"/>
        <n v="0.93006993006993"/>
        <n v="-1.0540540540540499"/>
        <n v="-0.91666666666666696"/>
        <n v="0.38666666666666699"/>
        <n v="0.336842105263158"/>
        <n v="0.104166666666667"/>
        <n v="0.57657657657657702"/>
        <n v="0.60294117647058798"/>
        <n v="0.71505376344086002"/>
        <n v="-6.3829787234042604E-2"/>
        <n v="-0.81632653061224503"/>
        <n v="9.7826086956521702E-2"/>
        <n v="0.1"/>
        <n v="0.24285714285714299"/>
        <n v="0.394736842105263"/>
        <n v="0.60194174757281604"/>
        <n v="0.54"/>
        <n v="0.54362416107382605"/>
        <n v="0.92592592592592604"/>
        <n v="0.46428571428571402"/>
        <n v="0.87654320987654299"/>
        <n v="0.98802395209580796"/>
        <n v="0.16"/>
        <n v="0.83333333333333304"/>
        <n v="0.55813953488372103"/>
        <n v="0.90625"/>
        <n v="-0.104477611940299"/>
        <n v="0.25842696629213502"/>
        <n v="0.72058823529411797"/>
        <n v="0.81290322580645202"/>
        <n v="0.76296296296296295"/>
        <n v="-0.43333333333333302"/>
        <n v="-0.22222222222222199"/>
        <n v="0.91358024691357997"/>
        <n v="0.76190476190476197"/>
        <n v="0.27350427350427398"/>
        <n v="0.45454545454545497"/>
        <n v="0.41025641025641002"/>
        <n v="3.1746031746031703E-2"/>
        <n v="0.79104477611940305"/>
        <n v="0.38793103448275901"/>
        <n v="0.43589743589743601"/>
        <n v="0.27941176470588203"/>
        <n v="-3.4285714285714302"/>
        <n v="0.54545454545454497"/>
        <n v="0.57516339869280997"/>
        <n v="0.59842519685039397"/>
        <n v="-1.9166666666666701"/>
        <n v="0.43442622950819698"/>
        <n v="0.58888888888888902"/>
        <n v="0.976377952755906"/>
        <n v="0.93023255813953498"/>
        <n v="0.39784946236559099"/>
        <n v="0.55614973262032097"/>
        <n v="0.41269841269841301"/>
        <n v="0.96428571428571397"/>
        <n v="0.56557377049180302"/>
        <n v="0.90425531914893598"/>
        <n v="-4.71428571428571"/>
        <n v="0.378151260504202"/>
        <n v="0.75838926174496701"/>
        <n v="0.71844660194174803"/>
        <n v="0.86956521739130399"/>
        <n v="0.68571428571428605"/>
        <n v="0.67910447761194004"/>
        <n v="-0.371428571428571"/>
        <n v="0.61349693251533699"/>
        <n v="0.42465753424657499"/>
        <n v="0.54477611940298498"/>
        <n v="0.48550724637681197"/>
        <n v="0.68148148148148202"/>
        <n v="0.55882352941176505"/>
        <n v="0.75238095238095204"/>
        <n v="-0.18666666666666701"/>
        <n v="0.39655172413793099"/>
        <n v="0.421875"/>
        <n v="0.98275862068965503"/>
        <n v="0.240740740740741"/>
        <n v="0.48412698412698402"/>
        <n v="0.93406593406593397"/>
        <n v="0.238095238095238"/>
        <n v="0.32786885245901598"/>
        <n v="0.820754716981132"/>
        <n v="-8.5714285714285701E-2"/>
        <n v="0.76"/>
        <n v="0.53508771929824595"/>
        <n v="0.89312977099236701"/>
        <n v="0.78181818181818197"/>
        <n v="0.76315789473684204"/>
        <n v="0.44444444444444398"/>
        <n v="0.817460317460318"/>
        <n v="0.77049180327868905"/>
        <n v="-0.15584415584415601"/>
        <n v="0.69333333333333302"/>
        <n v="0.5"/>
        <n v="0.65656565656565702"/>
        <n v="0.81132075471698095"/>
        <n v="0.54037267080745299"/>
        <n v="0.37313432835820898"/>
        <n v="-0.27272727272727298"/>
        <n v="0.296875"/>
        <n v="-6.3492063492063502E-2"/>
        <n v="0.81372549019607798"/>
        <n v="0.35849056603773599"/>
        <n v="0.66071428571428603"/>
        <n v="0.70987654320987703"/>
        <n v="0.55128205128205099"/>
        <n v="0.46496815286624199"/>
        <n v="-0.79545454545454497"/>
        <n v="0.88666666666666705"/>
        <n v="0.86363636363636398"/>
        <n v="0.39716312056737602"/>
        <n v="0.89090909090909098"/>
        <n v="4.3478260869565202E-2"/>
        <n v="0.36885245901639302"/>
        <n v="0.37234042553191499"/>
        <n v="0.352112676056338"/>
        <n v="-0.2"/>
        <n v="0.94915254237288105"/>
        <n v="0.77118644067796605"/>
        <n v="0.96323529411764697"/>
        <n v="-0.17857142857142899"/>
        <n v="0.92168674698795205"/>
        <n v="0.89423076923076905"/>
        <n v="0.45333333333333298"/>
        <n v="0.96951219512195097"/>
        <n v="0.32989690721649501"/>
        <n v="0.81818181818181801"/>
        <n v="0.74175824175824201"/>
        <n v="-0.36585365853658502"/>
        <n v="0.22727272727272699"/>
        <n v="0.77142857142857202"/>
        <n v="0.53435114503816805"/>
        <n v="0.54421768707482998"/>
        <n v="-2.4"/>
        <n v="0.21875"/>
        <n v="0.95588235294117696"/>
        <n v="0.91623036649214695"/>
        <n v="0.55555555555555602"/>
        <n v="0"/>
        <n v="0.57692307692307698"/>
        <n v="0.246153846153846"/>
        <n v="0.22222222222222199"/>
        <n v="0.97916666666666696"/>
        <n v="-0.91428571428571404"/>
        <n v="0.453125"/>
        <n v="0.77631578947368396"/>
        <n v="-3.2941176470588198"/>
        <n v="-2.9411764705882401E-2"/>
        <n v="0.60714285714285698"/>
        <n v="0.61111111111111105"/>
        <n v="0.67521367521367504"/>
        <n v="0.54054054054054101"/>
        <n v="0.43859649122806998"/>
        <n v="0.84962406015037595"/>
        <n v="-1.0909090909090899"/>
        <n v="0.442105263157895"/>
        <n v="-4.25"/>
        <n v="0.38"/>
        <n v="0.97872340425531901"/>
        <n v="0.83108108108108103"/>
        <n v="0.19811320754716999"/>
        <n v="0.41964285714285698"/>
        <n v="-0.61904761904761896"/>
        <n v="0.86231884057970998"/>
        <n v="0.86013986013985999"/>
        <n v="0.57480314960629897"/>
        <n v="0.73188405797101497"/>
        <n v="0.92537313432835799"/>
        <n v="0.51428571428571401"/>
        <n v="-0.88095238095238104"/>
        <n v="0.56565656565656597"/>
        <n v="0.20952380952381"/>
        <n v="0.80952380952380998"/>
        <n v="0.56488549618320605"/>
        <n v="0.98203592814371299"/>
        <n v="0.536082474226804"/>
        <n v="0.266666666666667"/>
        <n v="0.72566371681415898"/>
        <n v="5.1282051282051301E-2"/>
        <n v="0.680851063829787"/>
        <n v="0.60465116279069797"/>
        <n v="0.467391304347826"/>
        <n v="0.89570552147239302"/>
        <n v="0.83898305084745795"/>
        <n v="0.97580645161290303"/>
        <n v="0.82781456953642396"/>
        <n v="0.90163934426229497"/>
        <n v="0.48739495798319299"/>
        <n v="0.83734939759036098"/>
        <n v="0.74193548387096797"/>
        <n v="0.865079365079365"/>
        <n v="0.75657894736842102"/>
        <n v="0.84276729559748398"/>
        <n v="0.40425531914893598"/>
        <n v="0.92307692307692302"/>
        <n v="0.99259259259259303"/>
        <n v="0.55633802816901401"/>
        <n v="0.439393939393939"/>
        <n v="0.65294117647058803"/>
        <n v="0.88429752066115697"/>
        <n v="-5.5"/>
        <n v="0.60115606936416199"/>
        <n v="0.50684931506849296"/>
        <n v="0.469135802469136"/>
        <n v="0.62698412698412698"/>
        <n v="0.78571428571428603"/>
        <n v="0.86896551724137905"/>
        <n v="0.05"/>
        <n v="0.40659340659340698"/>
        <n v="0.90476190476190499"/>
        <n v="0.33750000000000002"/>
        <n v="0.57333333333333303"/>
        <n v="0.154929577464789"/>
        <n v="0.44642857142857101"/>
        <n v="0.58441558441558406"/>
        <n v="-0.70967741935483897"/>
        <n v="-3"/>
        <n v="0.66949152542372903"/>
        <n v="-0.45098039215686297"/>
        <n v="0.89719626168224298"/>
        <n v="0.91249999999999998"/>
        <n v="0.467289719626168"/>
        <n v="0.791139240506329"/>
        <n v="0.91379310344827602"/>
        <n v="0.85906040268456396"/>
        <n v="0.61250000000000004"/>
        <n v="0.76984126984126999"/>
        <n v="0.59574468085106402"/>
        <n v="0.63414634146341498"/>
        <n v="-0.625"/>
        <n v="0.53174603174603197"/>
        <n v="0.58169934640522902"/>
        <n v="0.36263736263736301"/>
        <n v="0.84482758620689702"/>
        <n v="0.54014598540145997"/>
        <n v="0.683544303797468"/>
        <n v="0.63703703703703696"/>
        <n v="0.77099236641221403"/>
        <n v="0.77922077922077904"/>
        <n v="0.82142857142857095"/>
        <n v="0.78378378378378399"/>
        <n v="0.67763157894736903"/>
        <n v="0.78666666666666696"/>
        <n v="0.162162162162162"/>
        <n v="0.93684210526315803"/>
        <n v="0.6328125"/>
        <n v="0.64550264550264602"/>
        <n v="-0.70454545454545503"/>
        <n v="0.64566929133858297"/>
        <n v="0.97499999999999998"/>
        <n v="-0.8"/>
        <n v="-0.4375"/>
        <n v="0.27551020408163301"/>
        <n v="0.41592920353982299"/>
        <n v="0.53763440860215095"/>
        <n v="-2.03571428571429"/>
        <n v="0.69047619047619102"/>
        <n v="-0.27659574468085102"/>
        <n v="0.77108433734939796"/>
        <n v="0.54901960784313697"/>
        <n v="-0.22388059701492499"/>
        <n v="0.47"/>
        <n v="0.98484848484848497"/>
        <n v="0.53191489361702105"/>
        <n v="0.42424242424242398"/>
        <n v="0.93617021276595802"/>
        <n v="0.42748091603053401"/>
        <n v="0.66060606060606097"/>
        <n v="-3.2786885245901599E-2"/>
        <n v="-1.13333333333333"/>
        <n v="0.88811188811188801"/>
        <n v="0.96855345911949697"/>
        <n v="0.74285714285714299"/>
        <n v="0.77222222222222203"/>
        <n v="0.40178571428571402"/>
        <n v="0.32941176470588202"/>
        <n v="0.84472049689440998"/>
        <n v="0.72560975609756095"/>
        <n v="-0.13559322033898299"/>
        <n v="0.79245283018867896"/>
        <n v="0.58682634730538896"/>
        <n v="0.474683544303797"/>
        <n v="0.48684210526315802"/>
        <n v="0.8"/>
        <n v="0.81481481481481499"/>
        <n v="0.82242990654205606"/>
        <n v="0.75789473684210495"/>
        <n v="0.37"/>
        <n v="0.296296296296296"/>
        <n v="0.93491124260354996"/>
        <n v="5.8139534883720902E-2"/>
        <n v="0.97826086956521696"/>
        <n v="0.52857142857142903"/>
        <n v="0.91538461538461502"/>
        <n v="0.49635036496350399"/>
        <n v="0.84"/>
        <n v="0.28749999999999998"/>
        <n v="0.30864197530864201"/>
        <n v="0.51886792452830199"/>
        <n v="0.61224489795918402"/>
        <n v="0.971830985915493"/>
        <n v="0.507692307692308"/>
        <n v="0.79464285714285698"/>
        <n v="0.89600000000000002"/>
        <n v="-7.2289156626505993E-2"/>
        <n v="0.30327868852459"/>
        <n v="0.43421052631578999"/>
        <n v="0.15909090909090901"/>
        <n v="-0.17647058823529399"/>
        <n v="0.25531914893617003"/>
        <n v="0.33333333333333298"/>
        <n v="0.90340909090909105"/>
        <n v="0.59119496855345899"/>
        <n v="0.87323943661971803"/>
        <n v="0.375"/>
        <n v="-0.45454545454545497"/>
        <n v="0.49315068493150699"/>
        <n v="0.41463414634146301"/>
        <n v="4.8387096774193603E-2"/>
        <n v="0.86163522012578597"/>
        <n v="0.11"/>
        <n v="0.840425531914894"/>
        <n v="0.19148936170212799"/>
        <n v="0.74301675977653603"/>
        <n v="-0.67441860465116299"/>
        <n v="0.36666666666666697"/>
        <n v="0.43965517241379298"/>
        <n v="7.0175438596491196E-2"/>
        <n v="0.61016949152542399"/>
        <n v="-0.30303030303030298"/>
        <n v="0.44736842105263203"/>
        <n v="0.64705882352941202"/>
        <n v="0.69934640522875802"/>
        <n v="0.76470588235294101"/>
        <n v="9.1954022988505801E-2"/>
        <n v="0.56756756756756799"/>
        <n v="0.59235668789808904"/>
        <n v="0.04"/>
        <n v="0.94285714285714295"/>
        <n v="0.67625899280575497"/>
        <n v="-0.39285714285714302"/>
        <n v="0.49038461538461497"/>
        <n v="0.44029850746268701"/>
        <n v="0.170212765957447"/>
        <n v="0.171875"/>
        <n v="-7.69230769230769E-2"/>
        <n v="0.560606060606061"/>
        <n v="0.81714285714285695"/>
        <n v="-1.2916666666666701"/>
        <n v="0.86666666666666703"/>
        <n v="-0.30555555555555602"/>
        <n v="0.32954545454545497"/>
        <n v="0.59375"/>
        <n v="0.316239316239316"/>
        <n v="0.506493506493506"/>
        <n v="-2.0714285714285698"/>
        <n v="0.934782608695652"/>
        <n v="0.70212765957446799"/>
        <n v="0.38095238095238099"/>
        <n v="0.52500000000000002"/>
        <n v="0.80503144654088099"/>
        <n v="0.57638888888888895"/>
        <n v="0.43065693430656898"/>
        <n v="0.87096774193548399"/>
        <n v="0.39830508474576298"/>
        <n v="-3.9444444444444402"/>
        <n v="0.61744966442952998"/>
        <n v="0.57142857142857095"/>
        <n v="0.95959595959596"/>
        <n v="0.12727272727272701"/>
        <n v="-3.3333333333333298E-2"/>
        <n v="3.8961038961039002E-2"/>
        <n v="0.82089552238805996"/>
        <n v="-0.92682926829268297"/>
        <n v="0.80701754385964897"/>
        <n v="0.57251908396946605"/>
        <n v="-14"/>
        <n v="0.55921052631579005"/>
        <n v="0.232558139534884"/>
        <n v="0.37068965517241398"/>
        <n v="0.42953020134228198"/>
        <n v="0.462365591397849"/>
        <n v="0.61194029850746301"/>
        <n v="0.64935064935064901"/>
        <n v="0.32824427480916002"/>
        <n v="-0.25"/>
        <n v="-3.3898305084745797E-2"/>
        <n v="0.81395348837209303"/>
        <n v="0.44360902255639101"/>
        <n v="-0.194444444444444"/>
        <n v="0.90178571428571397"/>
        <n v="-0.48484848484848497"/>
        <n v="0.92413793103448305"/>
        <n v="0.476190476190476"/>
        <n v="0.47857142857142898"/>
        <n v="-2.875"/>
        <n v="-0.76"/>
        <n v="0.70833333333333304"/>
        <n v="0.88888888888888895"/>
        <n v="0.25301204819277101"/>
        <n v="0.38582677165354301"/>
        <n v="0.70270270270270296"/>
        <n v="0.98192771084337405"/>
        <n v="0.92727272727272703"/>
        <n v="-0.162790697674419"/>
        <n v="0.76635514018691597"/>
        <n v="0.69523809523809499"/>
        <n v="0.99270072992700698"/>
        <n v="0.53465346534653502"/>
        <n v="0.60227272727272696"/>
        <n v="0.94927536231884102"/>
        <n v="0.95384615384615401"/>
        <n v="0.78350515463917503"/>
        <n v="0.57763975155279501"/>
        <n v="0.162790697674419"/>
        <n v="0.69841269841269804"/>
        <n v="0.62251655629139102"/>
        <n v="0.36923076923076897"/>
        <n v="0.71538461538461495"/>
        <n v="0.34285714285714303"/>
        <n v="0.78787878787878796"/>
        <n v="0.94444444444444398"/>
        <n v="0.69078947368421095"/>
        <n v="0.69565217391304401"/>
        <n v="0.97857142857142898"/>
        <n v="-2.5641025641025599E-2"/>
        <n v="-0.27692307692307699"/>
        <n v="0.99065420560747697"/>
        <n v="0.53125"/>
        <n v="0.79738562091503296"/>
        <n v="0.65454545454545499"/>
        <n v="-0.17460317460317501"/>
        <n v="0.84126984126984095"/>
        <n v="0.855855855855856"/>
        <n v="0.93793103448275905"/>
        <n v="0.25225225225225201"/>
        <n v="0.18518518518518501"/>
        <n v="0.41836734693877597"/>
        <n v="0.70370370370370405"/>
        <n v="-0.72"/>
        <n v="0.612403100775194"/>
        <n v="0.80246913580246904"/>
        <n v="0.39455782312925203"/>
        <n v="0.65277777777777801"/>
        <n v="-0.15625"/>
        <n v="0.72093023255814004"/>
        <n v="0.60674157303370801"/>
        <n v="0.83529411764705896"/>
        <n v="0.70247933884297498"/>
        <n v="0.49132947976878599"/>
        <n v="-0.31578947368421101"/>
        <n v="0.34117647058823503"/>
        <n v="0.314285714285714"/>
        <n v="0.68518518518518501"/>
        <n v="0.95541401273885396"/>
        <n v="0.78260869565217395"/>
        <n v="0.23931623931623899"/>
        <n v="-1.07692307692308"/>
        <n v="-0.26865671641791"/>
        <n v="0.84574468085106402"/>
        <n v="0.25833333333333303"/>
        <n v="0.67021276595744705"/>
        <n v="0.670886075949367"/>
        <n v="0.38938053097345099"/>
        <n v="0.67878787878787905"/>
        <n v="4.91803278688525E-2"/>
        <n v="-0.4"/>
        <n v="-1.7307692307692299"/>
        <n v="0.58490566037735903"/>
        <n v="0.19819819819819801"/>
        <n v="0.81553398058252402"/>
        <n v="0.83707865168539297"/>
        <n v="0.69444444444444398"/>
        <n v="-0.31372549019607798"/>
        <n v="0.16867469879518099"/>
        <n v="0.122448979591837"/>
        <n v="0.76530612244898"/>
        <n v="0.56741573033707904"/>
        <n v="0.54494382022471899"/>
        <n v="0.45901639344262302"/>
        <n v="0.78417266187050405"/>
        <n v="0.84023668639053295"/>
        <n v="0.80291970802919699"/>
        <n v="0.8984375"/>
        <n v="0.51818181818181797"/>
        <n v="0.98958333333333304"/>
        <n v="0.20754716981132099"/>
        <n v="-1.5151515151515201E-2"/>
        <n v="0.55681818181818199"/>
        <n v="0.72903225806451599"/>
        <n v="-0.24137931034482801"/>
        <n v="0.59"/>
        <n v="0.20792079207920799"/>
        <n v="0.49074074074074098"/>
        <n v="0.29508196721311503"/>
        <n v="0.98571428571428599"/>
        <n v="0.70535714285714302"/>
        <n v="0.93913043478260905"/>
        <n v="0.36065573770491799"/>
        <n v="0.74545454545454604"/>
        <n v="0.72972972972973005"/>
        <n v="0.55384615384615399"/>
        <n v="0.47933884297520701"/>
        <n v="0.24489795918367299"/>
        <n v="0.19178082191780799"/>
        <n v="-2"/>
        <n v="0.99009900990098998"/>
        <n v="-0.28571428571428598"/>
        <n v="0.72033898305084698"/>
        <n v="0.48809523809523803"/>
        <n v="-0.86842105263157898"/>
        <n v="0.970873786407767"/>
        <n v="0.422222222222222"/>
        <n v="8.95522388059702E-2"/>
        <n v="0.55208333333333304"/>
        <n v="7.8947368421052599E-2"/>
        <n v="0.77205882352941202"/>
        <n v="0.87068965517241403"/>
        <n v="0.99047619047619095"/>
        <n v="0.61842105263157898"/>
        <n v="0.27586206896551702"/>
        <n v="0.93043478260869605"/>
        <n v="0.449367088607595"/>
        <n v="0.488721804511278"/>
        <n v="0.46969696969697"/>
        <n v="0.488549618320611"/>
        <n v="0.57575757575757602"/>
        <n v="0.83464566929133899"/>
        <n v="0.45098039215686297"/>
        <n v="-0.214285714285714"/>
        <n v="-0.93333333333333302"/>
        <n v="0.91666666666666696"/>
        <n v="0.26041666666666702"/>
        <n v="-0.11111111111111099"/>
        <n v="0.96875"/>
        <n v="0.58181818181818201"/>
        <n v="0.94680851063829796"/>
        <n v="0.59550561797752799"/>
        <n v="0.91071428571428603"/>
        <n v="0.38524590163934402"/>
        <n v="0.35555555555555601"/>
        <n v="0.530120481927711"/>
        <n v="0.746835443037975"/>
        <n v="0.13043478260869601"/>
        <n v="0.77710843373493999"/>
        <n v="-0.33333333333333298"/>
        <n v="0.58024691358024705"/>
        <n v="0.59459459459459496"/>
        <n v="-0.144736842105263"/>
        <n v="2.1739130434782601E-2"/>
        <n v="0.57046979865771796"/>
        <n v="0.52830188679245305"/>
        <n v="-0.12962962962963001"/>
        <n v="0.63461538461538503"/>
        <n v="0.835443037974684"/>
        <n v="0.60402684563758402"/>
        <n v="0.59782608695652195"/>
        <n v="0.10958904109589"/>
        <n v="0.645569620253165"/>
        <n v="0.53153153153153199"/>
        <n v="0.73333333333333295"/>
        <n v="-0.76923076923076905"/>
        <n v="0.91428571428571404"/>
        <n v="0.60439560439560402"/>
        <n v="0.55714285714285705"/>
        <n v="0.19047619047618999"/>
        <n v="0.91954022988505801"/>
        <n v="0.33944954128440402"/>
        <n v="0.96491228070175405"/>
        <n v="0.20270270270270299"/>
        <n v="0.94805194805194803"/>
        <n v="0.27906976744186002"/>
        <n v="0.22916666666666699"/>
        <n v="0.93902439024390205"/>
        <n v="0.70329670329670302"/>
        <n v="0.80916030534351202"/>
        <n v="0.202898550724638"/>
        <n v="0.28888888888888897"/>
        <n v="-0.43548387096774199"/>
        <n v="0.79032258064516103"/>
        <n v="1.5384615384615399E-2"/>
        <n v="0.62096774193548399"/>
        <n v="0.53977272727272696"/>
        <n v="0.45689655172413801"/>
        <n v="0.96907216494845405"/>
        <n v="0.63087248322147704"/>
        <n v="0.31"/>
        <n v="0.95789473684210502"/>
        <n v="-0.3"/>
        <n v="0.84146341463414598"/>
        <n v="0.95744680851063801"/>
        <n v="-9.2105263157894704E-2"/>
        <n v="0.67716535433070901"/>
        <n v="0.63043478260869601"/>
        <n v="0.93396226415094297"/>
        <n v="0.98787878787878802"/>
        <n v="0.12903225806451599"/>
        <n v="0.60683760683760701"/>
        <n v="-0.35294117647058798"/>
        <n v="-0.5"/>
        <n v="5.4945054945054903E-2"/>
        <n v="-2.7397260273972601E-2"/>
        <n v="0.92028985507246397"/>
        <n v="0.30666666666666698"/>
        <n v="0.63302752293578002"/>
        <n v="0.97619047619047605"/>
        <n v="-0.7"/>
        <n v="-0.20895522388059701"/>
        <n v="0.66878980891719697"/>
        <n v="-0.1"/>
        <n v="5.3763440860215103E-2"/>
        <n v="0.57971014492753603"/>
        <n v="0.52941176470588203"/>
        <n v="-4"/>
        <n v="0.21052631578947401"/>
        <n v="0.30120481927710802"/>
        <n v="0.77483443708609301"/>
        <n v="0.27450980392156898"/>
        <n v="0.89403973509933798"/>
        <n v="0.53398058252427205"/>
        <n v="-0.141025641025641"/>
        <n v="-0.434782608695652"/>
        <n v="0.48"/>
        <n v="0.26495726495726502"/>
        <n v="0.74038461538461497"/>
        <n v="0.66386554621848703"/>
        <n v="-0.36363636363636398"/>
        <n v="0.84057971014492805"/>
        <n v="0.90217391304347805"/>
        <n v="0.83582089552238803"/>
        <n v="0.53448275862068995"/>
        <n v="0.17948717948717999"/>
        <n v="0.53488372093023295"/>
        <n v="0.90697674418604701"/>
        <n v="0.52564102564102599"/>
        <n v="0.84210526315789502"/>
        <n v="0.62091503267973902"/>
        <n v="0.61832061068702304"/>
        <n v="0.97794117647058798"/>
        <n v="0.66197183098591605"/>
        <n v="0.73134328358209"/>
        <n v="0.4609375"/>
        <n v="0.641891891891892"/>
        <n v="0.51086956521739102"/>
        <n v="0.53333333333333299"/>
        <n v="0.56302521008403394"/>
        <n v="0.31666666666666698"/>
        <n v="0.70103092783505205"/>
        <n v="-0.48214285714285698"/>
        <n v="0.78313253012048201"/>
        <n v="0.75862068965517204"/>
        <n v="0.578231292517007"/>
        <n v="-0.269230769230769"/>
        <n v="0.73456790123456805"/>
        <n v="0.65591397849462396"/>
        <n v="8.1967213114754106E-2"/>
        <n v="0.160714285714286"/>
        <n v="0.82222222222222197"/>
        <n v="0.218181818181818"/>
        <n v="-0.24324324324324301"/>
        <n v="0.33636363636363598"/>
        <n v="0.72340425531914898"/>
        <n v="-8.1081081081081099E-2"/>
        <n v="0.44"/>
        <n v="0.33070866141732302"/>
        <n v="0.85148514851485202"/>
        <n v="0.86440677966101698"/>
        <n v="0.66336633663366296"/>
        <n v="0.45528455284552799"/>
        <n v="0.90131578947368396"/>
        <n v="0.93805309734513298"/>
        <n v="0.18333333333333299"/>
        <n v="0.527272727272727"/>
        <n v="-0.146666666666667"/>
        <n v="0.45070422535211302"/>
        <n v="0.879120879120879"/>
        <n v="0.52747252747252804"/>
        <n v="0.51388888888888895"/>
        <n v="0.40259740259740301"/>
        <n v="0.94520547945205502"/>
        <n v="0.85234899328859104"/>
        <n v="-5"/>
        <n v="0.72857142857142898"/>
        <n v="0.81739130434782603"/>
        <n v="-0.109090909090909"/>
        <n v="0.391891891891892"/>
        <n v="0.164835164835165"/>
        <n v="0.87333333333333296"/>
        <n v="0.72727272727272696"/>
        <n v="-0.375"/>
        <n v="0.88659793814432997"/>
        <n v="0.9375"/>
        <n v="0.56097560975609795"/>
        <n v="0.34615384615384598"/>
        <n v="0.78813559322033899"/>
        <n v="0.69182389937106903"/>
        <n v="0.79166666666666696"/>
        <n v="0.957317073170732"/>
        <n v="0.91735537190082705"/>
        <n v="0.29729729729729698"/>
        <n v="0.820359281437126"/>
        <n v="0.77894736842105305"/>
        <n v="0.20338983050847501"/>
        <n v="-4.9382716049382699E-2"/>
        <n v="0.88235294117647101"/>
        <n v="0.50909090909090904"/>
        <n v="6.5573770491803296E-2"/>
        <n v="-4.7619047619047603E-2"/>
        <n v="0.75206611570247905"/>
        <n v="0.72549019607843102"/>
        <n v="0.73529411764705899"/>
        <n v="0.64171122994652396"/>
        <n v="0.265486725663717"/>
        <n v="0.53892215568862301"/>
        <n v="0.76056338028169002"/>
        <n v="0.90196078431372595"/>
        <n v="0.80625000000000002"/>
        <n v="0.341880341880342"/>
        <n v="0.84090909090909105"/>
        <n v="0.64347826086956506"/>
        <n v="0.80555555555555602"/>
        <n v="0.875"/>
        <n v="0.40384615384615402"/>
        <n v="0.77570093457943901"/>
        <n v="0.59006211180124202"/>
        <n v="0.67010309278350499"/>
        <n v="-0.317460317460317"/>
        <n v="0.58865248226950395"/>
        <n v="0.74757281553398103"/>
        <n v="0.409836065573771"/>
        <n v="0.61818181818181805"/>
        <n v="0.93939393939394"/>
        <n v="0.203125"/>
        <n v="0.31944444444444398"/>
        <n v="0.57608695652173902"/>
        <n v="0.91160220994475105"/>
        <n v="0.815217391304348"/>
        <n v="0.968354430379747"/>
        <n v="-9.5238095238095205E-2"/>
        <n v="0.31481481481481499"/>
        <n v="0.77987421383647804"/>
        <n v="0.72432432432432403"/>
        <n v="0.84756097560975596"/>
        <n v="-2.8985507246376802E-2"/>
        <n v="0.54022988505747105"/>
        <n v="0.81666666666666698"/>
        <n v="0.61931818181818199"/>
        <n v="0.38461538461538503"/>
        <n v="0.569105691056911"/>
        <n v="0.77419354838709697"/>
        <n v="0.73595505617977497"/>
        <n v="0.96551724137931005"/>
        <n v="0.67826086956521703"/>
        <n v="0.42975206611570299"/>
        <n v="0.62992125984252001"/>
        <n v="0.515625"/>
        <n v="0.78095238095238095"/>
        <n v="0.78048780487804903"/>
        <n v="0.752941176470588"/>
        <n v="0.52586206896551702"/>
        <n v="0.47794117647058798"/>
        <n v="0.72268907563025198"/>
        <n v="9.0909090909090898E-2"/>
        <n v="0.410071942446043"/>
        <n v="-0.53488372093023295"/>
        <n v="0.28571428571428598"/>
        <n v="0.36585365853658502"/>
        <n v="0.18181818181818199"/>
        <n v="0.984375"/>
        <n v="3.3333333333333298E-2"/>
        <n v="0.621848739495798"/>
        <n v="0.65137614678899103"/>
        <n v="-0.36111111111111099"/>
        <n v="0.46250000000000002"/>
        <n v="0.81118881118881103"/>
        <n v="0.50609756097560998"/>
        <n v="-1.2"/>
        <n v="0.14000000000000001"/>
        <n v="0.66055045871559603"/>
        <n v="0.164383561643836"/>
        <n v="0.46078431372549"/>
        <n v="0.78823529411764703"/>
        <n v="0.80645161290322598"/>
        <n v="1.7543859649122799E-2"/>
        <n v="0.62931034482758597"/>
        <n v="0.83606557377049195"/>
        <n v="0.845528455284553"/>
        <n v="0.597122302158273"/>
        <n v="0.63529411764705901"/>
        <n v="0.98550724637681197"/>
        <n v="-0.11267605633802801"/>
        <n v="0.71084337349397597"/>
        <n v="5.0632911392405097E-2"/>
        <n v="0.790476190476191"/>
        <n v="0.88111888111888104"/>
        <n v="0.34677419354838701"/>
        <n v="0.56790123456790098"/>
        <n v="-5.625"/>
        <n v="0.74590163934426201"/>
        <n v="0.66225165562913901"/>
        <n v="0.26373626373626402"/>
        <n v="-1.9285714285714299"/>
        <n v="0.68902439024390205"/>
        <n v="0.23749999999999999"/>
        <n v="0.265822784810127"/>
        <n v="0.70503597122302197"/>
        <n v="0.52906976744186096"/>
        <n v="-0.38095238095238099"/>
        <n v="0.85064935064935099"/>
        <n v="0.99130434782608701"/>
        <n v="0.85294117647058798"/>
        <n v="0.93846153846153901"/>
        <n v="0.67647058823529405"/>
        <n v="0.23684210526315799"/>
        <n v="0.83838383838383801"/>
        <n v="-4.7692307692307701"/>
        <n v="0.54166666666666696"/>
        <n v="0.13978494623655899"/>
        <n v="0.77777777777777801"/>
        <n v="-1.28571428571429"/>
        <n v="0.32407407407407401"/>
        <n v="0.102564102564103"/>
        <n v="-0.169491525423729"/>
        <n v="-2.6666666666666701"/>
        <n v="-0.452380952380952"/>
        <n v="0.230769230769231"/>
        <n v="0.63953488372093004"/>
        <n v="0.80672268907563005"/>
        <n v="0.52380952380952395"/>
        <n v="0.702380952380952"/>
        <n v="0.67045454545454497"/>
        <n v="0.46875"/>
        <n v="0.77862595419847302"/>
        <n v="0.94666666666666699"/>
        <n v="0.84536082474226804"/>
        <n v="0.93"/>
        <n v="0.51020408163265296"/>
        <n v="-0.93939393939394"/>
        <n v="0.11688311688311701"/>
        <n v="0.61403508771929804"/>
        <n v="0.24590163934426201"/>
        <n v="0.99371069182389904"/>
        <n v="0.74054054054054097"/>
        <n v="-4.2352941176470598"/>
        <n v="0.48993288590604001"/>
        <n v="-2.0833333333333301E-2"/>
        <n v="0.66129032258064502"/>
        <n v="0.38596491228070201"/>
        <n v="0.452380952380952"/>
        <n v="0.98314606741572996"/>
        <n v="0.45348837209302301"/>
        <n v="0.82608695652173902"/>
        <n v="0.640350877192983"/>
        <n v="-0.44827586206896602"/>
        <n v="0.80303030303030298"/>
        <n v="0.68484848484848504"/>
        <n v="4.1666666666666699E-2"/>
        <n v="0.67283950617284005"/>
        <n v="-8.6956521739130405E-2"/>
        <n v="0.73983739837398399"/>
        <n v="0.68309859154929597"/>
        <n v="0.48837209302325602"/>
        <n v="0.308823529411765"/>
        <n v="-3.4"/>
        <n v="0.65517241379310298"/>
        <n v="0.54074074074074097"/>
        <n v="0.42105263157894701"/>
        <n v="0.39310344827586202"/>
        <n v="0.40963855421686701"/>
        <n v="0.54857142857142904"/>
        <n v="0.47107438016528902"/>
        <n v="0.89552238805970197"/>
        <n v="2.5000000000000001E-2"/>
        <n v="0.356521739130435"/>
        <n v="0.98611111111111105"/>
        <n v="0.55140186915887801"/>
        <n v="0.36607142857142899"/>
        <n v="0.76687116564417201"/>
        <n v="0.870056497175141"/>
        <n v="0.85135135135135098"/>
        <n v="0.79850746268656703"/>
        <n v="0.837662337662338"/>
        <n v="-0.104166666666667"/>
        <n v="-2.1538461538461502"/>
        <n v="0.25"/>
        <n v="0.72043010752688197"/>
        <n v="0.678832116788321"/>
        <n v="-1.5454545454545501"/>
        <n v="0.64102564102564097"/>
        <n v="0.95620437956204396"/>
        <n v="0.47058823529411797"/>
        <n v="-0.54901960784313697"/>
        <n v="0.46896551724137903"/>
        <n v="0.39805825242718401"/>
        <n v="0.78723404255319196"/>
        <n v="0.90647482014388503"/>
        <n v="0.34959349593495898"/>
        <n v="0.90277777777777801"/>
        <n v="0.45783132530120502"/>
        <n v="0.64516129032258096"/>
        <n v="0.38271604938271597"/>
        <n v="0.28828828828828801"/>
        <n v="0.94488188976377996"/>
        <n v="0.56410256410256399"/>
        <n v="-5.2222222222222197"/>
        <n v="0.20388349514563101"/>
        <n v="0.62195121951219501"/>
        <n v="0.32258064516128998"/>
        <n v="0.93893129770992401"/>
        <n v="0.51162790697674398"/>
        <n v="0.89024390243902396"/>
        <n v="0.50793650793650802"/>
        <n v="0.38834951456310701"/>
        <n v="0.25555555555555598"/>
        <n v="0.383458646616541"/>
        <n v="0.57407407407407396"/>
        <n v="0.37634408602150499"/>
        <n v="0.313253012048193"/>
        <n v="0.76086956521739102"/>
        <n v="0.66981132075471705"/>
        <n v="0.79090909090909101"/>
        <n v="2.5641025641025599E-2"/>
        <n v="0.32575757575757602"/>
        <n v="0.67543859649122795"/>
        <n v="0.57746478873239404"/>
        <n v="0.37272727272727302"/>
        <n v="0.92366412213740501"/>
        <n v="0.16304347826087001"/>
        <n v="0.96212121212121204"/>
        <n v="0.13725490196078399"/>
        <n v="-0.101694915254237"/>
        <n v="0.784810126582279"/>
        <n v="-0.30434782608695699"/>
        <n v="0.45864661654135302"/>
        <n v="0.55862068965517198"/>
        <n v="0.79629629629629595"/>
        <n v="0.74"/>
        <n v="0.85185185185185197"/>
        <n v="0.58641975308642003"/>
        <n v="-0.69230769230769196"/>
        <n v="0.96385542168674698"/>
        <n v="0.61290322580645196"/>
        <n v="0.60958904109588996"/>
        <n v="0.94392523364486003"/>
        <n v="-6.8888888888888902"/>
        <n v="0.68794326241134796"/>
        <n v="0.67484662576687104"/>
        <n v="0.98148148148148195"/>
        <n v="-0.138461538461538"/>
        <n v="0.75675675675675702"/>
        <n v="0.73958333333333304"/>
        <n v="-0.88235294117647101"/>
        <n v="0.98130841121495305"/>
        <n v="0.47286821705426402"/>
        <n v="0.63106796116504904"/>
        <n v="0.52439024390243905"/>
        <n v="-0.62745098039215697"/>
        <n v="0.98305084745762705"/>
        <n v="0.84117647058823497"/>
        <n v="0.78740157480314998"/>
        <n v="4.49438202247191E-2"/>
        <n v="0.42592592592592599"/>
        <n v="7.2463768115942004E-2"/>
        <n v="0.53246753246753198"/>
        <n v="0.96629213483146104"/>
        <n v="0.273809523809524"/>
        <n v="0.97714285714285698"/>
        <n v="-2.5"/>
        <n v="0.76785714285714302"/>
        <n v="0.70114942528735602"/>
        <n v="0.89361702127659604"/>
        <n v="-1.5625E-2"/>
        <n v="2.7397260273972601E-2"/>
        <n v="0.64743589743589802"/>
        <n v="0.87425149700598803"/>
        <n v="0.93782383419689097"/>
        <n v="0.83647798742138402"/>
        <n v="-5.4054054054054099E-2"/>
        <n v="0.33653846153846201"/>
        <n v="0.41525423728813599"/>
        <n v="0.83615819209039499"/>
        <n v="-0.47058823529411797"/>
        <n v="0.96969696969696995"/>
        <n v="0.81212121212121202"/>
        <n v="-1.8333333333333299"/>
        <n v="0.116279069767442"/>
        <n v="0.84615384615384603"/>
        <n v="0.95683453237410099"/>
        <n v="0.95454545454545503"/>
        <n v="0.75182481751824803"/>
        <n v="0.54838709677419395"/>
        <n v="0.48611111111111099"/>
        <n v="0.72463768115941996"/>
        <n v="0.34"/>
        <n v="-0.266666666666667"/>
        <n v="-1.0476190476190499"/>
        <n v="0.41509433962264197"/>
        <n v="0.64615384615384597"/>
        <n v="0.94230769230769196"/>
        <n v="0.25925925925925902"/>
        <n v="-1.53125"/>
        <n v="0.61607142857142905"/>
        <n v="0.871428571428572"/>
        <n v="0.41666666666666702"/>
        <n v="0.89473684210526305"/>
        <n v="0.13541666666666699"/>
        <n v="0.34351145038167902"/>
        <n v="0.15384615384615399"/>
        <n v="-1.3214285714285701"/>
        <n v="0.811594202898551"/>
        <n v="-2.6842105263157898"/>
        <n v="0.41353383458646598"/>
        <n v="0.390625"/>
        <n v="0.84076433121019101"/>
        <n v="0.480769230769231"/>
        <n v="0.33663366336633699"/>
        <n v="0.43396226415094302"/>
        <n v="-0.42592592592592599"/>
        <n v="0.65467625899280601"/>
        <n v="0.87134502923976598"/>
        <n v="0.32967032967033"/>
        <n v="-1.1428571428571399"/>
        <n v="0.93137254901960798"/>
        <n v="-16.8"/>
        <n v="-0.63414634146341498"/>
        <n v="0.57281553398058305"/>
        <n v="0.32530120481927699"/>
        <n v="0.25423728813559299"/>
        <n v="0.766917293233083"/>
        <n v="0.43283582089552203"/>
        <n v="0.38167938931297701"/>
        <n v="0.73049645390070905"/>
        <n v="4.47761194029851E-2"/>
        <n v="0.84563758389261801"/>
        <n v="0.99173553719008301"/>
        <n v="-2.27272727272727E-2"/>
        <n v="0.49668874172185401"/>
        <n v="0.20408163265306101"/>
        <n v="0.29166666666666702"/>
        <n v="0.58585858585858597"/>
        <n v="5.31914893617021E-2"/>
        <n v="0.76923076923076905"/>
        <n v="0.16504854368932001"/>
        <n v="0.67415730337078705"/>
        <n v="0.76551724137930999"/>
        <n v="0.67889908256880704"/>
        <n v="0.38211382113821102"/>
        <n v="-8.3333333333333301E-2"/>
        <n v="0.62711864406779705"/>
        <n v="0.68181818181818199"/>
        <n v="0.772151898734177"/>
        <n v="0.76724137931034497"/>
        <n v="0.19230769230769201"/>
        <n v="0.60103626943005195"/>
        <n v="0.92929292929292895"/>
        <n v="0.37190082644628097"/>
        <n v="0.57857142857142896"/>
        <n v="0.48630136986301398"/>
        <n v="0.58156028368794299"/>
        <n v="0.47972972972972999"/>
        <n v="0.79605263157894701"/>
        <n v="-7.8125E-2"/>
        <n v="0.43820224719101097"/>
        <n v="0.38709677419354799"/>
        <n v="0.71856287425149701"/>
        <n v="0.57983193277310896"/>
        <n v="0.20512820512820501"/>
        <n v="0.34883720930232598"/>
        <n v="6.4516129032258104E-2"/>
        <n v="0.51685393258427004"/>
        <n v="0.45138888888888901"/>
        <n v="0.625"/>
        <n v="0.80487804878048796"/>
        <n v="0.23376623376623401"/>
        <n v="-0.128205128205128"/>
        <n v="0.73619631901840499"/>
        <n v="0.706806282722513"/>
        <n v="0.96"/>
        <n v="0.73148148148148195"/>
        <n v="0.952380952380952"/>
        <n v="0.30555555555555602"/>
        <n v="3.7037037037037E-2"/>
        <n v="0.72222222222222199"/>
        <n v="0.29523809523809502"/>
        <n v="0.75609756097560998"/>
        <n v="0.75555555555555598"/>
        <n v="0.45833333333333298"/>
        <n v="0.95918367346938804"/>
        <n v="0.49618320610687"/>
        <n v="0.70063694267515897"/>
        <n v="0.63768115942029002"/>
        <n v="0.70588235294117696"/>
        <n v="0.34426229508196698"/>
        <n v="0.37837837837837801"/>
        <n v="0.54794520547945202"/>
        <n v="2.0833333333333301E-2"/>
        <n v="0.53932584269662898"/>
        <n v="0.57291666666666696"/>
        <n v="0.47530864197530898"/>
        <n v="-0.64516129032258096"/>
        <n v="-0.246153846153846"/>
        <n v="0.97692307692307701"/>
        <n v="0.775193798449613"/>
        <n v="0.53"/>
        <n v="0.45161290322580599"/>
        <n v="0.48979591836734698"/>
        <n v="0.95575221238938102"/>
        <n v="-2.5238095238095202"/>
        <n v="0.68965517241379304"/>
        <n v="0.80346820809248598"/>
        <n v="0.86065573770491799"/>
        <n v="0.85858585858585901"/>
        <n v="0.20833333333333301"/>
        <n v="-0.90909090909090895"/>
        <n v="0.206349206349206"/>
        <n v="0.97777777777777797"/>
        <n v="0.657407407407408"/>
        <n v="0.73154362416107399"/>
        <n v="0.49242424242424199"/>
        <n v="0.28925619834710697"/>
        <n v="0.68817204301075297"/>
        <n v="0.88311688311688297"/>
        <n v="0.60784313725490202"/>
        <n v="0.85795454545454497"/>
        <n v="0.611464968152866"/>
        <n v="-22"/>
        <n v="0.92481203007518797"/>
        <n v="0.24561403508771901"/>
        <n v="0.80681818181818199"/>
        <n v="0.94270833333333304"/>
        <n v="0.71052631578947401"/>
        <n v="0.65771812080536896"/>
        <n v="-1.3428571428571401"/>
        <n v="0.5078125"/>
        <n v="0.54629629629629595"/>
        <n v="0.197368421052632"/>
        <n v="0.67289719626168198"/>
        <n v="0.80272108843537404"/>
        <n v="0.33"/>
        <n v="0.40845070422535201"/>
        <n v="-0.05"/>
        <n v="0.69767441860465096"/>
        <n v="0.51612903225806495"/>
        <n v="0.160377358490566"/>
        <n v="0.15853658536585399"/>
        <n v="0.81690140845070403"/>
        <n v="0.69354838709677402"/>
        <n v="0.900709219858156"/>
        <n v="-3.8461538461538498E-2"/>
        <n v="0.57541899441340805"/>
        <n v="0.39215686274509798"/>
        <n v="0.32173913043478303"/>
        <n v="-0.15909090909090901"/>
        <n v="0.62745098039215697"/>
        <n v="0.76800000000000002"/>
        <n v="0.66393442622950805"/>
        <n v="0.82795698924731198"/>
        <n v="-1.3888888888888899"/>
        <n v="-0.28888888888888897"/>
        <n v="0.5546875"/>
        <n v="0.39495798319327702"/>
        <n v="0.84269662921348298"/>
        <n v="0.214285714285714"/>
        <n v="0.92079207920792105"/>
        <n v="0.73821989528795795"/>
        <n v="0.77931034482758599"/>
        <n v="0.84848484848484895"/>
        <n v="0.63235294117647101"/>
        <n v="0.74264705882352999"/>
        <n v="6.0606060606060601E-2"/>
        <n v="0.76829268292682895"/>
        <n v="0.15686274509803899"/>
        <n v="0.74324324324324298"/>
        <n v="0.81699346405228801"/>
        <n v="-4.8666666666666698"/>
        <n v="0.32608695652173902"/>
        <n v="0.45679012345678999"/>
        <n v="0.231884057971015"/>
        <n v="0.83536585365853699"/>
        <n v="0.51079136690647498"/>
        <n v="0.32432432432432401"/>
        <n v="0.83206106870229002"/>
        <n v="0.46551724137931"/>
        <n v="0.30476190476190501"/>
        <n v="0.68098159509202505"/>
        <n v="9.8765432098765399E-2"/>
        <n v="0.52173913043478304"/>
        <n v="0.734177215189874"/>
        <n v="0.70658682634730496"/>
        <n v="-1.45"/>
        <n v="0.61271676300578004"/>
        <n v="0.59829059829059805"/>
        <n v="0.82638888888888895"/>
        <n v="-12.2"/>
        <n v="0.98529411764705899"/>
        <n v="0.6953125"/>
        <n v="0.55339805825242705"/>
        <n v="0.13592233009708701"/>
        <n v="0.27966101694915302"/>
        <n v="-1.3243243243243199"/>
        <n v="0.115384615384615"/>
        <n v="0.69642857142857095"/>
        <n v="0.31932773109243701"/>
        <n v="-0.91176470588235303"/>
        <n v="0.71590909090909105"/>
        <n v="0.75886524822695001"/>
        <n v="0.94078947368421095"/>
        <n v="3.94736842105263E-2"/>
        <n v="0.84403669724770702"/>
        <n v="0.59036144578313299"/>
        <n v="0.944827586206897"/>
        <n v="0.47499999999999998"/>
        <n v="0.32876712328767099"/>
        <n v="0.79279279279279302"/>
        <n v="0.32352941176470601"/>
        <n v="0.37037037037037002"/>
        <n v="0.99324324324324298"/>
        <n v="0.91803278688524603"/>
        <n v="-0.40909090909090901"/>
        <n v="0.78947368421052599"/>
        <n v="0.40336134453781503"/>
        <n v="0.53749999999999998"/>
        <n v="0.493670886075949"/>
        <n v="0.54385964912280704"/>
        <n v="-0.476190476190476"/>
        <n v="-1.2068965517241399"/>
        <n v="0.12871287128712899"/>
        <n v="0.63829787234042601"/>
        <n v="7.2289156626505993E-2"/>
        <n v="0.84873949579831898"/>
        <n v="0.85416666666666696"/>
        <n v="0.67901234567901203"/>
        <n v="0.69590643274853803"/>
        <n v="-2.4390243902439001E-2"/>
        <n v="0.54471544715447195"/>
        <n v="0.92567567567567599"/>
        <n v="2.2222222222222199E-2"/>
        <n v="0.61333333333333295"/>
        <n v="0.56737588652482296"/>
        <n v="0.85714285714285698"/>
        <n v="0.628571428571429"/>
        <n v="0.44578313253012097"/>
        <n v="-0.95555555555555605"/>
        <n v="0.101694915254237"/>
        <n v="0.34020618556700999"/>
        <n v="0.422764227642276"/>
        <n v="-5.1282051282051301E-2"/>
        <n v="0.68421052631579005"/>
        <n v="0.76767676767676796"/>
        <n v="0.75438596491228105"/>
        <n v="0.66242038216560495"/>
        <n v="0.116666666666667"/>
        <n v="0.96954314720812196"/>
        <n v="0.08"/>
        <n v="0.89864864864864902"/>
        <n v="3.6144578313252997E-2"/>
        <n v="0.86904761904761896"/>
        <n v="0.69620253164557"/>
        <n v="0.30769230769230799"/>
        <n v="0.70454545454545503"/>
        <n v="-2.36"/>
        <n v="0.64052287581699296"/>
        <n v="-0.18032786885245899"/>
        <n v="0.112359550561798"/>
        <n v="0.36842105263157898"/>
        <n v="0.87777777777777799"/>
        <n v="0.19565217391304399"/>
        <n v="0.17"/>
        <n v="-0.45"/>
        <n v="0.72815533980582503"/>
        <n v="0.70138888888888895"/>
        <n v="0.75280898876404501"/>
        <n v="0.58208955223880599"/>
        <n v="0.38235294117647101"/>
        <n v="0.73626373626373598"/>
        <n v="-0.38461538461538503"/>
        <n v="0.88965517241379299"/>
        <n v="0.305084745762712"/>
        <n v="0.465753424657534"/>
        <n v="0.89583333333333304"/>
        <n v="0.38043478260869601"/>
        <n v="0.51381215469613295"/>
        <n v="0.53237410071942504"/>
        <n v="0.86"/>
        <n v="0.89285714285714302"/>
        <n v="0.559782608695652"/>
        <n v="0.44961240310077499"/>
        <n v="-0.121621621621622"/>
        <n v="0.92500000000000004"/>
        <n v="0.60317460317460303"/>
        <n v="0.80808080808080796"/>
        <n v="4.8780487804878099E-2"/>
        <n v="-0.58928571428571397"/>
        <n v="0.90977443609022601"/>
        <n v="0.46825396825396798"/>
        <n v="0.26865671641791"/>
        <n v="0.12631578947368399"/>
        <n v="0.84302325581395399"/>
        <n v="-0.20270270270270299"/>
        <n v="0.73239436619718301"/>
        <n v="-0.06"/>
        <n v="0.53773584905660399"/>
        <n v="2.32558139534884E-2"/>
        <n v="0.72881355932203395"/>
        <n v="0.34862385321100903"/>
        <n v="0.69369369369369405"/>
        <n v="-0.57894736842105299"/>
        <n v="0.290697674418605"/>
        <n v="-0.42499999999999999"/>
        <n v="0.67741935483870996"/>
        <n v="0.52713178294573704"/>
        <n v="-0.29032258064516098"/>
        <n v="0.58536585365853699"/>
        <n v="0.18421052631578899"/>
        <n v="-0.35897435897435898"/>
        <n v="0.83552631578947401"/>
        <n v="0.58695652173913104"/>
        <n v="0.22891566265060201"/>
        <n v="0.97674418604651203"/>
        <n v="0.54400000000000004"/>
        <n v="0.97894736842105301"/>
        <n v="0.23711340206185599"/>
        <n v="-5.95238095238095E-2"/>
        <n v="0.269230769230769"/>
        <n v="0.96511627906976805"/>
        <n v="8.7499999999999994E-2"/>
        <n v="0.44660194174757301"/>
        <n v="-0.64814814814814803"/>
        <n v="0.672619047619048"/>
        <n v="3.3898305084745797E-2"/>
        <n v="0.11111111111111099"/>
        <n v="0.68852459016393397"/>
        <n v="0.35106382978723399"/>
        <n v="0.43373493975903599"/>
        <n v="0.86486486486486502"/>
        <n v="0.68911917098445596"/>
        <n v="0.723577235772358"/>
        <n v="0.57999999999999996"/>
        <n v="0.92913385826771699"/>
        <n v="0.50735294117647101"/>
        <n v="-0.49152542372881403"/>
        <n v="-0.16666666666666699"/>
        <n v="0.86144578313252995"/>
        <n v="0.96341463414634099"/>
        <n v="0.65693430656934304"/>
        <n v="0.108695652173913"/>
        <n v="0.98"/>
        <n v="0.78888888888888897"/>
        <n v="8.3333333333333301E-2"/>
        <n v="0.47580645161290303"/>
        <n v="0.60952380952381002"/>
        <n v="0.35245901639344301"/>
        <n v="0.40833333333333299"/>
        <n v="0.93069306930693096"/>
        <n v="0.53535353535353503"/>
        <n v="0.27956989247311798"/>
        <n v="0.82539682539682502"/>
        <n v="0.93548387096774199"/>
        <n v="0.43243243243243201"/>
        <n v="0.62068965517241403"/>
        <n v="0.83620689655172398"/>
        <n v="0.55223880597014896"/>
        <n v="-0.17808219178082199"/>
        <n v="0.844444444444445"/>
        <n v="0.68867924528301905"/>
        <n v="0.50657894736842102"/>
        <n v="0.81967213114754101"/>
        <n v="0.36619718309859201"/>
        <n v="6.6666666666666693E-2"/>
        <n v="0.75418994413407803"/>
        <n v="0.77"/>
        <n v="0.19587628865979401"/>
        <n v="-0.10606060606060599"/>
        <n v="0.92763157894736903"/>
        <n v="0.90677966101694896"/>
        <n v="-1.8"/>
        <n v="-0.43636363636363601"/>
        <n v="0.36"/>
        <n v="0.51933701657458597"/>
        <n v="0.22413793103448301"/>
        <n v="-0.52941176470588203"/>
        <n v="0.74100719424460404"/>
        <n v="0.41489361702127697"/>
        <n v="0.660377358490566"/>
        <n v="0.64432989690721698"/>
        <n v="0.337209302325581"/>
        <n v="9.6774193548387094E-2"/>
        <n v="0.60305343511450404"/>
        <n v="0.969387755102041"/>
        <n v="0.69178082191780799"/>
        <n v="0.72807017543859698"/>
        <n v="0.85245901639344301"/>
        <n v="-0.28000000000000003"/>
        <n v="0.85915492957746498"/>
        <n v="0.91338582677165403"/>
        <n v="-2.7777777777777801E-2"/>
        <n v="-0.25757575757575801"/>
        <n v="0.737179487179487"/>
        <n v="0.47014925373134298"/>
        <n v="0.96178343949044598"/>
        <n v="0.96799999999999997"/>
        <n v="0.68108108108108101"/>
        <n v="0.28985507246376802"/>
        <n v="0.72619047619047605"/>
        <n v="0.35714285714285698"/>
        <n v="0.48965517241379303"/>
        <n v="0.82051282051282104"/>
        <n v="0.67777777777777803"/>
        <n v="-8.5365853658536606E-2"/>
        <n v="0.49206349206349198"/>
        <n v="0.984615384615385"/>
        <n v="-1.8181818181818198E-2"/>
        <n v="-0.13793103448275901"/>
        <n v="0.97278911564625903"/>
        <n v="0.51648351648351698"/>
        <n v="-0.245283018867925"/>
        <n v="0.3125"/>
        <n v="0.32500000000000001"/>
        <n v="0.990291262135922"/>
        <n v="0.69411764705882395"/>
        <n v="0.4375"/>
        <n v="0.36231884057970998"/>
        <n v="0.55652173913043501"/>
        <n v="0.44827586206896602"/>
        <n v="0.68217054263565902"/>
        <n v="0.67200000000000004"/>
        <n v="-2.1052631578947398"/>
        <n v="0.59354838709677404"/>
        <n v="-2.625"/>
        <n v="0.35087719298245601"/>
        <n v="0.42045454545454602"/>
        <n v="0.60769230769230798"/>
        <n v="0.82568807339449601"/>
        <n v="0.72392638036809798"/>
        <n v="0.49473684210526298"/>
        <n v="0.19354838709677399"/>
        <n v="0.573913043478261"/>
        <n v="-0.103896103896104"/>
        <n v="0.81987577639751597"/>
        <n v="-0.88636363636363602"/>
        <n v="0.19"/>
        <n v="7.1428571428571397E-2"/>
        <n v="0.40776699029126201"/>
        <n v="0.86842105263157898"/>
        <n v="0.7"/>
        <n v="0.97452229299363102"/>
        <n v="0.495652173913044"/>
        <n v="0.73684210526315796"/>
        <n v="0.23529411764705899"/>
        <n v="0.76666666666666705"/>
        <n v="0.40939597315436199"/>
        <n v="0.30701754385964902"/>
        <n v="0.63333333333333297"/>
        <n v="0.68862275449101795"/>
      </sharedItems>
    </cacheField>
    <cacheField name="War_Intensity_Index" numFmtId="0">
      <sharedItems containsSemiMixedTypes="0" containsString="0" containsNumber="1" minValue="0.01" maxValue="1.97" count="191">
        <n v="1.1200000000000001"/>
        <n v="1.06"/>
        <n v="0.37"/>
        <n v="0.56999999999999995"/>
        <n v="0.52"/>
        <n v="1.1299999999999999"/>
        <n v="1.29"/>
        <n v="0.06"/>
        <n v="1.27"/>
        <n v="1.54"/>
        <n v="0.83"/>
        <n v="0.66"/>
        <n v="1.28"/>
        <n v="0.61"/>
        <n v="1.39"/>
        <n v="1.08"/>
        <n v="0.69"/>
        <n v="1.82"/>
        <n v="0.54"/>
        <n v="0.51"/>
        <n v="0.77"/>
        <n v="1.58"/>
        <n v="1.45"/>
        <n v="0.82"/>
        <n v="0.76"/>
        <n v="0.74"/>
        <n v="1.68"/>
        <n v="1.37"/>
        <n v="0.62"/>
        <n v="0.68"/>
        <n v="1"/>
        <n v="1.17"/>
        <n v="1.87"/>
        <n v="1.59"/>
        <n v="0.31"/>
        <n v="1.02"/>
        <n v="1.38"/>
        <n v="0.49"/>
        <n v="1.1499999999999999"/>
        <n v="1.42"/>
        <n v="0.36"/>
        <n v="0.9"/>
        <n v="0.88"/>
        <n v="1.32"/>
        <n v="0.53"/>
        <n v="0.14000000000000001"/>
        <n v="0.45"/>
        <n v="0.32"/>
        <n v="1.84"/>
        <n v="0.78"/>
        <n v="0.65"/>
        <n v="0.98"/>
        <n v="0.85"/>
        <n v="0.84"/>
        <n v="0.34"/>
        <n v="1.65"/>
        <n v="1.23"/>
        <n v="1.33"/>
        <n v="1.34"/>
        <n v="0.57999999999999996"/>
        <n v="0.64"/>
        <n v="1.18"/>
        <n v="1.1599999999999999"/>
        <n v="0.55000000000000004"/>
        <n v="0.5"/>
        <n v="1.61"/>
        <n v="0.91"/>
        <n v="0.2"/>
        <n v="1.21"/>
        <n v="1.88"/>
        <n v="1.41"/>
        <n v="1.57"/>
        <n v="0.79"/>
        <n v="1.81"/>
        <n v="0.75"/>
        <n v="1.73"/>
        <n v="1.1000000000000001"/>
        <n v="1.6"/>
        <n v="0.72"/>
        <n v="1.01"/>
        <n v="1.26"/>
        <n v="0.73"/>
        <n v="0.41"/>
        <n v="0.87"/>
        <n v="1.66"/>
        <n v="0.95"/>
        <n v="1.22"/>
        <n v="0.28999999999999998"/>
        <n v="0.86"/>
        <n v="1.74"/>
        <n v="1.69"/>
        <n v="1.43"/>
        <n v="1.51"/>
        <n v="1.0900000000000001"/>
        <n v="1.19"/>
        <n v="0.42"/>
        <n v="0.26"/>
        <n v="1.2"/>
        <n v="1.1399999999999999"/>
        <n v="1.24"/>
        <n v="1.3"/>
        <n v="0.8"/>
        <n v="0.28000000000000003"/>
        <n v="1.07"/>
        <n v="0.63"/>
        <n v="1.52"/>
        <n v="1.49"/>
        <n v="7.0000000000000007E-2"/>
        <n v="1.35"/>
        <n v="1.9"/>
        <n v="1.31"/>
        <n v="0.96"/>
        <n v="1.1100000000000001"/>
        <n v="1.36"/>
        <n v="1.86"/>
        <n v="0.47"/>
        <n v="0.92"/>
        <n v="0.7"/>
        <n v="1.03"/>
        <n v="1.5"/>
        <n v="0.81"/>
        <n v="1.67"/>
        <n v="1.92"/>
        <n v="0.67"/>
        <n v="0.89"/>
        <n v="1.55"/>
        <n v="0.6"/>
        <n v="0.39"/>
        <n v="1.56"/>
        <n v="1.53"/>
        <n v="0.24"/>
        <n v="1.8"/>
        <n v="0.93"/>
        <n v="0.56000000000000005"/>
        <n v="0.94"/>
        <n v="0.46"/>
        <n v="0.35"/>
        <n v="1.63"/>
        <n v="1.46"/>
        <n v="1.05"/>
        <n v="0.25"/>
        <n v="0.99"/>
        <n v="0.33"/>
        <n v="0.44"/>
        <n v="1.62"/>
        <n v="0.23"/>
        <n v="0.71"/>
        <n v="1.04"/>
        <n v="1.64"/>
        <n v="0.97"/>
        <n v="1.76"/>
        <n v="1.47"/>
        <n v="1.91"/>
        <n v="1.89"/>
        <n v="0.18"/>
        <n v="0.48"/>
        <n v="0.17"/>
        <n v="1.4"/>
        <n v="0.22"/>
        <n v="0.16"/>
        <n v="1.48"/>
        <n v="0.21"/>
        <n v="1.7"/>
        <n v="0.12"/>
        <n v="0.4"/>
        <n v="1.94"/>
        <n v="0.15"/>
        <n v="0.59"/>
        <n v="1.72"/>
        <n v="1.25"/>
        <n v="1.79"/>
        <n v="0.43"/>
        <n v="1.75"/>
        <n v="1.44"/>
        <n v="0.05"/>
        <n v="0.09"/>
        <n v="0.38"/>
        <n v="0.13"/>
        <n v="1.78"/>
        <n v="1.85"/>
        <n v="0.3"/>
        <n v="0.01"/>
        <n v="0.08"/>
        <n v="1.77"/>
        <n v="1.93"/>
        <n v="0.19"/>
        <n v="1.71"/>
        <n v="0.27"/>
        <n v="0.02"/>
        <n v="1.97"/>
        <n v="1.83"/>
      </sharedItems>
    </cacheField>
    <cacheField name="Month" numFmtId="0">
      <sharedItems count="3">
        <s v="Apr"/>
        <s v="Feb"/>
        <s v="Ma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lcome" refreshedDate="46098.502939814804" createdVersion="5" refreshedVersion="5" minRefreshableVersion="3" recordCount="2001" xr:uid="{00000000-000A-0000-FFFF-FFFF01000000}">
  <cacheSource type="worksheet">
    <worksheetSource ref="A1:U1048576" sheet="geopolitical_war_impact_dataset"/>
  </cacheSource>
  <cacheFields count="22">
    <cacheField name="Date" numFmtId="0">
      <sharedItems containsNonDate="0" containsDate="1" containsString="0" containsBlank="1" minDate="2026-02-15T00:00:00" maxDate="2026-04-15T00:00:00" count="61">
        <d v="2026-04-03T00:00:00"/>
        <d v="2026-02-19T00:00:00"/>
        <d v="2026-03-12T00:00:00"/>
        <d v="2026-04-10T00:00:00"/>
        <d v="2026-02-18T00:00:00"/>
        <d v="2026-03-06T00:00:00"/>
        <d v="2026-03-10T00:00:00"/>
        <d v="2026-03-26T00:00:00"/>
        <d v="2026-03-15T00:00:00"/>
        <d v="2026-04-13T00:00:00"/>
        <d v="2026-03-01T00:00:00"/>
        <d v="2026-02-23T00:00:00"/>
        <d v="2026-04-02T00:00:00"/>
        <d v="2026-03-29T00:00:00"/>
        <d v="2026-03-13T00:00:00"/>
        <d v="2026-03-25T00:00:00"/>
        <d v="2026-04-04T00:00:00"/>
        <d v="2026-02-22T00:00:00"/>
        <d v="2026-03-31T00:00:00"/>
        <d v="2026-02-15T00:00:00"/>
        <d v="2026-02-26T00:00:00"/>
        <d v="2026-04-11T00:00:00"/>
        <d v="2026-04-14T00:00:00"/>
        <d v="2026-02-21T00:00:00"/>
        <d v="2026-02-20T00:00:00"/>
        <d v="2026-04-12T00:00:00"/>
        <d v="2026-03-11T00:00:00"/>
        <d v="2026-04-09T00:00:00"/>
        <d v="2026-04-15T00:00:00"/>
        <d v="2026-03-21T00:00:00"/>
        <d v="2026-02-24T00:00:00"/>
        <d v="2026-03-22T00:00:00"/>
        <d v="2026-02-16T00:00:00"/>
        <d v="2026-03-03T00:00:00"/>
        <d v="2026-03-18T00:00:00"/>
        <d v="2026-03-16T00:00:00"/>
        <d v="2026-02-25T00:00:00"/>
        <d v="2026-03-28T00:00:00"/>
        <d v="2026-03-19T00:00:00"/>
        <d v="2026-03-08T00:00:00"/>
        <d v="2026-03-23T00:00:00"/>
        <d v="2026-03-20T00:00:00"/>
        <d v="2026-03-14T00:00:00"/>
        <d v="2026-03-17T00:00:00"/>
        <d v="2026-03-24T00:00:00"/>
        <d v="2026-03-04T00:00:00"/>
        <d v="2026-02-17T00:00:00"/>
        <d v="2026-04-06T00:00:00"/>
        <d v="2026-03-05T00:00:00"/>
        <d v="2026-02-27T00:00:00"/>
        <d v="2026-03-30T00:00:00"/>
        <d v="2026-03-07T00:00:00"/>
        <d v="2026-03-02T00:00:00"/>
        <d v="2026-02-28T00:00:00"/>
        <d v="2026-04-08T00:00:00"/>
        <d v="2026-03-09T00:00:00"/>
        <d v="2026-03-27T00:00:00"/>
        <d v="2026-04-05T00:00:00"/>
        <d v="2026-04-07T00:00:00"/>
        <d v="2026-04-01T00:00:00"/>
        <m/>
      </sharedItems>
      <fieldGroup par="21" base="0">
        <rangePr groupBy="days" startDate="2026-02-15T00:00:00" endDate="2026-04-15T00:00:00"/>
        <groupItems count="368">
          <s v="(blank)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5-04-2026"/>
        </groupItems>
      </fieldGroup>
    </cacheField>
    <cacheField name="Country" numFmtId="0">
      <sharedItems containsBlank="1" count="3">
        <s v="Iran"/>
        <s v="Israel"/>
        <m/>
      </sharedItems>
    </cacheField>
    <cacheField name="Area" numFmtId="0">
      <sharedItems containsBlank="1" count="11">
        <s v="Ashdod"/>
        <s v="Qom"/>
        <s v="Gaza Border"/>
        <s v="Isfahan"/>
        <s v="Tehran"/>
        <s v="Shiraz"/>
        <s v="Tel Aviv"/>
        <s v="West Bank"/>
        <s v="Jerusalem"/>
        <s v="Haifa"/>
        <m/>
      </sharedItems>
    </cacheField>
    <cacheField name="Event_Type" numFmtId="0">
      <sharedItems containsBlank="1" count="6">
        <s v="Cyber Attack"/>
        <s v="Airstrike"/>
        <s v="Drone Strike"/>
        <s v="Missile Attack"/>
        <s v="Rocket Attack"/>
        <m/>
      </sharedItems>
    </cacheField>
    <cacheField name="Target_Type" numFmtId="0">
      <sharedItems containsBlank="1" count="8">
        <s v="Radar Station"/>
        <s v="Military Base"/>
        <s v="Oil Facility"/>
        <s v="Port"/>
        <s v="Airport"/>
        <s v="City Center"/>
        <s v="Power Grid"/>
        <m/>
      </sharedItems>
    </cacheField>
    <cacheField name="Weather" numFmtId="0">
      <sharedItems containsBlank="1" count="5">
        <s v="Fog"/>
        <s v="Clear"/>
        <s v="Rain"/>
        <s v="Dust Storm"/>
        <m/>
      </sharedItems>
    </cacheField>
    <cacheField name="Missiles_Launched" numFmtId="0">
      <sharedItems containsString="0" containsBlank="1" containsNumber="1" containsInteger="1" minValue="0" maxValue="119" count="121">
        <n v="36"/>
        <n v="82"/>
        <n v="22"/>
        <n v="8"/>
        <n v="1"/>
        <n v="107"/>
        <n v="51"/>
        <n v="6"/>
        <n v="50"/>
        <n v="83"/>
        <n v="11"/>
        <n v="17"/>
        <n v="3"/>
        <n v="119"/>
        <n v="67"/>
        <n v="68"/>
        <n v="97"/>
        <n v="104"/>
        <n v="30"/>
        <n v="31"/>
        <n v="77"/>
        <n v="114"/>
        <n v="58"/>
        <n v="37"/>
        <n v="40"/>
        <n v="52"/>
        <n v="74"/>
        <n v="27"/>
        <n v="39"/>
        <n v="45"/>
        <n v="111"/>
        <n v="15"/>
        <n v="100"/>
        <n v="99"/>
        <n v="115"/>
        <n v="59"/>
        <n v="90"/>
        <n v="18"/>
        <n v="38"/>
        <n v="24"/>
        <n v="13"/>
        <n v="55"/>
        <n v="113"/>
        <n v="33"/>
        <n v="62"/>
        <n v="5"/>
        <n v="14"/>
        <n v="42"/>
        <n v="21"/>
        <n v="65"/>
        <n v="78"/>
        <n v="76"/>
        <n v="117"/>
        <n v="69"/>
        <n v="102"/>
        <n v="46"/>
        <n v="53"/>
        <n v="118"/>
        <n v="86"/>
        <n v="73"/>
        <n v="64"/>
        <n v="116"/>
        <n v="91"/>
        <n v="70"/>
        <n v="48"/>
        <n v="95"/>
        <n v="72"/>
        <n v="106"/>
        <n v="25"/>
        <n v="7"/>
        <n v="87"/>
        <n v="98"/>
        <n v="103"/>
        <n v="88"/>
        <n v="85"/>
        <n v="2"/>
        <n v="57"/>
        <n v="49"/>
        <n v="80"/>
        <n v="93"/>
        <n v="41"/>
        <n v="108"/>
        <n v="29"/>
        <n v="19"/>
        <n v="112"/>
        <n v="9"/>
        <n v="54"/>
        <n v="61"/>
        <n v="94"/>
        <n v="16"/>
        <n v="79"/>
        <n v="60"/>
        <n v="35"/>
        <n v="84"/>
        <n v="47"/>
        <n v="105"/>
        <n v="96"/>
        <n v="56"/>
        <n v="4"/>
        <n v="43"/>
        <n v="26"/>
        <n v="20"/>
        <n v="0"/>
        <n v="89"/>
        <n v="101"/>
        <n v="110"/>
        <n v="32"/>
        <n v="10"/>
        <n v="92"/>
        <n v="71"/>
        <n v="12"/>
        <n v="75"/>
        <n v="34"/>
        <n v="28"/>
        <n v="81"/>
        <n v="66"/>
        <n v="23"/>
        <n v="109"/>
        <n v="44"/>
        <n v="63"/>
        <m/>
      </sharedItems>
    </cacheField>
    <cacheField name="Drones_Launched" numFmtId="0">
      <sharedItems containsString="0" containsBlank="1" containsNumber="1" containsInteger="1" minValue="0" maxValue="79" count="81">
        <n v="76"/>
        <n v="24"/>
        <n v="15"/>
        <n v="49"/>
        <n v="51"/>
        <n v="6"/>
        <n v="78"/>
        <n v="0"/>
        <n v="77"/>
        <n v="71"/>
        <n v="72"/>
        <n v="63"/>
        <n v="9"/>
        <n v="53"/>
        <n v="40"/>
        <n v="8"/>
        <n v="39"/>
        <n v="38"/>
        <n v="50"/>
        <n v="68"/>
        <n v="11"/>
        <n v="17"/>
        <n v="25"/>
        <n v="54"/>
        <n v="55"/>
        <n v="37"/>
        <n v="61"/>
        <n v="23"/>
        <n v="57"/>
        <n v="79"/>
        <n v="47"/>
        <n v="46"/>
        <n v="18"/>
        <n v="4"/>
        <n v="5"/>
        <n v="31"/>
        <n v="74"/>
        <n v="12"/>
        <n v="20"/>
        <n v="1"/>
        <n v="7"/>
        <n v="16"/>
        <n v="48"/>
        <n v="66"/>
        <n v="60"/>
        <n v="27"/>
        <n v="19"/>
        <n v="75"/>
        <n v="70"/>
        <n v="69"/>
        <n v="42"/>
        <n v="36"/>
        <n v="58"/>
        <n v="65"/>
        <n v="30"/>
        <n v="67"/>
        <n v="59"/>
        <n v="34"/>
        <n v="10"/>
        <n v="35"/>
        <n v="13"/>
        <n v="22"/>
        <n v="14"/>
        <n v="28"/>
        <n v="56"/>
        <n v="43"/>
        <n v="26"/>
        <n v="64"/>
        <n v="21"/>
        <n v="44"/>
        <n v="2"/>
        <n v="3"/>
        <n v="32"/>
        <n v="73"/>
        <n v="41"/>
        <n v="33"/>
        <n v="62"/>
        <n v="52"/>
        <n v="45"/>
        <n v="29"/>
        <m/>
      </sharedItems>
    </cacheField>
    <cacheField name="Defense_Interceptions" numFmtId="0">
      <sharedItems containsString="0" containsBlank="1" containsNumber="1" containsInteger="1" minValue="0" maxValue="89" count="91">
        <n v="21"/>
        <n v="18"/>
        <n v="22"/>
        <n v="24"/>
        <n v="60"/>
        <n v="86"/>
        <n v="10"/>
        <n v="33"/>
        <n v="40"/>
        <n v="45"/>
        <n v="4"/>
        <n v="85"/>
        <n v="87"/>
        <n v="58"/>
        <n v="27"/>
        <n v="32"/>
        <n v="66"/>
        <n v="72"/>
        <n v="48"/>
        <n v="43"/>
        <n v="79"/>
        <n v="51"/>
        <n v="3"/>
        <n v="49"/>
        <n v="37"/>
        <n v="46"/>
        <n v="5"/>
        <n v="17"/>
        <n v="61"/>
        <n v="59"/>
        <n v="63"/>
        <n v="12"/>
        <n v="36"/>
        <n v="16"/>
        <n v="23"/>
        <n v="26"/>
        <n v="83"/>
        <n v="35"/>
        <n v="1"/>
        <n v="9"/>
        <n v="67"/>
        <n v="30"/>
        <n v="81"/>
        <n v="13"/>
        <n v="78"/>
        <n v="69"/>
        <n v="88"/>
        <n v="52"/>
        <n v="38"/>
        <n v="54"/>
        <n v="7"/>
        <n v="62"/>
        <n v="71"/>
        <n v="2"/>
        <n v="29"/>
        <n v="44"/>
        <n v="70"/>
        <n v="20"/>
        <n v="0"/>
        <n v="64"/>
        <n v="89"/>
        <n v="76"/>
        <n v="56"/>
        <n v="84"/>
        <n v="75"/>
        <n v="55"/>
        <n v="80"/>
        <n v="41"/>
        <n v="42"/>
        <n v="53"/>
        <n v="11"/>
        <n v="73"/>
        <n v="19"/>
        <n v="74"/>
        <n v="82"/>
        <n v="65"/>
        <n v="28"/>
        <n v="34"/>
        <n v="77"/>
        <n v="47"/>
        <n v="50"/>
        <n v="68"/>
        <n v="6"/>
        <n v="14"/>
        <n v="57"/>
        <n v="25"/>
        <n v="31"/>
        <n v="8"/>
        <n v="39"/>
        <n v="15"/>
        <m/>
      </sharedItems>
    </cacheField>
    <cacheField name="Deaths" numFmtId="0">
      <sharedItems containsString="0" containsBlank="1" containsNumber="1" containsInteger="1" minValue="0" maxValue="159" count="161">
        <n v="17"/>
        <n v="86"/>
        <n v="100"/>
        <n v="141"/>
        <n v="158"/>
        <n v="14"/>
        <n v="67"/>
        <n v="47"/>
        <n v="8"/>
        <n v="36"/>
        <n v="61"/>
        <n v="12"/>
        <n v="55"/>
        <n v="104"/>
        <n v="54"/>
        <n v="92"/>
        <n v="46"/>
        <n v="5"/>
        <n v="23"/>
        <n v="137"/>
        <n v="15"/>
        <n v="28"/>
        <n v="58"/>
        <n v="96"/>
        <n v="94"/>
        <n v="111"/>
        <n v="66"/>
        <n v="93"/>
        <n v="74"/>
        <n v="88"/>
        <n v="151"/>
        <n v="27"/>
        <n v="19"/>
        <n v="10"/>
        <n v="38"/>
        <n v="119"/>
        <n v="82"/>
        <n v="44"/>
        <n v="133"/>
        <n v="59"/>
        <n v="16"/>
        <n v="72"/>
        <n v="153"/>
        <n v="53"/>
        <n v="146"/>
        <n v="139"/>
        <n v="136"/>
        <n v="21"/>
        <n v="98"/>
        <n v="152"/>
        <n v="3"/>
        <n v="24"/>
        <n v="84"/>
        <n v="90"/>
        <n v="97"/>
        <n v="33"/>
        <n v="73"/>
        <n v="144"/>
        <n v="7"/>
        <n v="63"/>
        <n v="1"/>
        <n v="31"/>
        <n v="9"/>
        <n v="155"/>
        <n v="76"/>
        <n v="41"/>
        <n v="77"/>
        <n v="22"/>
        <n v="129"/>
        <n v="80"/>
        <n v="29"/>
        <n v="123"/>
        <n v="39"/>
        <n v="40"/>
        <n v="52"/>
        <n v="30"/>
        <n v="13"/>
        <n v="115"/>
        <n v="75"/>
        <n v="103"/>
        <n v="70"/>
        <n v="4"/>
        <n v="83"/>
        <n v="135"/>
        <n v="140"/>
        <n v="128"/>
        <n v="48"/>
        <n v="99"/>
        <n v="143"/>
        <n v="89"/>
        <n v="107"/>
        <n v="79"/>
        <n v="118"/>
        <n v="120"/>
        <n v="117"/>
        <n v="0"/>
        <n v="148"/>
        <n v="49"/>
        <n v="65"/>
        <n v="134"/>
        <n v="87"/>
        <n v="42"/>
        <n v="131"/>
        <n v="125"/>
        <n v="147"/>
        <n v="2"/>
        <n v="108"/>
        <n v="43"/>
        <n v="64"/>
        <n v="127"/>
        <n v="145"/>
        <n v="149"/>
        <n v="110"/>
        <n v="114"/>
        <n v="25"/>
        <n v="85"/>
        <n v="150"/>
        <n v="112"/>
        <n v="113"/>
        <n v="138"/>
        <n v="68"/>
        <n v="57"/>
        <n v="78"/>
        <n v="81"/>
        <n v="20"/>
        <n v="102"/>
        <n v="130"/>
        <n v="124"/>
        <n v="71"/>
        <n v="142"/>
        <n v="101"/>
        <n v="106"/>
        <n v="105"/>
        <n v="122"/>
        <n v="121"/>
        <n v="154"/>
        <n v="60"/>
        <n v="156"/>
        <n v="91"/>
        <n v="157"/>
        <n v="18"/>
        <n v="132"/>
        <n v="126"/>
        <n v="50"/>
        <n v="95"/>
        <n v="6"/>
        <n v="109"/>
        <n v="35"/>
        <n v="159"/>
        <n v="56"/>
        <n v="37"/>
        <n v="26"/>
        <n v="116"/>
        <n v="11"/>
        <n v="32"/>
        <n v="62"/>
        <n v="69"/>
        <n v="51"/>
        <n v="45"/>
        <n v="34"/>
        <m/>
      </sharedItems>
    </cacheField>
    <cacheField name="Injuries" numFmtId="0">
      <sharedItems containsString="0" containsBlank="1" containsNumber="1" containsInteger="1" minValue="0" maxValue="449" count="447">
        <n v="165"/>
        <n v="30"/>
        <n v="417"/>
        <n v="413"/>
        <n v="420"/>
        <n v="259"/>
        <n v="232"/>
        <n v="156"/>
        <n v="123"/>
        <n v="349"/>
        <n v="111"/>
        <n v="270"/>
        <n v="115"/>
        <n v="252"/>
        <n v="443"/>
        <n v="231"/>
        <n v="53"/>
        <n v="284"/>
        <n v="439"/>
        <n v="299"/>
        <n v="372"/>
        <n v="33"/>
        <n v="79"/>
        <n v="206"/>
        <n v="13"/>
        <n v="131"/>
        <n v="175"/>
        <n v="32"/>
        <n v="61"/>
        <n v="159"/>
        <n v="399"/>
        <n v="317"/>
        <n v="245"/>
        <n v="283"/>
        <n v="311"/>
        <n v="136"/>
        <n v="331"/>
        <n v="415"/>
        <n v="17"/>
        <n v="260"/>
        <n v="396"/>
        <n v="27"/>
        <n v="219"/>
        <n v="86"/>
        <n v="126"/>
        <n v="274"/>
        <n v="312"/>
        <n v="377"/>
        <n v="142"/>
        <n v="6"/>
        <n v="375"/>
        <n v="211"/>
        <n v="91"/>
        <n v="196"/>
        <n v="40"/>
        <n v="112"/>
        <n v="151"/>
        <n v="310"/>
        <n v="26"/>
        <n v="125"/>
        <n v="1"/>
        <n v="295"/>
        <n v="387"/>
        <n v="117"/>
        <n v="133"/>
        <n v="440"/>
        <n v="265"/>
        <n v="138"/>
        <n v="180"/>
        <n v="234"/>
        <n v="144"/>
        <n v="339"/>
        <n v="50"/>
        <n v="438"/>
        <n v="152"/>
        <n v="293"/>
        <n v="404"/>
        <n v="155"/>
        <n v="48"/>
        <n v="227"/>
        <n v="368"/>
        <n v="357"/>
        <n v="330"/>
        <n v="297"/>
        <n v="77"/>
        <n v="147"/>
        <n v="21"/>
        <n v="290"/>
        <n v="358"/>
        <n v="164"/>
        <n v="418"/>
        <n v="388"/>
        <n v="222"/>
        <n v="437"/>
        <n v="173"/>
        <n v="54"/>
        <n v="344"/>
        <n v="185"/>
        <n v="322"/>
        <n v="253"/>
        <n v="69"/>
        <n v="389"/>
        <n v="160"/>
        <n v="248"/>
        <n v="338"/>
        <n v="153"/>
        <n v="205"/>
        <n v="163"/>
        <n v="0"/>
        <n v="92"/>
        <n v="303"/>
        <n v="65"/>
        <n v="213"/>
        <n v="409"/>
        <n v="9"/>
        <n v="100"/>
        <n v="251"/>
        <n v="373"/>
        <n v="38"/>
        <n v="379"/>
        <n v="99"/>
        <n v="423"/>
        <n v="75"/>
        <n v="347"/>
        <n v="412"/>
        <n v="374"/>
        <n v="201"/>
        <n v="428"/>
        <n v="149"/>
        <n v="41"/>
        <n v="278"/>
        <n v="178"/>
        <n v="362"/>
        <n v="296"/>
        <n v="247"/>
        <n v="269"/>
        <n v="371"/>
        <n v="109"/>
        <n v="241"/>
        <n v="174"/>
        <n v="15"/>
        <n v="386"/>
        <n v="275"/>
        <n v="381"/>
        <n v="122"/>
        <n v="325"/>
        <n v="432"/>
        <n v="114"/>
        <n v="200"/>
        <n v="298"/>
        <n v="193"/>
        <n v="62"/>
        <n v="380"/>
        <n v="391"/>
        <n v="334"/>
        <n v="320"/>
        <n v="326"/>
        <n v="204"/>
        <n v="308"/>
        <n v="188"/>
        <n v="255"/>
        <n v="306"/>
        <n v="336"/>
        <n v="107"/>
        <n v="110"/>
        <n v="37"/>
        <n v="217"/>
        <n v="98"/>
        <n v="329"/>
        <n v="302"/>
        <n v="307"/>
        <n v="158"/>
        <n v="19"/>
        <n v="328"/>
        <n v="244"/>
        <n v="68"/>
        <n v="143"/>
        <n v="4"/>
        <n v="340"/>
        <n v="403"/>
        <n v="18"/>
        <n v="3"/>
        <n v="301"/>
        <n v="154"/>
        <n v="216"/>
        <n v="64"/>
        <n v="361"/>
        <n v="63"/>
        <n v="315"/>
        <n v="402"/>
        <n v="289"/>
        <n v="224"/>
        <n v="385"/>
        <n v="66"/>
        <n v="422"/>
        <n v="447"/>
        <n v="46"/>
        <n v="419"/>
        <n v="352"/>
        <n v="436"/>
        <n v="104"/>
        <n v="35"/>
        <n v="264"/>
        <n v="20"/>
        <n v="57"/>
        <n v="337"/>
        <n v="214"/>
        <n v="343"/>
        <n v="44"/>
        <n v="95"/>
        <n v="209"/>
        <n v="246"/>
        <n v="279"/>
        <n v="187"/>
        <n v="309"/>
        <n v="305"/>
        <n v="51"/>
        <n v="118"/>
        <n v="145"/>
        <n v="228"/>
        <n v="324"/>
        <n v="162"/>
        <n v="286"/>
        <n v="256"/>
        <n v="351"/>
        <n v="393"/>
        <n v="426"/>
        <n v="257"/>
        <n v="218"/>
        <n v="410"/>
        <n v="179"/>
        <n v="10"/>
        <n v="363"/>
        <n v="42"/>
        <n v="16"/>
        <n v="85"/>
        <n v="262"/>
        <n v="429"/>
        <n v="273"/>
        <n v="55"/>
        <n v="89"/>
        <n v="416"/>
        <n v="239"/>
        <n v="382"/>
        <n v="56"/>
        <n v="81"/>
        <n v="333"/>
        <n v="300"/>
        <n v="171"/>
        <n v="124"/>
        <n v="130"/>
        <n v="52"/>
        <n v="190"/>
        <n v="431"/>
        <n v="191"/>
        <n v="405"/>
        <n v="82"/>
        <n v="277"/>
        <n v="291"/>
        <n v="282"/>
        <n v="80"/>
        <n v="261"/>
        <n v="233"/>
        <n v="390"/>
        <n v="446"/>
        <n v="254"/>
        <n v="313"/>
        <n v="229"/>
        <n v="354"/>
        <n v="342"/>
        <n v="96"/>
        <n v="22"/>
        <n v="294"/>
        <n v="198"/>
        <n v="210"/>
        <n v="208"/>
        <n v="25"/>
        <n v="323"/>
        <n v="43"/>
        <n v="406"/>
        <n v="105"/>
        <n v="230"/>
        <n v="360"/>
        <n v="72"/>
        <n v="441"/>
        <n v="249"/>
        <n v="401"/>
        <n v="427"/>
        <n v="237"/>
        <n v="31"/>
        <n v="445"/>
        <n v="73"/>
        <n v="319"/>
        <n v="186"/>
        <n v="397"/>
        <n v="166"/>
        <n v="378"/>
        <n v="408"/>
        <n v="106"/>
        <n v="263"/>
        <n v="223"/>
        <n v="243"/>
        <n v="34"/>
        <n v="236"/>
        <n v="74"/>
        <n v="195"/>
        <n v="28"/>
        <n v="272"/>
        <n v="128"/>
        <n v="134"/>
        <n v="271"/>
        <n v="318"/>
        <n v="250"/>
        <n v="139"/>
        <n v="120"/>
        <n v="70"/>
        <n v="356"/>
        <n v="292"/>
        <n v="121"/>
        <n v="226"/>
        <n v="220"/>
        <n v="29"/>
        <n v="335"/>
        <n v="449"/>
        <n v="258"/>
        <n v="240"/>
        <n v="424"/>
        <n v="365"/>
        <n v="76"/>
        <n v="36"/>
        <n v="367"/>
        <n v="421"/>
        <n v="23"/>
        <n v="341"/>
        <n v="59"/>
        <n v="392"/>
        <n v="67"/>
        <n v="199"/>
        <n v="168"/>
        <n v="353"/>
        <n v="90"/>
        <n v="376"/>
        <n v="129"/>
        <n v="148"/>
        <n v="442"/>
        <n v="84"/>
        <n v="39"/>
        <n v="345"/>
        <n v="407"/>
        <n v="383"/>
        <n v="346"/>
        <n v="276"/>
        <n v="103"/>
        <n v="83"/>
        <n v="14"/>
        <n v="161"/>
        <n v="2"/>
        <n v="7"/>
        <n v="448"/>
        <n v="197"/>
        <n v="78"/>
        <n v="355"/>
        <n v="140"/>
        <n v="364"/>
        <n v="287"/>
        <n v="170"/>
        <n v="202"/>
        <n v="88"/>
        <n v="94"/>
        <n v="157"/>
        <n v="395"/>
        <n v="267"/>
        <n v="203"/>
        <n v="430"/>
        <n v="366"/>
        <n v="181"/>
        <n v="58"/>
        <n v="24"/>
        <n v="433"/>
        <n v="212"/>
        <n v="215"/>
        <n v="369"/>
        <n v="172"/>
        <n v="97"/>
        <n v="280"/>
        <n v="314"/>
        <n v="176"/>
        <n v="281"/>
        <n v="400"/>
        <n v="332"/>
        <n v="348"/>
        <n v="119"/>
        <n v="327"/>
        <n v="394"/>
        <n v="411"/>
        <n v="288"/>
        <n v="116"/>
        <n v="398"/>
        <n v="102"/>
        <n v="177"/>
        <n v="132"/>
        <n v="146"/>
        <n v="266"/>
        <n v="207"/>
        <n v="12"/>
        <n v="47"/>
        <n v="434"/>
        <n v="321"/>
        <n v="60"/>
        <n v="11"/>
        <n v="150"/>
        <n v="167"/>
        <n v="359"/>
        <n v="182"/>
        <n v="242"/>
        <n v="444"/>
        <n v="101"/>
        <n v="304"/>
        <n v="184"/>
        <n v="225"/>
        <n v="268"/>
        <n v="108"/>
        <n v="49"/>
        <n v="285"/>
        <n v="8"/>
        <n v="316"/>
        <n v="5"/>
        <n v="414"/>
        <n v="137"/>
        <n v="93"/>
        <n v="221"/>
        <n v="189"/>
        <n v="45"/>
        <n v="183"/>
        <n v="194"/>
        <n v="141"/>
        <n v="127"/>
        <n v="135"/>
        <n v="435"/>
        <n v="113"/>
        <n v="169"/>
        <n v="71"/>
        <n v="350"/>
        <n v="425"/>
        <n v="192"/>
        <n v="235"/>
        <m/>
      </sharedItems>
    </cacheField>
    <cacheField name="Oil_Price_USD" numFmtId="0">
      <sharedItems containsString="0" containsBlank="1" containsNumber="1" minValue="80.02" maxValue="139.94" count="1698">
        <n v="97.47"/>
        <n v="136.66"/>
        <n v="127.12"/>
        <n v="88.27"/>
        <n v="123.47"/>
        <n v="107.71"/>
        <n v="118.42"/>
        <n v="103.92"/>
        <n v="99.51"/>
        <n v="136.13"/>
        <n v="106.99"/>
        <n v="98.27"/>
        <n v="83.2"/>
        <n v="90.16"/>
        <n v="119.6"/>
        <n v="105.47"/>
        <n v="111.95"/>
        <n v="114.48"/>
        <n v="86.43"/>
        <n v="114.86"/>
        <n v="88.78"/>
        <n v="123.7"/>
        <n v="110.68"/>
        <n v="128.53"/>
        <n v="88.81"/>
        <n v="106.72"/>
        <n v="91.17"/>
        <n v="116.42"/>
        <n v="84.27"/>
        <n v="104.41"/>
        <n v="110.89"/>
        <n v="139.9"/>
        <n v="102.89"/>
        <n v="111.38"/>
        <n v="89.12"/>
        <n v="92.16"/>
        <n v="95.39"/>
        <n v="136.08000000000001"/>
        <n v="137.38"/>
        <n v="123.66"/>
        <n v="136.41999999999999"/>
        <n v="132.18"/>
        <n v="133.16"/>
        <n v="82.34"/>
        <n v="105.21"/>
        <n v="104.05"/>
        <n v="132.07"/>
        <n v="107.34"/>
        <n v="137.71"/>
        <n v="98.04"/>
        <n v="113.07"/>
        <n v="117.82"/>
        <n v="113.37"/>
        <n v="99.72"/>
        <n v="80.959999999999994"/>
        <n v="109.96"/>
        <n v="138.85"/>
        <n v="83.72"/>
        <n v="129.91"/>
        <n v="105.82"/>
        <n v="133.75"/>
        <n v="110.43"/>
        <n v="133.81"/>
        <n v="117.75"/>
        <n v="94.83"/>
        <n v="82.05"/>
        <n v="120.17"/>
        <n v="112.62"/>
        <n v="137.54"/>
        <n v="87.26"/>
        <n v="93.31"/>
        <n v="97.1"/>
        <n v="117.93"/>
        <n v="109.29"/>
        <n v="93.52"/>
        <n v="83.37"/>
        <n v="94.66"/>
        <n v="115.88"/>
        <n v="125.74"/>
        <n v="125.44"/>
        <n v="90.18"/>
        <n v="94.33"/>
        <n v="98.8"/>
        <n v="105.51"/>
        <n v="92.18"/>
        <n v="133.63999999999999"/>
        <n v="118.37"/>
        <n v="123.42"/>
        <n v="88.36"/>
        <n v="89.36"/>
        <n v="115.12"/>
        <n v="126.35"/>
        <n v="86.88"/>
        <n v="103.06"/>
        <n v="122.1"/>
        <n v="132.41"/>
        <n v="115.53"/>
        <n v="92.85"/>
        <n v="85.62"/>
        <n v="120.19"/>
        <n v="103.62"/>
        <n v="101.95"/>
        <n v="105.12"/>
        <n v="102.64"/>
        <n v="127.75"/>
        <n v="83.3"/>
        <n v="123.63"/>
        <n v="134"/>
        <n v="87.3"/>
        <n v="136.91"/>
        <n v="128.97999999999999"/>
        <n v="91.1"/>
        <n v="83.51"/>
        <n v="139.41999999999999"/>
        <n v="139.22"/>
        <n v="91.01"/>
        <n v="113.99"/>
        <n v="105.71"/>
        <n v="94.35"/>
        <n v="116.76"/>
        <n v="133.72999999999999"/>
        <n v="124.75"/>
        <n v="93.89"/>
        <n v="114.35"/>
        <n v="88.44"/>
        <n v="90.35"/>
        <n v="136.26"/>
        <n v="86.1"/>
        <n v="80.040000000000006"/>
        <n v="91.76"/>
        <n v="99.87"/>
        <n v="105.87"/>
        <n v="125.38"/>
        <n v="121.19"/>
        <n v="82.48"/>
        <n v="99.46"/>
        <n v="109.8"/>
        <n v="115.2"/>
        <n v="92.95"/>
        <n v="108.49"/>
        <n v="126"/>
        <n v="125.3"/>
        <n v="85.96"/>
        <n v="101.14"/>
        <n v="121.15"/>
        <n v="136.30000000000001"/>
        <n v="90.25"/>
        <n v="102.31"/>
        <n v="91.07"/>
        <n v="125.27"/>
        <n v="135.69"/>
        <n v="128.41"/>
        <n v="96.61"/>
        <n v="120.69"/>
        <n v="82.24"/>
        <n v="138.83000000000001"/>
        <n v="92.46"/>
        <n v="126.14"/>
        <n v="119.07"/>
        <n v="95.27"/>
        <n v="116.16"/>
        <n v="121.02"/>
        <n v="123.71"/>
        <n v="96.96"/>
        <n v="135.15"/>
        <n v="134.47"/>
        <n v="98.2"/>
        <n v="82.33"/>
        <n v="127.22"/>
        <n v="105.48"/>
        <n v="136.58000000000001"/>
        <n v="99.63"/>
        <n v="87.97"/>
        <n v="100.44"/>
        <n v="83.14"/>
        <n v="122.27"/>
        <n v="106.14"/>
        <n v="85.28"/>
        <n v="92.06"/>
        <n v="104.57"/>
        <n v="83.97"/>
        <n v="126.28"/>
        <n v="89.59"/>
        <n v="100.08"/>
        <n v="80.459999999999994"/>
        <n v="86.36"/>
        <n v="107.12"/>
        <n v="114.19"/>
        <n v="118.56"/>
        <n v="110.96"/>
        <n v="80.19"/>
        <n v="122.28"/>
        <n v="117.65"/>
        <n v="92.51"/>
        <n v="102.96"/>
        <n v="104.54"/>
        <n v="132.57"/>
        <n v="125.17"/>
        <n v="102.91"/>
        <n v="114.04"/>
        <n v="117.27"/>
        <n v="94.73"/>
        <n v="96.05"/>
        <n v="91.19"/>
        <n v="118.31"/>
        <n v="115.44"/>
        <n v="103.26"/>
        <n v="92.02"/>
        <n v="80.92"/>
        <n v="110.25"/>
        <n v="83.83"/>
        <n v="88.98"/>
        <n v="112.1"/>
        <n v="131.32"/>
        <n v="111.13"/>
        <n v="105.38"/>
        <n v="96.37"/>
        <n v="92.84"/>
        <n v="108.77"/>
        <n v="134.29"/>
        <n v="104.85"/>
        <n v="95.96"/>
        <n v="101.38"/>
        <n v="139.75"/>
        <n v="103.73"/>
        <n v="112.5"/>
        <n v="129.51"/>
        <n v="119.85"/>
        <n v="93.32"/>
        <n v="92.42"/>
        <n v="104.76"/>
        <n v="95.52"/>
        <n v="127.17"/>
        <n v="87.98"/>
        <n v="129.63999999999999"/>
        <n v="112.94"/>
        <n v="102.76"/>
        <n v="91.78"/>
        <n v="80.989999999999995"/>
        <n v="107.66"/>
        <n v="109.02"/>
        <n v="81.3"/>
        <n v="128.86000000000001"/>
        <n v="97.91"/>
        <n v="133.61000000000001"/>
        <n v="80.95"/>
        <n v="81.06"/>
        <n v="115.34"/>
        <n v="122.34"/>
        <n v="128.66999999999999"/>
        <n v="107.58"/>
        <n v="115.66"/>
        <n v="95.33"/>
        <n v="104.87"/>
        <n v="117.01"/>
        <n v="109.56"/>
        <n v="122.02"/>
        <n v="135.97999999999999"/>
        <n v="135.66"/>
        <n v="136.11000000000001"/>
        <n v="98.09"/>
        <n v="130.03"/>
        <n v="128.31"/>
        <n v="115.95"/>
        <n v="88.92"/>
        <n v="108.59"/>
        <n v="123.86"/>
        <n v="85.87"/>
        <n v="85.05"/>
        <n v="103.45"/>
        <n v="103.03"/>
        <n v="98.96"/>
        <n v="80.89"/>
        <n v="101.65"/>
        <n v="136.32"/>
        <n v="130.88999999999999"/>
        <n v="129.54"/>
        <n v="98.82"/>
        <n v="82.11"/>
        <n v="136.37"/>
        <n v="135.93"/>
        <n v="116.13"/>
        <n v="113.47"/>
        <n v="99.68"/>
        <n v="126.43"/>
        <n v="111.59"/>
        <n v="92.61"/>
        <n v="96.22"/>
        <n v="82.32"/>
        <n v="103.13"/>
        <n v="113.1"/>
        <n v="124.27"/>
        <n v="125.71"/>
        <n v="115.91"/>
        <n v="139.76"/>
        <n v="94.76"/>
        <n v="104.5"/>
        <n v="130.07"/>
        <n v="92.91"/>
        <n v="127.55"/>
        <n v="112.12"/>
        <n v="112.38"/>
        <n v="117.43"/>
        <n v="139.32"/>
        <n v="129.53"/>
        <n v="113.05"/>
        <n v="91.9"/>
        <n v="123.59"/>
        <n v="104.07"/>
        <n v="104.72"/>
        <n v="135.08000000000001"/>
        <n v="126.86"/>
        <n v="107.46"/>
        <n v="116.98"/>
        <n v="106.33"/>
        <n v="109.25"/>
        <n v="109.2"/>
        <n v="110.59"/>
        <n v="101.02"/>
        <n v="127.5"/>
        <n v="113.73"/>
        <n v="132.1"/>
        <n v="138.1"/>
        <n v="113.41"/>
        <n v="118.4"/>
        <n v="120.67"/>
        <n v="132.09"/>
        <n v="131.57"/>
        <n v="86.15"/>
        <n v="112.78"/>
        <n v="100.01"/>
        <n v="132.52000000000001"/>
        <n v="122.16"/>
        <n v="129.96"/>
        <n v="82.58"/>
        <n v="128.91999999999999"/>
        <n v="123.72"/>
        <n v="116.79"/>
        <n v="86.6"/>
        <n v="126.53"/>
        <n v="139.33000000000001"/>
        <n v="85.56"/>
        <n v="122.17"/>
        <n v="94.49"/>
        <n v="85.58"/>
        <n v="131.04"/>
        <n v="93.1"/>
        <n v="94.12"/>
        <n v="132.47"/>
        <n v="138.66999999999999"/>
        <n v="123"/>
        <n v="107.24"/>
        <n v="84.57"/>
        <n v="120.74"/>
        <n v="128.85"/>
        <n v="84.85"/>
        <n v="106.2"/>
        <n v="84.31"/>
        <n v="89.08"/>
        <n v="93.93"/>
        <n v="120.14"/>
        <n v="107.75"/>
        <n v="124.1"/>
        <n v="128.79"/>
        <n v="121.72"/>
        <n v="93.57"/>
        <n v="107.05"/>
        <n v="130.58000000000001"/>
        <n v="82.6"/>
        <n v="117.3"/>
        <n v="85.36"/>
        <n v="127.91"/>
        <n v="82.36"/>
        <n v="122.03"/>
        <n v="91.16"/>
        <n v="88.08"/>
        <n v="116.34"/>
        <n v="119.4"/>
        <n v="102.38"/>
        <n v="87.52"/>
        <n v="101.03"/>
        <n v="113.28"/>
        <n v="95.48"/>
        <n v="91.96"/>
        <n v="102.95"/>
        <n v="107.09"/>
        <n v="134.05000000000001"/>
        <n v="131.34"/>
        <n v="87.13"/>
        <n v="112.37"/>
        <n v="101.54"/>
        <n v="133.86000000000001"/>
        <n v="94.75"/>
        <n v="85.17"/>
        <n v="99.84"/>
        <n v="130.85"/>
        <n v="88.97"/>
        <n v="82.47"/>
        <n v="139.07"/>
        <n v="131.87"/>
        <n v="121.33"/>
        <n v="120.35"/>
        <n v="133.01"/>
        <n v="137.62"/>
        <n v="102.21"/>
        <n v="113.92"/>
        <n v="113"/>
        <n v="114.14"/>
        <n v="130.18"/>
        <n v="124.38"/>
        <n v="96.08"/>
        <n v="114.02"/>
        <n v="94.23"/>
        <n v="135.22"/>
        <n v="99.95"/>
        <n v="113.88"/>
        <n v="111.26"/>
        <n v="135.19"/>
        <n v="139.4"/>
        <n v="97.44"/>
        <n v="86.27"/>
        <n v="124.89"/>
        <n v="119.41"/>
        <n v="91.74"/>
        <n v="97.73"/>
        <n v="135.65"/>
        <n v="130.36000000000001"/>
        <n v="84.91"/>
        <n v="133.16999999999999"/>
        <n v="109.23"/>
        <n v="89.96"/>
        <n v="87.89"/>
        <n v="84.68"/>
        <n v="112.09"/>
        <n v="138.77000000000001"/>
        <n v="95.7"/>
        <n v="107.03"/>
        <n v="88.68"/>
        <n v="104.58"/>
        <n v="88.47"/>
        <n v="109.24"/>
        <n v="102.65"/>
        <n v="137.1"/>
        <n v="100.8"/>
        <n v="114.21"/>
        <n v="111.11"/>
        <n v="83.07"/>
        <n v="127"/>
        <n v="99.24"/>
        <n v="103.32"/>
        <n v="136.59"/>
        <n v="105.31"/>
        <n v="81.849999999999994"/>
        <n v="81.12"/>
        <n v="117.4"/>
        <n v="101.77"/>
        <n v="118.57"/>
        <n v="84.81"/>
        <n v="135.61000000000001"/>
        <n v="112.45"/>
        <n v="111.42"/>
        <n v="132.76"/>
        <n v="131.9"/>
        <n v="124.61"/>
        <n v="104.55"/>
        <n v="102.11"/>
        <n v="139.15"/>
        <n v="127.69"/>
        <n v="101.68"/>
        <n v="132.91"/>
        <n v="106.68"/>
        <n v="88.79"/>
        <n v="80.08"/>
        <n v="123.27"/>
        <n v="126.99"/>
        <n v="116.66"/>
        <n v="115.55"/>
        <n v="80.69"/>
        <n v="105.05"/>
        <n v="81.790000000000006"/>
        <n v="81.23"/>
        <n v="125.69"/>
        <n v="87.6"/>
        <n v="87.25"/>
        <n v="120.39"/>
        <n v="90.49"/>
        <n v="95.31"/>
        <n v="109.83"/>
        <n v="123.95"/>
        <n v="113.44"/>
        <n v="86.66"/>
        <n v="105.9"/>
        <n v="118.2"/>
        <n v="81.680000000000007"/>
        <n v="132.68"/>
        <n v="117.96"/>
        <n v="135.53"/>
        <n v="83.77"/>
        <n v="81.03"/>
        <n v="87.28"/>
        <n v="109.36"/>
        <n v="135.03"/>
        <n v="108.25"/>
        <n v="114.45"/>
        <n v="99.38"/>
        <n v="126.26"/>
        <n v="129.37"/>
        <n v="84.24"/>
        <n v="139.26"/>
        <n v="98.49"/>
        <n v="128.55000000000001"/>
        <n v="115.47"/>
        <n v="117.52"/>
        <n v="134.35"/>
        <n v="132.08000000000001"/>
        <n v="126.71"/>
        <n v="98.05"/>
        <n v="93.36"/>
        <n v="122.61"/>
        <n v="83.67"/>
        <n v="125.8"/>
        <n v="105.74"/>
        <n v="119.72"/>
        <n v="114.6"/>
        <n v="121.69"/>
        <n v="130.91"/>
        <n v="105.92"/>
        <n v="88.31"/>
        <n v="116.7"/>
        <n v="102.36"/>
        <n v="87.85"/>
        <n v="124.45"/>
        <n v="131.69"/>
        <n v="93.29"/>
        <n v="128.11000000000001"/>
        <n v="94.86"/>
        <n v="86.16"/>
        <n v="96.45"/>
        <n v="92.41"/>
        <n v="125.4"/>
        <n v="122.57"/>
        <n v="107.56"/>
        <n v="95.85"/>
        <n v="89.57"/>
        <n v="103.54"/>
        <n v="91.77"/>
        <n v="98.38"/>
        <n v="96.65"/>
        <n v="114.38"/>
        <n v="110.55"/>
        <n v="115.86"/>
        <n v="103.19"/>
        <n v="101.81"/>
        <n v="83.5"/>
        <n v="108.03"/>
        <n v="135"/>
        <n v="110.16"/>
        <n v="100.27"/>
        <n v="116.77"/>
        <n v="117.83"/>
        <n v="84.05"/>
        <n v="119.12"/>
        <n v="92.67"/>
        <n v="134.57"/>
        <n v="121.36"/>
        <n v="115.8"/>
        <n v="125.19"/>
        <n v="119.61"/>
        <n v="91.58"/>
        <n v="124.06"/>
        <n v="122.89"/>
        <n v="110.39"/>
        <n v="123.05"/>
        <n v="102.82"/>
        <n v="85.35"/>
        <n v="137.81"/>
        <n v="126.06"/>
        <n v="133.94"/>
        <n v="103.61"/>
        <n v="104.43"/>
        <n v="101.7"/>
        <n v="131.66"/>
        <n v="107.72"/>
        <n v="124.25"/>
        <n v="137.47999999999999"/>
        <n v="132.71"/>
        <n v="106.91"/>
        <n v="133.19999999999999"/>
        <n v="100.62"/>
        <n v="106.17"/>
        <n v="136.21"/>
        <n v="133.69999999999999"/>
        <n v="126.91"/>
        <n v="118.75"/>
        <n v="117.17"/>
        <n v="118.33"/>
        <n v="104.7"/>
        <n v="90.03"/>
        <n v="133.19"/>
        <n v="106.29"/>
        <n v="121.46"/>
        <n v="117.64"/>
        <n v="90.13"/>
        <n v="134.91"/>
        <n v="123.28"/>
        <n v="124.72"/>
        <n v="81.209999999999994"/>
        <n v="86.73"/>
        <n v="100.22"/>
        <n v="139.63999999999999"/>
        <n v="137.57"/>
        <n v="120.76"/>
        <n v="104.33"/>
        <n v="105.03"/>
        <n v="136.57"/>
        <n v="89.32"/>
        <n v="132.28"/>
        <n v="89.04"/>
        <n v="88.83"/>
        <n v="82.21"/>
        <n v="81.739999999999995"/>
        <n v="119.76"/>
        <n v="125.09"/>
        <n v="124.01"/>
        <n v="118.26"/>
        <n v="82.17"/>
        <n v="117.05"/>
        <n v="103.31"/>
        <n v="106.8"/>
        <n v="119.08"/>
        <n v="129.83000000000001"/>
        <n v="130.28"/>
        <n v="109.26"/>
        <n v="82.25"/>
        <n v="83.59"/>
        <n v="114.53"/>
        <n v="84.76"/>
        <n v="110.04"/>
        <n v="130.13999999999999"/>
        <n v="91"/>
        <n v="132.38999999999999"/>
        <n v="125.04"/>
        <n v="103.77"/>
        <n v="134.9"/>
        <n v="124.28"/>
        <n v="109.75"/>
        <n v="89.94"/>
        <n v="131.81"/>
        <n v="139.86000000000001"/>
        <n v="106.84"/>
        <n v="104.8"/>
        <n v="135.47999999999999"/>
        <n v="135.26"/>
        <n v="84.25"/>
        <n v="99.4"/>
        <n v="119.62"/>
        <n v="111.35"/>
        <n v="95.73"/>
        <n v="106.03"/>
        <n v="123.5"/>
        <n v="138.11000000000001"/>
        <n v="83.64"/>
        <n v="115.72"/>
        <n v="109.31"/>
        <n v="110.46"/>
        <n v="132.19999999999999"/>
        <n v="120.98"/>
        <n v="83.35"/>
        <n v="84.49"/>
        <n v="108.58"/>
        <n v="130.56"/>
        <n v="120.34"/>
        <n v="126.02"/>
        <n v="115.68"/>
        <n v="134.6"/>
        <n v="85.85"/>
        <n v="91.04"/>
        <n v="130.63999999999999"/>
        <n v="99.3"/>
        <n v="124.05"/>
        <n v="115.65"/>
        <n v="139.80000000000001"/>
        <n v="125.12"/>
        <n v="136.82"/>
        <n v="105.23"/>
        <n v="104.1"/>
        <n v="109.67"/>
        <n v="118.91"/>
        <n v="101.16"/>
        <n v="102.16"/>
        <n v="104.4"/>
        <n v="116.87"/>
        <n v="134.19999999999999"/>
        <n v="96.43"/>
        <n v="110.7"/>
        <n v="114.91"/>
        <n v="91.02"/>
        <n v="101.29"/>
        <n v="116.85"/>
        <n v="132.29"/>
        <n v="103.36"/>
        <n v="107.55"/>
        <n v="101.97"/>
        <n v="121.05"/>
        <n v="96.52"/>
        <n v="96.09"/>
        <n v="102.59"/>
        <n v="96.83"/>
        <n v="94.09"/>
        <n v="90.22"/>
        <n v="80.900000000000006"/>
        <n v="132.63999999999999"/>
        <n v="111.41"/>
        <n v="96.04"/>
        <n v="134.55000000000001"/>
        <n v="104.56"/>
        <n v="93.16"/>
        <n v="105.22"/>
        <n v="81.7"/>
        <n v="87.35"/>
        <n v="115.18"/>
        <n v="90.29"/>
        <n v="132.16999999999999"/>
        <n v="108.9"/>
        <n v="88.15"/>
        <n v="108.76"/>
        <n v="88.48"/>
        <n v="119.46"/>
        <n v="119.44"/>
        <n v="134.30000000000001"/>
        <n v="88.05"/>
        <n v="137.13999999999999"/>
        <n v="90.69"/>
        <n v="107.48"/>
        <n v="126.05"/>
        <n v="101.45"/>
        <n v="135.27000000000001"/>
        <n v="128.34"/>
        <n v="128.04"/>
        <n v="125.23"/>
        <n v="128.44999999999999"/>
        <n v="109.65"/>
        <n v="107.8"/>
        <n v="116.96"/>
        <n v="97.04"/>
        <n v="104.25"/>
        <n v="102.86"/>
        <n v="84.94"/>
        <n v="100.59"/>
        <n v="135.07"/>
        <n v="86.28"/>
        <n v="138.18"/>
        <n v="101.06"/>
        <n v="116.89"/>
        <n v="80.05"/>
        <n v="82.73"/>
        <n v="109.46"/>
        <n v="96.1"/>
        <n v="103.7"/>
        <n v="107.88"/>
        <n v="88.21"/>
        <n v="95.91"/>
        <n v="83.82"/>
        <n v="133.53"/>
        <n v="123.55"/>
        <n v="138.84"/>
        <n v="138.31"/>
        <n v="112.77"/>
        <n v="106.45"/>
        <n v="124.58"/>
        <n v="109.12"/>
        <n v="99.78"/>
        <n v="114.37"/>
        <n v="104.2"/>
        <n v="107.84"/>
        <n v="94.06"/>
        <n v="100.37"/>
        <n v="118.59"/>
        <n v="115.29"/>
        <n v="116.35"/>
        <n v="120.6"/>
        <n v="137.37"/>
        <n v="105.79"/>
        <n v="136.16"/>
        <n v="110.71"/>
        <n v="117.28"/>
        <n v="107.5"/>
        <n v="126.89"/>
        <n v="81.28"/>
        <n v="121.94"/>
        <n v="101.26"/>
        <n v="109.21"/>
        <n v="81.97"/>
        <n v="118.36"/>
        <n v="117.13"/>
        <n v="133.35"/>
        <n v="131.35"/>
        <n v="115.05"/>
        <n v="130.91999999999999"/>
        <n v="80.36"/>
        <n v="109.92"/>
        <n v="120.53"/>
        <n v="131.85"/>
        <n v="138.72999999999999"/>
        <n v="134.63999999999999"/>
        <n v="135.82"/>
        <n v="122.64"/>
        <n v="128.57"/>
        <n v="119.45"/>
        <n v="86.71"/>
        <n v="117.69"/>
        <n v="86.68"/>
        <n v="81.599999999999994"/>
        <n v="96.85"/>
        <n v="126.33"/>
        <n v="89.66"/>
        <n v="91.86"/>
        <n v="120.18"/>
        <n v="126.44"/>
        <n v="88.64"/>
        <n v="125.02"/>
        <n v="112.13"/>
        <n v="134.12"/>
        <n v="117.41"/>
        <n v="124.64"/>
        <n v="109.17"/>
        <n v="122.72"/>
        <n v="135.13"/>
        <n v="89.74"/>
        <n v="102.63"/>
        <n v="82.41"/>
        <n v="88.41"/>
        <n v="129.88999999999999"/>
        <n v="82.07"/>
        <n v="101.43"/>
        <n v="114.1"/>
        <n v="114.36"/>
        <n v="120.01"/>
        <n v="129.49"/>
        <n v="137"/>
        <n v="85.21"/>
        <n v="113.24"/>
        <n v="137.36000000000001"/>
        <n v="99.2"/>
        <n v="93.76"/>
        <n v="99.61"/>
        <n v="90.01"/>
        <n v="130.38999999999999"/>
        <n v="90.85"/>
        <n v="123.12"/>
        <n v="118.63"/>
        <n v="82.35"/>
        <n v="94.42"/>
        <n v="105.35"/>
        <n v="91.84"/>
        <n v="98.17"/>
        <n v="82.29"/>
        <n v="137.52000000000001"/>
        <n v="92.69"/>
        <n v="90.05"/>
        <n v="121.95"/>
        <n v="135.81"/>
        <n v="120.84"/>
        <n v="121.31"/>
        <n v="90.45"/>
        <n v="103.55"/>
        <n v="83.8"/>
        <n v="128.16"/>
        <n v="99.26"/>
        <n v="123.33"/>
        <n v="126.49"/>
        <n v="132.69999999999999"/>
        <n v="137.44999999999999"/>
        <n v="109.78"/>
        <n v="103.75"/>
        <n v="108.16"/>
        <n v="104.46"/>
        <n v="87.09"/>
        <n v="122.44"/>
        <n v="122.35"/>
        <n v="139.21"/>
        <n v="95.6"/>
        <n v="84.09"/>
        <n v="130.93"/>
        <n v="103.04"/>
        <n v="80.739999999999995"/>
        <n v="118.45"/>
        <n v="85.08"/>
        <n v="111.64"/>
        <n v="98.76"/>
        <n v="92.34"/>
        <n v="113.97"/>
        <n v="136.69999999999999"/>
        <n v="106.63"/>
        <n v="130.06"/>
        <n v="107.29"/>
        <n v="95.35"/>
        <n v="91.81"/>
        <n v="126.34"/>
        <n v="85.61"/>
        <n v="131.78"/>
        <n v="103.76"/>
        <n v="83.27"/>
        <n v="107.19"/>
        <n v="126.4"/>
        <n v="117.94"/>
        <n v="131.51"/>
        <n v="90.9"/>
        <n v="106.39"/>
        <n v="117.89"/>
        <n v="84.64"/>
        <n v="126.9"/>
        <n v="134.69999999999999"/>
        <n v="95.24"/>
        <n v="124.98"/>
        <n v="115.92"/>
        <n v="138.97999999999999"/>
        <n v="92.1"/>
        <n v="135.59"/>
        <n v="93.49"/>
        <n v="109.73"/>
        <n v="101.6"/>
        <n v="93.99"/>
        <n v="115.46"/>
        <n v="85.83"/>
        <n v="101.72"/>
        <n v="132.75"/>
        <n v="132.56"/>
        <n v="97.13"/>
        <n v="111.14"/>
        <n v="136.22999999999999"/>
        <n v="98.83"/>
        <n v="83.62"/>
        <n v="106.96"/>
        <n v="107.57"/>
        <n v="128.09"/>
        <n v="99.41"/>
        <n v="122.5"/>
        <n v="97.32"/>
        <n v="85.4"/>
        <n v="127.87"/>
        <n v="90.83"/>
        <n v="120.71"/>
        <n v="80.91"/>
        <n v="123.65"/>
        <n v="97.05"/>
        <n v="126.72"/>
        <n v="83.02"/>
        <n v="136.77000000000001"/>
        <n v="128.72999999999999"/>
        <n v="95.03"/>
        <n v="114.7"/>
        <n v="105.14"/>
        <n v="91.71"/>
        <n v="138.19"/>
        <n v="85.02"/>
        <n v="126.13"/>
        <n v="127.44"/>
        <n v="86.11"/>
        <n v="86.48"/>
        <n v="128.58000000000001"/>
        <n v="86.38"/>
        <n v="83.46"/>
        <n v="89.47"/>
        <n v="92.26"/>
        <n v="136"/>
        <n v="92.62"/>
        <n v="113.72"/>
        <n v="93.06"/>
        <n v="120.08"/>
        <n v="93.38"/>
        <n v="127.73"/>
        <n v="107.95"/>
        <n v="128.13"/>
        <n v="127.89"/>
        <n v="119.05"/>
        <n v="109.62"/>
        <n v="111.76"/>
        <n v="86.91"/>
        <n v="114.67"/>
        <n v="80.069999999999993"/>
        <n v="113.67"/>
        <n v="107.01"/>
        <n v="132.31"/>
        <n v="126.54"/>
        <n v="98.33"/>
        <n v="97.78"/>
        <n v="120.59"/>
        <n v="104.63"/>
        <n v="123.45"/>
        <n v="131.37"/>
        <n v="130.69"/>
        <n v="133.44"/>
        <n v="110.94"/>
        <n v="95.5"/>
        <n v="126.32"/>
        <n v="102.35"/>
        <n v="129.84"/>
        <n v="102.99"/>
        <n v="88.86"/>
        <n v="113.66"/>
        <n v="128.08000000000001"/>
        <n v="113.17"/>
        <n v="115.22"/>
        <n v="88.5"/>
        <n v="111.4"/>
        <n v="130.9"/>
        <n v="97.53"/>
        <n v="96.24"/>
        <n v="116.46"/>
        <n v="119.75"/>
        <n v="86.76"/>
        <n v="98.22"/>
        <n v="137.19"/>
        <n v="81.88"/>
        <n v="136.84"/>
        <n v="81.569999999999993"/>
        <n v="110.37"/>
        <n v="102.05"/>
        <n v="103.8"/>
        <n v="91.99"/>
        <n v="105.73"/>
        <n v="125.48"/>
        <n v="107.16"/>
        <n v="80.709999999999994"/>
        <n v="138.16999999999999"/>
        <n v="118.86"/>
        <n v="116.22"/>
        <n v="128.9"/>
        <n v="81.8"/>
        <n v="110.06"/>
        <n v="87"/>
        <n v="95.87"/>
        <n v="106.74"/>
        <n v="113.4"/>
        <n v="85.03"/>
        <n v="128.38999999999999"/>
        <n v="108.26"/>
        <n v="119.42"/>
        <n v="118.25"/>
        <n v="108.47"/>
        <n v="95.88"/>
        <n v="115.63"/>
        <n v="102.46"/>
        <n v="122.12"/>
        <n v="88.74"/>
        <n v="103.65"/>
        <n v="93.44"/>
        <n v="98.08"/>
        <n v="135.52000000000001"/>
        <n v="105.63"/>
        <n v="135.25"/>
        <n v="116.37"/>
        <n v="101.57"/>
        <n v="83.08"/>
        <n v="107.52"/>
        <n v="119.33"/>
        <n v="107.54"/>
        <n v="128.54"/>
        <n v="92.52"/>
        <n v="97.7"/>
        <n v="118.73"/>
        <n v="138.94"/>
        <n v="121.9"/>
        <n v="105.95"/>
        <n v="122.04"/>
        <n v="87.44"/>
        <n v="97.52"/>
        <n v="117.85"/>
        <n v="120.94"/>
        <n v="130.30000000000001"/>
        <n v="90.5"/>
        <n v="81.55"/>
        <n v="112.17"/>
        <n v="132.82"/>
        <n v="107.26"/>
        <n v="80.88"/>
        <n v="104.88"/>
        <n v="127.52"/>
        <n v="91.93"/>
        <n v="127.26"/>
        <n v="116.47"/>
        <n v="119.59"/>
        <n v="117.91"/>
        <n v="104.64"/>
        <n v="94.26"/>
        <n v="121.64"/>
        <n v="135.94999999999999"/>
        <n v="131.61000000000001"/>
        <n v="85.43"/>
        <n v="92.78"/>
        <n v="102.75"/>
        <n v="93.71"/>
        <n v="95.62"/>
        <n v="95.68"/>
        <n v="117.22"/>
        <n v="117.39"/>
        <n v="91.57"/>
        <n v="133.88"/>
        <n v="115.6"/>
        <n v="105.37"/>
        <n v="120.81"/>
        <n v="131.77000000000001"/>
        <n v="100.29"/>
        <n v="135.18"/>
        <n v="125.31"/>
        <n v="86.85"/>
        <n v="88.72"/>
        <n v="137.58000000000001"/>
        <n v="113.03"/>
        <n v="135.87"/>
        <n v="84.96"/>
        <n v="110.75"/>
        <n v="118.27"/>
        <n v="123.54"/>
        <n v="88.51"/>
        <n v="111.83"/>
        <n v="98.29"/>
        <n v="95.77"/>
        <n v="88.91"/>
        <n v="87.66"/>
        <n v="111.15"/>
        <n v="121.17"/>
        <n v="84.38"/>
        <n v="121.44"/>
        <n v="132.85"/>
        <n v="110.6"/>
        <n v="102.44"/>
        <n v="113.36"/>
        <n v="94.85"/>
        <n v="80.83"/>
        <n v="125.81"/>
        <n v="90.57"/>
        <n v="92.99"/>
        <n v="129.13999999999999"/>
        <n v="121.24"/>
        <n v="112.6"/>
        <n v="88.13"/>
        <n v="104.94"/>
        <n v="86.41"/>
        <n v="95.1"/>
        <n v="136.51"/>
        <n v="80.290000000000006"/>
        <n v="82.01"/>
        <n v="81.86"/>
        <n v="89.9"/>
        <n v="81.84"/>
        <n v="104.84"/>
        <n v="100.46"/>
        <n v="88.06"/>
        <n v="133.21"/>
        <n v="95.02"/>
        <n v="117.32"/>
        <n v="85.04"/>
        <n v="139.88"/>
        <n v="114.18"/>
        <n v="82.49"/>
        <n v="118.47"/>
        <n v="136.13999999999999"/>
        <n v="124.21"/>
        <n v="124.55"/>
        <n v="113.01"/>
        <n v="114.82"/>
        <n v="97.62"/>
        <n v="84.58"/>
        <n v="130.04"/>
        <n v="112.65"/>
        <n v="84.75"/>
        <n v="111.03"/>
        <n v="88.62"/>
        <n v="95.59"/>
        <n v="125.32"/>
        <n v="112.7"/>
        <n v="80.84"/>
        <n v="137.47"/>
        <n v="84.69"/>
        <n v="108.15"/>
        <n v="114.52"/>
        <n v="109.16"/>
        <n v="87.9"/>
        <n v="133.83000000000001"/>
        <n v="138.43"/>
        <n v="98.15"/>
        <n v="124.6"/>
        <n v="87.51"/>
        <n v="101.56"/>
        <n v="121.63"/>
        <n v="95.45"/>
        <n v="82.84"/>
        <n v="128.94999999999999"/>
        <n v="111.06"/>
        <n v="106.6"/>
        <n v="95.54"/>
        <n v="132.46"/>
        <n v="119.55"/>
        <n v="114.54"/>
        <n v="81.69"/>
        <n v="93.75"/>
        <n v="108.43"/>
        <n v="110.64"/>
        <n v="102.01"/>
        <n v="89.35"/>
        <n v="138.08000000000001"/>
        <n v="139.63"/>
        <n v="88.33"/>
        <n v="94.37"/>
        <n v="123.85"/>
        <n v="138.01"/>
        <n v="109.87"/>
        <n v="128.81"/>
        <n v="101.12"/>
        <n v="135.11000000000001"/>
        <n v="134.13999999999999"/>
        <n v="131.30000000000001"/>
        <n v="139.94"/>
        <n v="98.98"/>
        <n v="119.15"/>
        <n v="105.02"/>
        <n v="107.76"/>
        <n v="81.540000000000006"/>
        <n v="112.15"/>
        <n v="124.68"/>
        <n v="137.91"/>
        <n v="137.04"/>
        <n v="88.29"/>
        <n v="106.32"/>
        <n v="96.12"/>
        <n v="122.11"/>
        <n v="84.46"/>
        <n v="133.12"/>
        <n v="124.24"/>
        <n v="83.25"/>
        <n v="127.25"/>
        <n v="129.72"/>
        <n v="104.16"/>
        <n v="105.13"/>
        <n v="128.25"/>
        <n v="99.83"/>
        <n v="126.5"/>
        <n v="99.82"/>
        <n v="118.71"/>
        <n v="86.77"/>
        <n v="125.91"/>
        <n v="138.91999999999999"/>
        <n v="87.56"/>
        <n v="85.1"/>
        <n v="133.09"/>
        <n v="110.41"/>
        <n v="85.16"/>
        <n v="133.36000000000001"/>
        <n v="81.66"/>
        <n v="105.7"/>
        <n v="135.09"/>
        <n v="133.05000000000001"/>
        <n v="123.29"/>
        <n v="86.19"/>
        <n v="81.2"/>
        <n v="135.1"/>
        <n v="84.65"/>
        <n v="135.75"/>
        <n v="111.07"/>
        <n v="104.77"/>
        <n v="91.53"/>
        <n v="80.510000000000005"/>
        <n v="93.85"/>
        <n v="94.69"/>
        <n v="114.94"/>
        <n v="116.55"/>
        <n v="106.28"/>
        <n v="88.3"/>
        <n v="130.57"/>
        <n v="117.16"/>
        <n v="138.38"/>
        <n v="116.18"/>
        <n v="119.66"/>
        <n v="100.83"/>
        <n v="139.91999999999999"/>
        <n v="138.53"/>
        <n v="118.99"/>
        <n v="124.93"/>
        <n v="91.87"/>
        <n v="99.62"/>
        <n v="82.86"/>
        <n v="99.96"/>
        <n v="100.4"/>
        <n v="126.01"/>
        <n v="110.79"/>
        <n v="92.66"/>
        <n v="138.32"/>
        <n v="127.7"/>
        <n v="111.53"/>
        <n v="85.97"/>
        <n v="97.39"/>
        <n v="94.71"/>
        <n v="108.08"/>
        <n v="109.79"/>
        <n v="111.47"/>
        <n v="112.02"/>
        <n v="105.27"/>
        <n v="101.4"/>
        <n v="94.14"/>
        <n v="127.82"/>
        <n v="81.37"/>
        <n v="99.52"/>
        <n v="117.25"/>
        <n v="128.49"/>
        <n v="132.27000000000001"/>
        <n v="139.84"/>
        <n v="121.07"/>
        <n v="100.52"/>
        <n v="119.38"/>
        <n v="88.43"/>
        <n v="109.53"/>
        <n v="120.78"/>
        <n v="88.19"/>
        <n v="108.24"/>
        <n v="82.26"/>
        <n v="135.84"/>
        <n v="85.88"/>
        <n v="87.69"/>
        <n v="96.33"/>
        <n v="99.18"/>
        <n v="116.68"/>
        <n v="129.13"/>
        <n v="112.16"/>
        <n v="96.59"/>
        <n v="85.47"/>
        <n v="127.16"/>
        <n v="109.01"/>
        <n v="125.42"/>
        <n v="97.69"/>
        <n v="94.51"/>
        <n v="131.72999999999999"/>
        <n v="112.89"/>
        <n v="139.16"/>
        <n v="126.95"/>
        <n v="94.31"/>
        <n v="121.41"/>
        <n v="111.2"/>
        <n v="109.84"/>
        <n v="102.56"/>
        <n v="108.05"/>
        <n v="134.68"/>
        <n v="139.28"/>
        <n v="102.04"/>
        <n v="131.16"/>
        <n v="122.38"/>
        <n v="137.22"/>
        <n v="118.08"/>
        <n v="136.97"/>
        <n v="90.73"/>
        <n v="82.54"/>
        <n v="126.79"/>
        <n v="129.47999999999999"/>
        <n v="123.93"/>
        <n v="101.52"/>
        <n v="82.62"/>
        <n v="93.02"/>
        <n v="90.78"/>
        <n v="124.97"/>
        <n v="92.58"/>
        <n v="111.98"/>
        <n v="126.88"/>
        <n v="112.14"/>
        <n v="83.78"/>
        <n v="120.77"/>
        <n v="94.28"/>
        <n v="90.11"/>
        <n v="97.21"/>
        <n v="121.93"/>
        <n v="93.3"/>
        <n v="105.01"/>
        <n v="124.87"/>
        <n v="103.24"/>
        <n v="91.91"/>
        <n v="81.58"/>
        <n v="129.33000000000001"/>
        <n v="81.319999999999993"/>
        <n v="109.97"/>
        <n v="125.67"/>
        <n v="103.97"/>
        <n v="129.74"/>
        <n v="89.51"/>
        <n v="127.1"/>
        <n v="115.07"/>
        <n v="107.49"/>
        <n v="136.16999999999999"/>
        <n v="133.33000000000001"/>
        <n v="99.7"/>
        <n v="108.7"/>
        <n v="83"/>
        <n v="104.47"/>
        <n v="123.87"/>
        <n v="128.74"/>
        <n v="118.34"/>
        <n v="128.21"/>
        <n v="131.38999999999999"/>
        <n v="125.53"/>
        <n v="120.73"/>
        <n v="82.89"/>
        <n v="108.79"/>
        <n v="100.61"/>
        <n v="139.71"/>
        <n v="109.13"/>
        <n v="84.55"/>
        <n v="136.07"/>
        <n v="126.38"/>
        <n v="116.24"/>
        <n v="89.29"/>
        <n v="129.61000000000001"/>
        <n v="109.86"/>
        <n v="126.3"/>
        <n v="117.23"/>
        <n v="82.94"/>
        <n v="83.63"/>
        <n v="109.93"/>
        <n v="135.47"/>
        <n v="135.13999999999999"/>
        <n v="116.04"/>
        <n v="91.95"/>
        <n v="107.14"/>
        <n v="109.45"/>
        <n v="84.18"/>
        <n v="133.28"/>
        <n v="124.84"/>
        <n v="100.07"/>
        <n v="106.47"/>
        <n v="128.51"/>
        <n v="98.72"/>
        <n v="85.48"/>
        <n v="82.06"/>
        <n v="120.79"/>
        <n v="109.1"/>
        <n v="95.99"/>
        <n v="107.1"/>
        <n v="107.32"/>
        <n v="128.56"/>
        <n v="91.24"/>
        <n v="134.38999999999999"/>
        <n v="98.34"/>
        <n v="84.44"/>
        <n v="139.85"/>
        <n v="105.18"/>
        <n v="115.97"/>
        <n v="120.8"/>
        <n v="95.76"/>
        <n v="113.77"/>
        <n v="133.22"/>
        <n v="97.55"/>
        <n v="89.07"/>
        <n v="117.21"/>
        <n v="92.5"/>
        <n v="95.34"/>
        <n v="135.46"/>
        <n v="120.65"/>
        <n v="117.02"/>
        <n v="116.14"/>
        <n v="99.57"/>
        <n v="122.06"/>
        <n v="111.87"/>
        <n v="106.92"/>
        <n v="131.80000000000001"/>
        <n v="125.11"/>
        <n v="90.46"/>
        <n v="87.34"/>
        <n v="83.34"/>
        <n v="118.76"/>
        <n v="110.86"/>
        <n v="117.38"/>
        <n v="94.99"/>
        <n v="82.2"/>
        <n v="106.22"/>
        <n v="117.54"/>
        <n v="106.69"/>
        <n v="119.16"/>
        <n v="82.85"/>
        <n v="89.86"/>
        <n v="133.82"/>
        <n v="130.78"/>
        <n v="138.27000000000001"/>
        <n v="127.38"/>
        <n v="106.89"/>
        <n v="107.99"/>
        <n v="117.18"/>
        <n v="101.91"/>
        <n v="93.34"/>
        <n v="134.51"/>
        <n v="133.91"/>
        <n v="97.88"/>
        <n v="112.63"/>
        <n v="137.28"/>
        <n v="88.4"/>
        <n v="94.5"/>
        <n v="127.85"/>
        <n v="117.6"/>
        <n v="91.67"/>
        <n v="95.56"/>
        <n v="101.47"/>
        <n v="108.13"/>
        <n v="105.3"/>
        <n v="84.7"/>
        <n v="106.48"/>
        <n v="109.39"/>
        <n v="121.74"/>
        <n v="128.88999999999999"/>
        <n v="116.74"/>
        <n v="99.69"/>
        <n v="114.92"/>
        <n v="80.67"/>
        <n v="97.84"/>
        <n v="99.66"/>
        <n v="90.7"/>
        <n v="102.23"/>
        <n v="125.58"/>
        <n v="88.76"/>
        <n v="139.11000000000001"/>
        <n v="86.72"/>
        <n v="116.92"/>
        <n v="134.69"/>
        <n v="115.71"/>
        <n v="126.21"/>
        <n v="121.08"/>
        <n v="101.74"/>
        <n v="139.88999999999999"/>
        <n v="124.49"/>
        <n v="108.78"/>
        <n v="80.13"/>
        <n v="102.9"/>
        <n v="94.02"/>
        <n v="99.8"/>
        <n v="106.82"/>
        <n v="104.12"/>
        <n v="84.72"/>
        <n v="94"/>
        <n v="122.45"/>
        <n v="129.03"/>
        <n v="98.44"/>
        <n v="119.95"/>
        <n v="102.12"/>
        <n v="107.89"/>
        <n v="89.67"/>
        <n v="87.7"/>
        <n v="93.24"/>
        <n v="87.07"/>
        <n v="118.24"/>
        <n v="103.79"/>
        <n v="103.39"/>
        <n v="117.74"/>
        <n v="86.23"/>
        <n v="125.18"/>
        <n v="83.01"/>
        <n v="103.69"/>
        <n v="103.53"/>
        <n v="99.19"/>
        <n v="134.59"/>
        <n v="125.03"/>
        <n v="94.18"/>
        <n v="95.72"/>
        <n v="129.94"/>
        <n v="130.29"/>
        <n v="138.91"/>
        <n v="103.37"/>
        <n v="111.12"/>
        <n v="97.97"/>
        <n v="119.81"/>
        <n v="137.38999999999999"/>
        <n v="83.43"/>
        <n v="87.96"/>
        <n v="87.65"/>
        <n v="125.65"/>
        <n v="135.76"/>
        <n v="114.72"/>
        <n v="114.31"/>
        <n v="86.45"/>
        <n v="134.49"/>
        <n v="101.19"/>
        <n v="116.02"/>
        <n v="115.28"/>
        <n v="80.02"/>
        <n v="85.52"/>
        <n v="104.38"/>
        <n v="86.22"/>
        <n v="138.26"/>
        <n v="119.19"/>
        <n v="102.84"/>
        <n v="91.39"/>
        <n v="128.4"/>
        <n v="84.79"/>
        <n v="100.66"/>
        <n v="92.73"/>
        <n v="101.61"/>
        <n v="81.92"/>
        <n v="137.9"/>
        <n v="126.82"/>
        <n v="133.31"/>
        <n v="117.09"/>
        <n v="96.25"/>
        <n v="98.23"/>
        <n v="127.97"/>
        <n v="80.28"/>
        <n v="113.11"/>
        <n v="127.13"/>
        <n v="113.96"/>
        <n v="114.4"/>
        <n v="83.66"/>
        <n v="132.26"/>
        <n v="115.78"/>
        <n v="124.09"/>
        <n v="132.25"/>
        <n v="100.42"/>
        <n v="128.32"/>
        <n v="118.88"/>
        <n v="136.94999999999999"/>
        <n v="134.93"/>
        <n v="125.96"/>
        <n v="80.97"/>
        <n v="130.43"/>
        <n v="122.58"/>
        <n v="132.6"/>
        <n v="120.21"/>
        <n v="114.78"/>
        <n v="84.99"/>
        <n v="138.87"/>
        <n v="127.41"/>
        <n v="132.94999999999999"/>
        <n v="87.45"/>
        <n v="117.51"/>
        <n v="94.81"/>
        <n v="85.42"/>
        <n v="124.78"/>
        <n v="112"/>
        <n v="107.67"/>
        <n v="85.45"/>
        <n v="83.91"/>
        <n v="92.92"/>
        <n v="102.98"/>
        <n v="131.29"/>
        <n v="117.67"/>
        <n v="121.86"/>
        <n v="129.46"/>
        <n v="116.33"/>
        <n v="132.91999999999999"/>
        <n v="114.71"/>
        <n v="120.63"/>
        <n v="105.72"/>
        <n v="137.16999999999999"/>
        <n v="130.13"/>
        <n v="104.09"/>
        <n v="92.05"/>
        <n v="81.99"/>
        <n v="94.38"/>
        <n v="93.23"/>
        <n v="120.28"/>
        <n v="94.72"/>
        <n v="96.07"/>
        <n v="93.03"/>
        <n v="121.8"/>
        <n v="93.18"/>
        <n v="82.9"/>
        <n v="97.06"/>
        <n v="111.29"/>
        <n v="97.25"/>
        <n v="115.96"/>
        <n v="114.56"/>
        <n v="129.78"/>
        <n v="90.59"/>
        <n v="85.18"/>
        <n v="121.58"/>
        <n v="96.47"/>
        <n v="112.98"/>
        <n v="93.87"/>
        <n v="89.11"/>
        <n v="127.03"/>
        <n v="106.75"/>
        <n v="89.92"/>
        <n v="123.09"/>
        <n v="89.06"/>
        <n v="96.88"/>
        <n v="133.37"/>
        <n v="98.55"/>
        <n v="88.24"/>
        <n v="129.11000000000001"/>
        <n v="96.73"/>
        <n v="94.89"/>
        <n v="109.68"/>
        <n v="97.57"/>
        <n v="93.35"/>
        <n v="123.98"/>
        <n v="129.05000000000001"/>
        <n v="128.19"/>
        <n v="96.36"/>
        <n v="130.63"/>
        <n v="101.11"/>
        <n v="109.27"/>
        <n v="91.46"/>
        <n v="84.06"/>
        <n v="86.13"/>
        <m/>
      </sharedItems>
    </cacheField>
    <cacheField name="Gold_Price_USD" numFmtId="0">
      <sharedItems containsString="0" containsBlank="1" containsNumber="1" minValue="1801.09" maxValue="2499.7399999999998" count="1978">
        <n v="1846.15"/>
        <n v="2203.83"/>
        <n v="1907.2"/>
        <n v="2457.13"/>
        <n v="2451.38"/>
        <n v="2187.46"/>
        <n v="1963.56"/>
        <n v="2307.5500000000002"/>
        <n v="2046.99"/>
        <n v="2095.15"/>
        <n v="2017.82"/>
        <n v="2465.37"/>
        <n v="2188.3000000000002"/>
        <n v="2493.5500000000002"/>
        <n v="2101.39"/>
        <n v="1843.71"/>
        <n v="1828.98"/>
        <n v="1819.78"/>
        <n v="2161.6799999999998"/>
        <n v="2012.68"/>
        <n v="2024.38"/>
        <n v="1859.72"/>
        <n v="2177.16"/>
        <n v="2493.04"/>
        <n v="2044.68"/>
        <n v="1915.2"/>
        <n v="1884.96"/>
        <n v="2067.33"/>
        <n v="2017.46"/>
        <n v="1981.95"/>
        <n v="2063.7600000000002"/>
        <n v="2453.86"/>
        <n v="2180.12"/>
        <n v="2116.4299999999998"/>
        <n v="2419.83"/>
        <n v="2387.25"/>
        <n v="1809.26"/>
        <n v="2204.83"/>
        <n v="2382.38"/>
        <n v="2168.41"/>
        <n v="2313.5500000000002"/>
        <n v="2279.89"/>
        <n v="2477.04"/>
        <n v="1858.94"/>
        <n v="2482.5300000000002"/>
        <n v="1939.04"/>
        <n v="2422.44"/>
        <n v="2079.34"/>
        <n v="2207.56"/>
        <n v="1859.4"/>
        <n v="2166.23"/>
        <n v="2218.67"/>
        <n v="2413.17"/>
        <n v="2069.3000000000002"/>
        <n v="2203.0500000000002"/>
        <n v="2083.56"/>
        <n v="2140.85"/>
        <n v="2211.11"/>
        <n v="2312.39"/>
        <n v="1835.29"/>
        <n v="2087.0500000000002"/>
        <n v="2001.16"/>
        <n v="2065.86"/>
        <n v="1807.11"/>
        <n v="1971.71"/>
        <n v="2172.2399999999998"/>
        <n v="2026.13"/>
        <n v="1971.27"/>
        <n v="2071.4699999999998"/>
        <n v="2286.8000000000002"/>
        <n v="2465.09"/>
        <n v="2104.13"/>
        <n v="1836.27"/>
        <n v="2485.64"/>
        <n v="2303.39"/>
        <n v="2414.0500000000002"/>
        <n v="2146.2199999999998"/>
        <n v="1978.28"/>
        <n v="1828.33"/>
        <n v="1879.49"/>
        <n v="1998.34"/>
        <n v="2465"/>
        <n v="1943.7"/>
        <n v="2093.9299999999998"/>
        <n v="2214.7800000000002"/>
        <n v="2352.44"/>
        <n v="2344.89"/>
        <n v="1858.96"/>
        <n v="2419.23"/>
        <n v="2251.6"/>
        <n v="2462.8000000000002"/>
        <n v="2060.1999999999998"/>
        <n v="2269.75"/>
        <n v="2328.88"/>
        <n v="2418.84"/>
        <n v="1969.8"/>
        <n v="2432.77"/>
        <n v="2305.11"/>
        <n v="1824.9"/>
        <n v="2498.04"/>
        <n v="2424.44"/>
        <n v="2362.85"/>
        <n v="2442.63"/>
        <n v="1803.51"/>
        <n v="1988.71"/>
        <n v="1902.17"/>
        <n v="2045.54"/>
        <n v="1903.73"/>
        <n v="2375.2399999999998"/>
        <n v="1957.95"/>
        <n v="2422.62"/>
        <n v="2441.7199999999998"/>
        <n v="2406.35"/>
        <n v="2101.08"/>
        <n v="2391.4"/>
        <n v="2387.36"/>
        <n v="2153.5300000000002"/>
        <n v="2355.2399999999998"/>
        <n v="2214.1799999999998"/>
        <n v="2229.8000000000002"/>
        <n v="2360.8200000000002"/>
        <n v="2084.61"/>
        <n v="1996.82"/>
        <n v="2289.16"/>
        <n v="2244.17"/>
        <n v="2127.2600000000002"/>
        <n v="1916.71"/>
        <n v="2290.5300000000002"/>
        <n v="1969.57"/>
        <n v="2408.17"/>
        <n v="2257.8000000000002"/>
        <n v="2294.5700000000002"/>
        <n v="2093.67"/>
        <n v="1934.57"/>
        <n v="2074.7199999999998"/>
        <n v="2043.11"/>
        <n v="2047.22"/>
        <n v="2032.69"/>
        <n v="2078.17"/>
        <n v="2279.9"/>
        <n v="2237.64"/>
        <n v="2316.4499999999998"/>
        <n v="2199.25"/>
        <n v="2268.06"/>
        <n v="1807.36"/>
        <n v="2017.9"/>
        <n v="2404.86"/>
        <n v="2001.1"/>
        <n v="2367.25"/>
        <n v="2203.2399999999998"/>
        <n v="2067.23"/>
        <n v="2371.83"/>
        <n v="1957.37"/>
        <n v="2335.75"/>
        <n v="2443.54"/>
        <n v="2121.84"/>
        <n v="2006.73"/>
        <n v="2345.04"/>
        <n v="2219.04"/>
        <n v="2116.33"/>
        <n v="1891.58"/>
        <n v="2339.88"/>
        <n v="2342.1799999999998"/>
        <n v="2103.3000000000002"/>
        <n v="2186.7800000000002"/>
        <n v="2414.42"/>
        <n v="1890.57"/>
        <n v="1860.09"/>
        <n v="1890.3"/>
        <n v="1858.55"/>
        <n v="1826.93"/>
        <n v="1877.82"/>
        <n v="2213.2199999999998"/>
        <n v="1936.44"/>
        <n v="2147.5500000000002"/>
        <n v="2149.1"/>
        <n v="2332.08"/>
        <n v="2000.19"/>
        <n v="2274.38"/>
        <n v="1967.57"/>
        <n v="2375.9"/>
        <n v="2446.5100000000002"/>
        <n v="2212.5100000000002"/>
        <n v="1969.66"/>
        <n v="1916.82"/>
        <n v="2355.9499999999998"/>
        <n v="2484.65"/>
        <n v="2402.69"/>
        <n v="2328.6799999999998"/>
        <n v="1851.44"/>
        <n v="2143.5"/>
        <n v="2021.04"/>
        <n v="2364.27"/>
        <n v="1953.64"/>
        <n v="2253.3000000000002"/>
        <n v="2498.4699999999998"/>
        <n v="2165.9299999999998"/>
        <n v="2252.19"/>
        <n v="1878.66"/>
        <n v="2261.04"/>
        <n v="1876.43"/>
        <n v="2192.23"/>
        <n v="2219.4899999999998"/>
        <n v="2215.88"/>
        <n v="2214.16"/>
        <n v="2307.89"/>
        <n v="1976.03"/>
        <n v="2089.9899999999998"/>
        <n v="1820.04"/>
        <n v="2072.2600000000002"/>
        <n v="2222.25"/>
        <n v="1820.96"/>
        <n v="2322.16"/>
        <n v="2096.5"/>
        <n v="2463.2199999999998"/>
        <n v="1940.45"/>
        <n v="2125.69"/>
        <n v="2122.96"/>
        <n v="2309.44"/>
        <n v="2378.59"/>
        <n v="1980.51"/>
        <n v="1804.65"/>
        <n v="1842.6"/>
        <n v="1909.35"/>
        <n v="1899.05"/>
        <n v="1902.46"/>
        <n v="1818.3"/>
        <n v="2420.15"/>
        <n v="1986.31"/>
        <n v="1825.92"/>
        <n v="2419.98"/>
        <n v="1919.44"/>
        <n v="2223.7399999999998"/>
        <n v="2103"/>
        <n v="2241.77"/>
        <n v="2285.02"/>
        <n v="2259.84"/>
        <n v="2321.71"/>
        <n v="1973.09"/>
        <n v="2282.44"/>
        <n v="2074.37"/>
        <n v="2337.67"/>
        <n v="1808.9"/>
        <n v="2269.56"/>
        <n v="2034.23"/>
        <n v="1984.13"/>
        <n v="2096.34"/>
        <n v="2270.75"/>
        <n v="2271.39"/>
        <n v="2050.7399999999998"/>
        <n v="2119.5300000000002"/>
        <n v="1911.22"/>
        <n v="2144.4"/>
        <n v="1851.17"/>
        <n v="2248.12"/>
        <n v="1832.3"/>
        <n v="1831.93"/>
        <n v="1873.52"/>
        <n v="2317.5500000000002"/>
        <n v="2479.98"/>
        <n v="2394.44"/>
        <n v="1853.81"/>
        <n v="1835.11"/>
        <n v="2363.2800000000002"/>
        <n v="1895.2"/>
        <n v="2167.79"/>
        <n v="1998.4"/>
        <n v="2234.4299999999998"/>
        <n v="2015.67"/>
        <n v="2266.34"/>
        <n v="1886.02"/>
        <n v="2035.37"/>
        <n v="2430.98"/>
        <n v="1813"/>
        <n v="1869.58"/>
        <n v="2056.11"/>
        <n v="2478.66"/>
        <n v="1940.68"/>
        <n v="1890.45"/>
        <n v="1854.6"/>
        <n v="1988.7"/>
        <n v="2351.5"/>
        <n v="2214.98"/>
        <n v="2038.91"/>
        <n v="2230.75"/>
        <n v="2472.4699999999998"/>
        <n v="1815.88"/>
        <n v="2156.88"/>
        <n v="2143.89"/>
        <n v="2263.19"/>
        <n v="1905.42"/>
        <n v="2336.85"/>
        <n v="1939.93"/>
        <n v="2311.67"/>
        <n v="2190.0300000000002"/>
        <n v="2194.0100000000002"/>
        <n v="2299.7800000000002"/>
        <n v="2267.7600000000002"/>
        <n v="2331.5"/>
        <n v="2245.9699999999998"/>
        <n v="2482.33"/>
        <n v="2406.33"/>
        <n v="2474.58"/>
        <n v="2238.81"/>
        <n v="2419.2199999999998"/>
        <n v="1801.09"/>
        <n v="2404.7800000000002"/>
        <n v="2166.84"/>
        <n v="2061.89"/>
        <n v="2005.91"/>
        <n v="2473.4"/>
        <n v="2272.2800000000002"/>
        <n v="1988.27"/>
        <n v="1864.03"/>
        <n v="1860.7"/>
        <n v="2144.25"/>
        <n v="2002.99"/>
        <n v="2202.87"/>
        <n v="2083.85"/>
        <n v="2385.2800000000002"/>
        <n v="2225.23"/>
        <n v="1855.27"/>
        <n v="2289.1799999999998"/>
        <n v="2428.4699999999998"/>
        <n v="2473.56"/>
        <n v="2280.08"/>
        <n v="2174.2600000000002"/>
        <n v="2498.27"/>
        <n v="2222.7800000000002"/>
        <n v="2490.71"/>
        <n v="2142.48"/>
        <n v="1980.59"/>
        <n v="1994.07"/>
        <n v="2320.69"/>
        <n v="2450.81"/>
        <n v="2075.31"/>
        <n v="1856.17"/>
        <n v="2218.09"/>
        <n v="2133.71"/>
        <n v="2094.09"/>
        <n v="2403.6999999999998"/>
        <n v="2188.92"/>
        <n v="2423.91"/>
        <n v="2114.09"/>
        <n v="2298.37"/>
        <n v="2294.9699999999998"/>
        <n v="2286.2600000000002"/>
        <n v="2037.46"/>
        <n v="2098.37"/>
        <n v="1996.44"/>
        <n v="1955"/>
        <n v="2374.73"/>
        <n v="2153.1"/>
        <n v="2375.38"/>
        <n v="1886.54"/>
        <n v="2473.0300000000002"/>
        <n v="2430.58"/>
        <n v="1890.02"/>
        <n v="2351.67"/>
        <n v="1949.45"/>
        <n v="2430.9499999999998"/>
        <n v="2002.46"/>
        <n v="2110.54"/>
        <n v="2330.73"/>
        <n v="2420.36"/>
        <n v="2406.7600000000002"/>
        <n v="2240.06"/>
        <n v="2023.33"/>
        <n v="2190.4699999999998"/>
        <n v="2169.4899999999998"/>
        <n v="2074.36"/>
        <n v="2223.48"/>
        <n v="2023.87"/>
        <n v="1857.89"/>
        <n v="1887.97"/>
        <n v="2480.5"/>
        <n v="2437.98"/>
        <n v="2230.44"/>
        <n v="2339.4499999999998"/>
        <n v="2165.1999999999998"/>
        <n v="2207.14"/>
        <n v="2440.63"/>
        <n v="1939.6"/>
        <n v="2159.6799999999998"/>
        <n v="1866.98"/>
        <n v="1965"/>
        <n v="2341.29"/>
        <n v="2477.15"/>
        <n v="2056.39"/>
        <n v="2229.4299999999998"/>
        <n v="1996.33"/>
        <n v="2377.3200000000002"/>
        <n v="1870.31"/>
        <n v="1945.9"/>
        <n v="1995.52"/>
        <n v="2427.85"/>
        <n v="2241.71"/>
        <n v="2007.06"/>
        <n v="2394.42"/>
        <n v="2351.0100000000002"/>
        <n v="2116.29"/>
        <n v="1890.72"/>
        <n v="2057.65"/>
        <n v="2120.61"/>
        <n v="2460.9"/>
        <n v="1866.47"/>
        <n v="2037.13"/>
        <n v="1852.24"/>
        <n v="1878.49"/>
        <n v="1931.77"/>
        <n v="2151.2199999999998"/>
        <n v="1935.27"/>
        <n v="2153.41"/>
        <n v="2171.8200000000002"/>
        <n v="1967.27"/>
        <n v="1840.15"/>
        <n v="1951.06"/>
        <n v="2105.9299999999998"/>
        <n v="2103.61"/>
        <n v="2352.34"/>
        <n v="2389.7800000000002"/>
        <n v="2148.19"/>
        <n v="1949.84"/>
        <n v="2205.3200000000002"/>
        <n v="2182.69"/>
        <n v="1837.82"/>
        <n v="2352.91"/>
        <n v="1974.16"/>
        <n v="1972.86"/>
        <n v="2412.11"/>
        <n v="2041.93"/>
        <n v="1836.79"/>
        <n v="1865.88"/>
        <n v="2234.06"/>
        <n v="2064.64"/>
        <n v="2162.9499999999998"/>
        <n v="1840.26"/>
        <n v="2016.96"/>
        <n v="1960.35"/>
        <n v="2182.35"/>
        <n v="2271.23"/>
        <n v="2469.62"/>
        <n v="2123.96"/>
        <n v="2095.87"/>
        <n v="2276.2600000000002"/>
        <n v="2280.2800000000002"/>
        <n v="1806.77"/>
        <n v="2322.0100000000002"/>
        <n v="2340.42"/>
        <n v="1841.46"/>
        <n v="2471.21"/>
        <n v="2359.2199999999998"/>
        <n v="1870.44"/>
        <n v="2455.7600000000002"/>
        <n v="2017.08"/>
        <n v="1817.44"/>
        <n v="2264.29"/>
        <n v="2157.1799999999998"/>
        <n v="1852.57"/>
        <n v="2169.11"/>
        <n v="2291.06"/>
        <n v="2172.39"/>
        <n v="2368.17"/>
        <n v="2271.2800000000002"/>
        <n v="2022.2"/>
        <n v="2416.9499999999998"/>
        <n v="2077.0300000000002"/>
        <n v="2212.35"/>
        <n v="2300.9899999999998"/>
        <n v="2476.85"/>
        <n v="1958.61"/>
        <n v="2249.89"/>
        <n v="2214.19"/>
        <n v="1821.88"/>
        <n v="2428.81"/>
        <n v="2147.2399999999998"/>
        <n v="2493.0700000000002"/>
        <n v="2466.09"/>
        <n v="2037.91"/>
        <n v="2076.14"/>
        <n v="2123.3200000000002"/>
        <n v="2203.7399999999998"/>
        <n v="2032.51"/>
        <n v="1915.44"/>
        <n v="2207.96"/>
        <n v="2083.88"/>
        <n v="2497.02"/>
        <n v="2428.0500000000002"/>
        <n v="2108.67"/>
        <n v="2377.1"/>
        <n v="2245.6"/>
        <n v="2482.88"/>
        <n v="1820.5"/>
        <n v="2267.33"/>
        <n v="2102.13"/>
        <n v="2461"/>
        <n v="2187.5500000000002"/>
        <n v="1973.83"/>
        <n v="1812.72"/>
        <n v="2356.31"/>
        <n v="1854.96"/>
        <n v="2280.34"/>
        <n v="2084.59"/>
        <n v="1835.37"/>
        <n v="2334.5100000000002"/>
        <n v="1818.52"/>
        <n v="2086.0700000000002"/>
        <n v="2374.9299999999998"/>
        <n v="1910.55"/>
        <n v="2360.13"/>
        <n v="1807.92"/>
        <n v="2354.65"/>
        <n v="2454.7199999999998"/>
        <n v="2181.67"/>
        <n v="1830.96"/>
        <n v="1973.92"/>
        <n v="2242.16"/>
        <n v="2398.36"/>
        <n v="2471.7199999999998"/>
        <n v="1841.01"/>
        <n v="2269.5100000000002"/>
        <n v="2263.5300000000002"/>
        <n v="1980.36"/>
        <n v="2311.9"/>
        <n v="2498.14"/>
        <n v="1903.67"/>
        <n v="2258.5"/>
        <n v="2402.46"/>
        <n v="2344.79"/>
        <n v="2048.14"/>
        <n v="2152.94"/>
        <n v="2286.69"/>
        <n v="2494.59"/>
        <n v="2066.4499999999998"/>
        <n v="2208.54"/>
        <n v="1860.55"/>
        <n v="2230.06"/>
        <n v="2090.9899999999998"/>
        <n v="1813.22"/>
        <n v="2162.9299999999998"/>
        <n v="2068.7800000000002"/>
        <n v="2284.59"/>
        <n v="2182.77"/>
        <n v="1985.6"/>
        <n v="2494.52"/>
        <n v="2369"/>
        <n v="2083.7199999999998"/>
        <n v="1849.3"/>
        <n v="2212.3000000000002"/>
        <n v="2079.39"/>
        <n v="2155.87"/>
        <n v="2403.4"/>
        <n v="2128.77"/>
        <n v="2162.85"/>
        <n v="2139.56"/>
        <n v="2097.4499999999998"/>
        <n v="2042.15"/>
        <n v="1885.49"/>
        <n v="2287.8200000000002"/>
        <n v="2191.19"/>
        <n v="1936.24"/>
        <n v="2460.44"/>
        <n v="1814.05"/>
        <n v="2067.7600000000002"/>
        <n v="2412.1"/>
        <n v="2166.25"/>
        <n v="2204.29"/>
        <n v="2313.86"/>
        <n v="2003.15"/>
        <n v="2296.4299999999998"/>
        <n v="1930.87"/>
        <n v="2496.6799999999998"/>
        <n v="1855.65"/>
        <n v="2277.0500000000002"/>
        <n v="2406.86"/>
        <n v="1986.92"/>
        <n v="2362.5700000000002"/>
        <n v="2144.9899999999998"/>
        <n v="2438.5700000000002"/>
        <n v="2184.12"/>
        <n v="1887.6"/>
        <n v="2056.31"/>
        <n v="2499.3200000000002"/>
        <n v="1879.65"/>
        <n v="2332.96"/>
        <n v="2164.35"/>
        <n v="2304.0500000000002"/>
        <n v="2333.0100000000002"/>
        <n v="2257.75"/>
        <n v="1828.61"/>
        <n v="1885.59"/>
        <n v="2346.5700000000002"/>
        <n v="2359.38"/>
        <n v="2365.06"/>
        <n v="2166.96"/>
        <n v="1840.54"/>
        <n v="2023.67"/>
        <n v="2061.06"/>
        <n v="2490.0700000000002"/>
        <n v="1863.89"/>
        <n v="2202.58"/>
        <n v="2266.75"/>
        <n v="2046.66"/>
        <n v="1914.63"/>
        <n v="2443.9899999999998"/>
        <n v="1814.71"/>
        <n v="2253.64"/>
        <n v="2308.46"/>
        <n v="2008.36"/>
        <n v="2036.23"/>
        <n v="2261.4299999999998"/>
        <n v="2192.61"/>
        <n v="2281.4899999999998"/>
        <n v="1876.17"/>
        <n v="2418.31"/>
        <n v="1956.57"/>
        <n v="1931.61"/>
        <n v="2460.36"/>
        <n v="1889.65"/>
        <n v="2063.23"/>
        <n v="2347.77"/>
        <n v="2493.11"/>
        <n v="2417.0100000000002"/>
        <n v="2322.25"/>
        <n v="2095.6"/>
        <n v="2475.54"/>
        <n v="1886.85"/>
        <n v="2398.86"/>
        <n v="2447.5500000000002"/>
        <n v="2261.0300000000002"/>
        <n v="1982.51"/>
        <n v="1821.28"/>
        <n v="2078.85"/>
        <n v="2209.46"/>
        <n v="1900.84"/>
        <n v="2003.03"/>
        <n v="2166.0100000000002"/>
        <n v="1914.6"/>
        <n v="2212.83"/>
        <n v="2448.89"/>
        <n v="2116.39"/>
        <n v="2192.89"/>
        <n v="1907.88"/>
        <n v="2203.08"/>
        <n v="1903.63"/>
        <n v="2226.77"/>
        <n v="2381.7600000000002"/>
        <n v="2036.5"/>
        <n v="2451.2399999999998"/>
        <n v="2444.9499999999998"/>
        <n v="2187.42"/>
        <n v="2496.96"/>
        <n v="1917.21"/>
        <n v="2390.73"/>
        <n v="2352.4699999999998"/>
        <n v="2460.41"/>
        <n v="2011.86"/>
        <n v="2026.76"/>
        <n v="2259.92"/>
        <n v="2345.62"/>
        <n v="1936.55"/>
        <n v="2291.1"/>
        <n v="2337.5700000000002"/>
        <n v="2231.84"/>
        <n v="2176.46"/>
        <n v="1969.69"/>
        <n v="2110.2399999999998"/>
        <n v="2066.08"/>
        <n v="2084.98"/>
        <n v="1922.42"/>
        <n v="1903.16"/>
        <n v="1922.52"/>
        <n v="2361.09"/>
        <n v="2036.36"/>
        <n v="1937.02"/>
        <n v="1994.15"/>
        <n v="2268.16"/>
        <n v="2280.59"/>
        <n v="1872.13"/>
        <n v="2021.71"/>
        <n v="2227.3000000000002"/>
        <n v="1879.4"/>
        <n v="1911.53"/>
        <n v="1851.14"/>
        <n v="2319.46"/>
        <n v="2310.04"/>
        <n v="2478.7399999999998"/>
        <n v="2066.29"/>
        <n v="2349.37"/>
        <n v="2363.34"/>
        <n v="2257.85"/>
        <n v="2453.94"/>
        <n v="1950.14"/>
        <n v="2032.87"/>
        <n v="2128"/>
        <n v="1969.82"/>
        <n v="1804.36"/>
        <n v="2178.87"/>
        <n v="2394.1799999999998"/>
        <n v="2294.31"/>
        <n v="2146.36"/>
        <n v="2188.52"/>
        <n v="2105.67"/>
        <n v="2434.5"/>
        <n v="2433.81"/>
        <n v="2441.5300000000002"/>
        <n v="2425.36"/>
        <n v="1997.2"/>
        <n v="2410.29"/>
        <n v="2068.56"/>
        <n v="1982.19"/>
        <n v="2158.48"/>
        <n v="2430.29"/>
        <n v="2015.42"/>
        <n v="2365.94"/>
        <n v="2163.91"/>
        <n v="2394.0500000000002"/>
        <n v="1830.07"/>
        <n v="1815.07"/>
        <n v="2363.7399999999998"/>
        <n v="2207.5700000000002"/>
        <n v="1873.32"/>
        <n v="2182.73"/>
        <n v="2035.35"/>
        <n v="2219.4299999999998"/>
        <n v="2200.5700000000002"/>
        <n v="2411.67"/>
        <n v="2374.5100000000002"/>
        <n v="1807.71"/>
        <n v="2404.2199999999998"/>
        <n v="2344.21"/>
        <n v="2047.39"/>
        <n v="1963.93"/>
        <n v="2060.4299999999998"/>
        <n v="1914.33"/>
        <n v="1949.16"/>
        <n v="1810.34"/>
        <n v="1920.25"/>
        <n v="2401.14"/>
        <n v="2237.5300000000002"/>
        <n v="2101.1999999999998"/>
        <n v="2234.5500000000002"/>
        <n v="2218.02"/>
        <n v="2250.59"/>
        <n v="1961.2"/>
        <n v="2266.91"/>
        <n v="1804.82"/>
        <n v="2483.29"/>
        <n v="2069.2399999999998"/>
        <n v="2367.11"/>
        <n v="2073.35"/>
        <n v="1965.73"/>
        <n v="1958.44"/>
        <n v="2363.36"/>
        <n v="2273.39"/>
        <n v="1892.97"/>
        <n v="2116.6"/>
        <n v="2066.13"/>
        <n v="1830.47"/>
        <n v="2356.9299999999998"/>
        <n v="2235.33"/>
        <n v="2228.36"/>
        <n v="2376.87"/>
        <n v="2235.6999999999998"/>
        <n v="2236.56"/>
        <n v="1988.09"/>
        <n v="1919.8"/>
        <n v="2123.23"/>
        <n v="2070.19"/>
        <n v="2301.98"/>
        <n v="1885.72"/>
        <n v="1928.66"/>
        <n v="1895.01"/>
        <n v="1870.69"/>
        <n v="2394.08"/>
        <n v="1808.93"/>
        <n v="2280.8000000000002"/>
        <n v="2490.36"/>
        <n v="2463.66"/>
        <n v="1986.87"/>
        <n v="2289.92"/>
        <n v="1908.75"/>
        <n v="1956.47"/>
        <n v="2022.62"/>
        <n v="1801.97"/>
        <n v="2109.7800000000002"/>
        <n v="1880.95"/>
        <n v="1936.3"/>
        <n v="1902.85"/>
        <n v="2050.5100000000002"/>
        <n v="2054.5300000000002"/>
        <n v="2364.12"/>
        <n v="2204.0500000000002"/>
        <n v="1888.79"/>
        <n v="2069.34"/>
        <n v="2486.71"/>
        <n v="2248.1799999999998"/>
        <n v="2373.35"/>
        <n v="2194.48"/>
        <n v="1878.73"/>
        <n v="2147.8000000000002"/>
        <n v="1875.65"/>
        <n v="2217.62"/>
        <n v="2129.0100000000002"/>
        <n v="1836.68"/>
        <n v="2155.4699999999998"/>
        <n v="2435.9499999999998"/>
        <n v="2283.89"/>
        <n v="2419.31"/>
        <n v="2288.31"/>
        <n v="1875.27"/>
        <n v="2082.79"/>
        <n v="2222.4299999999998"/>
        <n v="1924"/>
        <n v="2271.35"/>
        <n v="2285.91"/>
        <n v="2393.14"/>
        <n v="2318.46"/>
        <n v="2330.61"/>
        <n v="1889.01"/>
        <n v="2400.6999999999998"/>
        <n v="2235.23"/>
        <n v="2095.1999999999998"/>
        <n v="2377.69"/>
        <n v="1917.7"/>
        <n v="1850.07"/>
        <n v="2052.6"/>
        <n v="2191.16"/>
        <n v="2081.5300000000002"/>
        <n v="2284.3000000000002"/>
        <n v="1960.78"/>
        <n v="2007.19"/>
        <n v="2491.71"/>
        <n v="2000.08"/>
        <n v="2300.2399999999998"/>
        <n v="2324.9499999999998"/>
        <n v="1982.37"/>
        <n v="1898.3"/>
        <n v="2382.36"/>
        <n v="2458.56"/>
        <n v="2121.23"/>
        <n v="2493.83"/>
        <n v="1863.57"/>
        <n v="2387.65"/>
        <n v="1922.01"/>
        <n v="2208.04"/>
        <n v="2196.33"/>
        <n v="2392.2600000000002"/>
        <n v="2351.98"/>
        <n v="1837.25"/>
        <n v="2096.04"/>
        <n v="1900.08"/>
        <n v="2239.71"/>
        <n v="2394.79"/>
        <n v="2206.88"/>
        <n v="1949.72"/>
        <n v="1805.29"/>
        <n v="2405.8200000000002"/>
        <n v="2163.1"/>
        <n v="2113.66"/>
        <n v="2092.6999999999998"/>
        <n v="2227.25"/>
        <n v="1848.96"/>
        <n v="2055.1999999999998"/>
        <n v="2048.64"/>
        <n v="2473.21"/>
        <n v="2197.7399999999998"/>
        <n v="2318.17"/>
        <n v="2434.6799999999998"/>
        <n v="1832.12"/>
        <n v="2156.69"/>
        <n v="2008.77"/>
        <n v="2179.12"/>
        <n v="2156.3000000000002"/>
        <n v="2399.29"/>
        <n v="2273.8000000000002"/>
        <n v="1839.68"/>
        <n v="2018.62"/>
        <n v="2265.4299999999998"/>
        <n v="2480.86"/>
        <n v="1927.81"/>
        <n v="2196.9"/>
        <n v="1935.42"/>
        <n v="2471.5700000000002"/>
        <n v="1802.07"/>
        <n v="2370.4"/>
        <n v="2383.29"/>
        <n v="2224.48"/>
        <n v="2255.94"/>
        <n v="1993.81"/>
        <n v="2045.75"/>
        <n v="2084.71"/>
        <n v="2186.86"/>
        <n v="2456.21"/>
        <n v="2103.4499999999998"/>
        <n v="2474.98"/>
        <n v="2082.17"/>
        <n v="1901.33"/>
        <n v="2473.42"/>
        <n v="2166.38"/>
        <n v="1902.35"/>
        <n v="2388.44"/>
        <n v="2227.04"/>
        <n v="1960.93"/>
        <n v="2490.38"/>
        <n v="2135.8200000000002"/>
        <n v="1809.04"/>
        <n v="2026.62"/>
        <n v="1873.3"/>
        <n v="2288.5100000000002"/>
        <n v="2175.04"/>
        <n v="2454.5300000000002"/>
        <n v="1953.43"/>
        <n v="1874.53"/>
        <n v="1887.31"/>
        <n v="2220.0700000000002"/>
        <n v="2310.02"/>
        <n v="2303.4699999999998"/>
        <n v="2025.93"/>
        <n v="2418.7800000000002"/>
        <n v="2365.69"/>
        <n v="2491.16"/>
        <n v="2225.09"/>
        <n v="2455.3200000000002"/>
        <n v="1969.77"/>
        <n v="2283.7399999999998"/>
        <n v="1895.19"/>
        <n v="2041.76"/>
        <n v="2455.4"/>
        <n v="2083.77"/>
        <n v="1858.59"/>
        <n v="2494.86"/>
        <n v="1962.57"/>
        <n v="2011.2"/>
        <n v="2200.5"/>
        <n v="2387.71"/>
        <n v="2177.84"/>
        <n v="2451.54"/>
        <n v="1891.96"/>
        <n v="2332.16"/>
        <n v="2094.83"/>
        <n v="1923.05"/>
        <n v="2072.6"/>
        <n v="1929.45"/>
        <n v="1995.99"/>
        <n v="2165.69"/>
        <n v="2150.06"/>
        <n v="2008.33"/>
        <n v="1986.4"/>
        <n v="2380.4"/>
        <n v="1937.44"/>
        <n v="2226.42"/>
        <n v="2436.92"/>
        <n v="2303.73"/>
        <n v="2089.33"/>
        <n v="2115.16"/>
        <n v="2401.7600000000002"/>
        <n v="2455.34"/>
        <n v="2172.7199999999998"/>
        <n v="2249.35"/>
        <n v="2341.0300000000002"/>
        <n v="1920.43"/>
        <n v="2315.9699999999998"/>
        <n v="1935.68"/>
        <n v="2462.14"/>
        <n v="2443.9299999999998"/>
        <n v="1960.12"/>
        <n v="2078.87"/>
        <n v="1955.77"/>
        <n v="2307.83"/>
        <n v="2154.25"/>
        <n v="2026.14"/>
        <n v="2124.17"/>
        <n v="2305.5500000000002"/>
        <n v="2116.65"/>
        <n v="2284.44"/>
        <n v="1951.14"/>
        <n v="2216.66"/>
        <n v="2415.8200000000002"/>
        <n v="1833.11"/>
        <n v="2352.59"/>
        <n v="2178.5100000000002"/>
        <n v="2171.42"/>
        <n v="2040.59"/>
        <n v="1963.05"/>
        <n v="1900"/>
        <n v="2373.09"/>
        <n v="1914.16"/>
        <n v="1949.5"/>
        <n v="2212.58"/>
        <n v="2255.86"/>
        <n v="2042.4"/>
        <n v="1936.26"/>
        <n v="2229.06"/>
        <n v="1950.69"/>
        <n v="2101.3000000000002"/>
        <n v="1948.46"/>
        <n v="2422.7800000000002"/>
        <n v="2412.04"/>
        <n v="2428.13"/>
        <n v="2264.27"/>
        <n v="2263.7800000000002"/>
        <n v="1864.81"/>
        <n v="2343.29"/>
        <n v="2140.12"/>
        <n v="2181.39"/>
        <n v="2436.39"/>
        <n v="1834.62"/>
        <n v="1951.39"/>
        <n v="2464.52"/>
        <n v="2202.77"/>
        <n v="2138.12"/>
        <n v="2396.37"/>
        <n v="1999.06"/>
        <n v="2174.27"/>
        <n v="2028.43"/>
        <n v="1991.37"/>
        <n v="2346.63"/>
        <n v="2251.89"/>
        <n v="2229.17"/>
        <n v="1857.3"/>
        <n v="1906.86"/>
        <n v="2434.63"/>
        <n v="2134.56"/>
        <n v="1982.66"/>
        <n v="2045.06"/>
        <n v="2294.34"/>
        <n v="2264"/>
        <n v="2348.59"/>
        <n v="2179.0100000000002"/>
        <n v="2475.2199999999998"/>
        <n v="1967.19"/>
        <n v="2235.4699999999998"/>
        <n v="2019.43"/>
        <n v="2247.09"/>
        <n v="2497.0100000000002"/>
        <n v="2418.21"/>
        <n v="1869.33"/>
        <n v="2193.15"/>
        <n v="1856.2"/>
        <n v="1802.53"/>
        <n v="2025.81"/>
        <n v="2397.9"/>
        <n v="2154.86"/>
        <n v="1997.65"/>
        <n v="1990.55"/>
        <n v="2065.9699999999998"/>
        <n v="2457.85"/>
        <n v="2353.71"/>
        <n v="1920.91"/>
        <n v="1814.97"/>
        <n v="1923.5"/>
        <n v="2039.56"/>
        <n v="1898.78"/>
        <n v="2105.7199999999998"/>
        <n v="2051.7800000000002"/>
        <n v="2455.89"/>
        <n v="1894.76"/>
        <n v="2483.0100000000002"/>
        <n v="2300.5500000000002"/>
        <n v="2400.0700000000002"/>
        <n v="1959.11"/>
        <n v="2080.06"/>
        <n v="2434.87"/>
        <n v="1892.15"/>
        <n v="2137.31"/>
        <n v="2438.63"/>
        <n v="2444.14"/>
        <n v="1932.28"/>
        <n v="2381.46"/>
        <n v="2295.77"/>
        <n v="2010.14"/>
        <n v="2298.34"/>
        <n v="1968.02"/>
        <n v="2328.08"/>
        <n v="2181.4899999999998"/>
        <n v="1900.1"/>
        <n v="2465.69"/>
        <n v="2062.25"/>
        <n v="2021.05"/>
        <n v="1887.23"/>
        <n v="1957.72"/>
        <n v="1845.51"/>
        <n v="2269.19"/>
        <n v="2333.4899999999998"/>
        <n v="2422.21"/>
        <n v="1843.84"/>
        <n v="1824.86"/>
        <n v="2239.62"/>
        <n v="2403"/>
        <n v="1875.76"/>
        <n v="1955.49"/>
        <n v="2273.94"/>
        <n v="2377.2399999999998"/>
        <n v="2121.92"/>
        <n v="1871.58"/>
        <n v="2496.7399999999998"/>
        <n v="2469.63"/>
        <n v="2333.2800000000002"/>
        <n v="2211.9499999999998"/>
        <n v="1947.02"/>
        <n v="2170.54"/>
        <n v="1976.44"/>
        <n v="2348.38"/>
        <n v="2206.4699999999998"/>
        <n v="1958.77"/>
        <n v="2191.13"/>
        <n v="1997.1"/>
        <n v="1826.4"/>
        <n v="1875.79"/>
        <n v="2428.4499999999998"/>
        <n v="2139.83"/>
        <n v="2031.82"/>
        <n v="2416.06"/>
        <n v="2158.4699999999998"/>
        <n v="1998.9"/>
        <n v="2005.12"/>
        <n v="2260.81"/>
        <n v="1894.49"/>
        <n v="2135.5700000000002"/>
        <n v="2424.19"/>
        <n v="1853.04"/>
        <n v="1862.15"/>
        <n v="2490.25"/>
        <n v="2380.0300000000002"/>
        <n v="1976.92"/>
        <n v="2450.06"/>
        <n v="2496.3000000000002"/>
        <n v="2328.2199999999998"/>
        <n v="2025.16"/>
        <n v="2211.86"/>
        <n v="2380.0700000000002"/>
        <n v="2184.9299999999998"/>
        <n v="2499.4899999999998"/>
        <n v="2217.41"/>
        <n v="2213.94"/>
        <n v="2183.44"/>
        <n v="2270.06"/>
        <n v="2090.4899999999998"/>
        <n v="2328.56"/>
        <n v="2000.26"/>
        <n v="1813.19"/>
        <n v="2183.9699999999998"/>
        <n v="2163.02"/>
        <n v="2151.48"/>
        <n v="2174.2800000000002"/>
        <n v="2271.19"/>
        <n v="2140.8200000000002"/>
        <n v="2451.79"/>
        <n v="2009.12"/>
        <n v="2368.29"/>
        <n v="2021.89"/>
        <n v="1803.81"/>
        <n v="2101.4499999999998"/>
        <n v="2466.92"/>
        <n v="2190.73"/>
        <n v="1829.75"/>
        <n v="1903.65"/>
        <n v="1829.37"/>
        <n v="2376.73"/>
        <n v="2153.17"/>
        <n v="2494.17"/>
        <n v="2155.67"/>
        <n v="2278.0500000000002"/>
        <n v="2242.0100000000002"/>
        <n v="2328.21"/>
        <n v="2355.4699999999998"/>
        <n v="2184.8200000000002"/>
        <n v="2091.21"/>
        <n v="1930.71"/>
        <n v="2235.4"/>
        <n v="2463.5300000000002"/>
        <n v="2144.19"/>
        <n v="2291.4"/>
        <n v="2016.35"/>
        <n v="2321.58"/>
        <n v="2446.48"/>
        <n v="1996.17"/>
        <n v="2185.9899999999998"/>
        <n v="2425.4499999999998"/>
        <n v="2405.5100000000002"/>
        <n v="2357.34"/>
        <n v="2043.68"/>
        <n v="2487.04"/>
        <n v="2434.71"/>
        <n v="1986.06"/>
        <n v="2053.1999999999998"/>
        <n v="2297.35"/>
        <n v="2212.98"/>
        <n v="2345.88"/>
        <n v="2036.66"/>
        <n v="2168.39"/>
        <n v="1886.95"/>
        <n v="2200.84"/>
        <n v="1953.56"/>
        <n v="1857.79"/>
        <n v="2074.52"/>
        <n v="1999.52"/>
        <n v="2201.42"/>
        <n v="2442.91"/>
        <n v="2475.1999999999998"/>
        <n v="1822.52"/>
        <n v="2001.2"/>
        <n v="2433.6"/>
        <n v="2149.7199999999998"/>
        <n v="1853.72"/>
        <n v="1844.42"/>
        <n v="2049.98"/>
        <n v="1936.71"/>
        <n v="1938.64"/>
        <n v="2070.3200000000002"/>
        <n v="2300.9699999999998"/>
        <n v="1918.04"/>
        <n v="1891.4"/>
        <n v="1869.14"/>
        <n v="2208.6799999999998"/>
        <n v="2360.27"/>
        <n v="2095.9899999999998"/>
        <n v="2172.98"/>
        <n v="2407.67"/>
        <n v="2271.48"/>
        <n v="2183.69"/>
        <n v="2326.0100000000002"/>
        <n v="1888.1"/>
        <n v="2119.4499999999998"/>
        <n v="2206.96"/>
        <n v="2118.84"/>
        <n v="2456.86"/>
        <n v="2238.54"/>
        <n v="2171.0300000000002"/>
        <n v="2103.9299999999998"/>
        <n v="2215.98"/>
        <n v="1879.26"/>
        <n v="2068.34"/>
        <n v="2413.7600000000002"/>
        <n v="2468.17"/>
        <n v="2177.48"/>
        <n v="2192.21"/>
        <n v="2461.86"/>
        <n v="2187.9299999999998"/>
        <n v="1922.79"/>
        <n v="2246.42"/>
        <n v="2358.09"/>
        <n v="1894.75"/>
        <n v="2175.1"/>
        <n v="1971.9"/>
        <n v="2216.71"/>
        <n v="2045.65"/>
        <n v="2031.86"/>
        <n v="1801.22"/>
        <n v="2069.77"/>
        <n v="2336.06"/>
        <n v="2044.23"/>
        <n v="1982.63"/>
        <n v="1936.78"/>
        <n v="2077.94"/>
        <n v="1961.69"/>
        <n v="2427.33"/>
        <n v="2316.0700000000002"/>
        <n v="2252.58"/>
        <n v="2135.38"/>
        <n v="2162.65"/>
        <n v="1826.37"/>
        <n v="2042.34"/>
        <n v="1946.61"/>
        <n v="2376.81"/>
        <n v="2060.4"/>
        <n v="2258.9499999999998"/>
        <n v="2270.66"/>
        <n v="2123.1"/>
        <n v="2126.61"/>
        <n v="1909.85"/>
        <n v="2151.1999999999998"/>
        <n v="1814.91"/>
        <n v="2156.08"/>
        <n v="2413.59"/>
        <n v="2043.91"/>
        <n v="2440.4899999999998"/>
        <n v="1918.75"/>
        <n v="1943.8"/>
        <n v="2065.4299999999998"/>
        <n v="2418.9299999999998"/>
        <n v="1818.53"/>
        <n v="1920.13"/>
        <n v="2141.52"/>
        <n v="2349.3000000000002"/>
        <n v="2209.1999999999998"/>
        <n v="2174.0300000000002"/>
        <n v="2211"/>
        <n v="2403.4899999999998"/>
        <n v="2419.38"/>
        <n v="2152.69"/>
        <n v="1879.63"/>
        <n v="2494.84"/>
        <n v="1961.86"/>
        <n v="2124.7600000000002"/>
        <n v="2321.88"/>
        <n v="2218.2600000000002"/>
        <n v="2018.1"/>
        <n v="2249.83"/>
        <n v="2260.9699999999998"/>
        <n v="2289.48"/>
        <n v="2262.16"/>
        <n v="2357.5500000000002"/>
        <n v="2394.3000000000002"/>
        <n v="2311.59"/>
        <n v="2223.6"/>
        <n v="2051.06"/>
        <n v="1901.25"/>
        <n v="2215.71"/>
        <n v="2112.4699999999998"/>
        <n v="2285.08"/>
        <n v="1860.28"/>
        <n v="1872.83"/>
        <n v="1903.4"/>
        <n v="2219.1999999999998"/>
        <n v="2057.36"/>
        <n v="2187.39"/>
        <n v="2142.41"/>
        <n v="2358.35"/>
        <n v="2288.4299999999998"/>
        <n v="2137.11"/>
        <n v="1989.92"/>
        <n v="2217.98"/>
        <n v="2466.33"/>
        <n v="2081.08"/>
        <n v="2374.9"/>
        <n v="2374.14"/>
        <n v="1899.28"/>
        <n v="2110.33"/>
        <n v="2007.21"/>
        <n v="2224.44"/>
        <n v="1964.14"/>
        <n v="2324.23"/>
        <n v="2221.9"/>
        <n v="2100.87"/>
        <n v="2262.39"/>
        <n v="2186.13"/>
        <n v="1849.19"/>
        <n v="2359.4899999999998"/>
        <n v="2024.87"/>
        <n v="2128.15"/>
        <n v="2470.9499999999998"/>
        <n v="2484.2199999999998"/>
        <n v="2073.4499999999998"/>
        <n v="2326.42"/>
        <n v="2168.3000000000002"/>
        <n v="2382.25"/>
        <n v="2444.17"/>
        <n v="2326.37"/>
        <n v="2479.33"/>
        <n v="2353.85"/>
        <n v="1983.03"/>
        <n v="2407.66"/>
        <n v="2246.77"/>
        <n v="1954.58"/>
        <n v="1972.62"/>
        <n v="1956.53"/>
        <n v="2348.98"/>
        <n v="2231.04"/>
        <n v="2461.2199999999998"/>
        <n v="2029.29"/>
        <n v="1900.18"/>
        <n v="2129.04"/>
        <n v="2434.36"/>
        <n v="2356.27"/>
        <n v="2404.42"/>
        <n v="2025.31"/>
        <n v="2171.46"/>
        <n v="2103.63"/>
        <n v="2261.9"/>
        <n v="2352.37"/>
        <n v="2206.79"/>
        <n v="1945.25"/>
        <n v="2221.14"/>
        <n v="2446.21"/>
        <n v="1872.76"/>
        <n v="1945.4"/>
        <n v="2197.9499999999998"/>
        <n v="1985.28"/>
        <n v="2252.41"/>
        <n v="2081.5"/>
        <n v="1996.7"/>
        <n v="2200.7600000000002"/>
        <n v="2232.7399999999998"/>
        <n v="2478.88"/>
        <n v="2244.52"/>
        <n v="2487.7399999999998"/>
        <n v="2162.5300000000002"/>
        <n v="1937.58"/>
        <n v="2240.6999999999998"/>
        <n v="2072.62"/>
        <n v="1978.82"/>
        <n v="2071.62"/>
        <n v="1901.23"/>
        <n v="1930.93"/>
        <n v="2161"/>
        <n v="1954.19"/>
        <n v="2091.2399999999998"/>
        <n v="2042.89"/>
        <n v="2029.93"/>
        <n v="2107.1999999999998"/>
        <n v="2298.36"/>
        <n v="1808.17"/>
        <n v="2478.11"/>
        <n v="2134.8200000000002"/>
        <n v="1947.64"/>
        <n v="1912"/>
        <n v="2065"/>
        <n v="2330.0300000000002"/>
        <n v="2249.0500000000002"/>
        <n v="2407.54"/>
        <n v="2440.62"/>
        <n v="2176.58"/>
        <n v="1869.52"/>
        <n v="1935.53"/>
        <n v="1864.64"/>
        <n v="2057.09"/>
        <n v="2429.63"/>
        <n v="2091.5300000000002"/>
        <n v="2233.2199999999998"/>
        <n v="2419.14"/>
        <n v="2348.17"/>
        <n v="2425.46"/>
        <n v="2186.0100000000002"/>
        <n v="2378.94"/>
        <n v="2002.32"/>
        <n v="1810.1"/>
        <n v="2436.86"/>
        <n v="2034.08"/>
        <n v="2089.06"/>
        <n v="2321.84"/>
        <n v="2304.7199999999998"/>
        <n v="2138.4699999999998"/>
        <n v="1906.79"/>
        <n v="2053.6799999999998"/>
        <n v="2202.63"/>
        <n v="1822.62"/>
        <n v="2154.3200000000002"/>
        <n v="2097.94"/>
        <n v="2444.5700000000002"/>
        <n v="2351.2199999999998"/>
        <n v="2061.12"/>
        <n v="1846.47"/>
        <n v="2005.37"/>
        <n v="2135.84"/>
        <n v="2361.89"/>
        <n v="2308.66"/>
        <n v="2030.06"/>
        <n v="1953.89"/>
        <n v="1954.98"/>
        <n v="2017.28"/>
        <n v="2235.81"/>
        <n v="1863.27"/>
        <n v="2225.84"/>
        <n v="2166.6"/>
        <n v="2247.4699999999998"/>
        <n v="2189.87"/>
        <n v="2372.85"/>
        <n v="2112.2399999999998"/>
        <n v="2157.41"/>
        <n v="2060.06"/>
        <n v="2459.58"/>
        <n v="2247.5500000000002"/>
        <n v="2340.09"/>
        <n v="2116.66"/>
        <n v="2334.0100000000002"/>
        <n v="2400.9899999999998"/>
        <n v="1816.07"/>
        <n v="2354.71"/>
        <n v="1892.85"/>
        <n v="1824.7"/>
        <n v="2313.52"/>
        <n v="2380.1"/>
        <n v="1986.42"/>
        <n v="1879.68"/>
        <n v="2277.85"/>
        <n v="2088.7399999999998"/>
        <n v="1912.74"/>
        <n v="1923.9"/>
        <n v="2365.73"/>
        <n v="2051.4699999999998"/>
        <n v="2241.64"/>
        <n v="2285.35"/>
        <n v="2017.79"/>
        <n v="2248.09"/>
        <n v="1914.89"/>
        <n v="2238.1"/>
        <n v="1870.41"/>
        <n v="2324.34"/>
        <n v="1995.29"/>
        <n v="2465.86"/>
        <n v="1963.48"/>
        <n v="1930.22"/>
        <n v="2369.17"/>
        <n v="1906.76"/>
        <n v="2061.96"/>
        <n v="2062.7399999999998"/>
        <n v="2498.34"/>
        <n v="2032.33"/>
        <n v="2078.2600000000002"/>
        <n v="2494.9899999999998"/>
        <n v="2179.4299999999998"/>
        <n v="2111.86"/>
        <n v="2334.46"/>
        <n v="2293.29"/>
        <n v="2312.61"/>
        <n v="2037.81"/>
        <n v="2181.2800000000002"/>
        <n v="1838.3"/>
        <n v="2435.73"/>
        <n v="2160.25"/>
        <n v="2035.38"/>
        <n v="1834.2"/>
        <n v="1995.78"/>
        <n v="2196.35"/>
        <n v="2165.84"/>
        <n v="2210.19"/>
        <n v="1963.06"/>
        <n v="2209.7600000000002"/>
        <n v="2020.32"/>
        <n v="2378.3200000000002"/>
        <n v="2193.67"/>
        <n v="1974.58"/>
        <n v="2036.76"/>
        <n v="1876.33"/>
        <n v="2317.04"/>
        <n v="2044.14"/>
        <n v="2130.71"/>
        <n v="1971.05"/>
        <n v="2319.84"/>
        <n v="2421.36"/>
        <n v="2246.5"/>
        <n v="2432.8000000000002"/>
        <n v="1938.65"/>
        <n v="2023.29"/>
        <n v="2074.89"/>
        <n v="2141.58"/>
        <n v="1922"/>
        <n v="2180.15"/>
        <n v="2455.09"/>
        <n v="1987.22"/>
        <n v="2276.02"/>
        <n v="2047.15"/>
        <n v="2352.61"/>
        <n v="2313.77"/>
        <n v="2469.17"/>
        <n v="2484.09"/>
        <n v="1906.73"/>
        <n v="2035.09"/>
        <n v="2497.62"/>
        <n v="1909.6"/>
        <n v="1980.53"/>
        <n v="2116.58"/>
        <n v="1977.56"/>
        <n v="2402.71"/>
        <n v="1906.32"/>
        <n v="1827.3"/>
        <n v="2004.03"/>
        <n v="2269.9699999999998"/>
        <n v="2180.8200000000002"/>
        <n v="2329.17"/>
        <n v="2355.91"/>
        <n v="2365.14"/>
        <n v="2457.16"/>
        <n v="1985.08"/>
        <n v="1992.34"/>
        <n v="2427.08"/>
        <n v="2432.33"/>
        <n v="2383.2600000000002"/>
        <n v="2473.04"/>
        <n v="2497.29"/>
        <n v="2169.48"/>
        <n v="2325.09"/>
        <n v="2151.4299999999998"/>
        <n v="1919.7"/>
        <n v="2092.71"/>
        <n v="2356.33"/>
        <n v="2025.59"/>
        <n v="2111.64"/>
        <n v="2334.29"/>
        <n v="2464.56"/>
        <n v="2447.21"/>
        <n v="2076.34"/>
        <n v="2426.54"/>
        <n v="2429.73"/>
        <n v="2121.4499999999998"/>
        <n v="1850.31"/>
        <n v="2113.54"/>
        <n v="2386.37"/>
        <n v="2323.1999999999998"/>
        <n v="2455.36"/>
        <n v="2372.9"/>
        <n v="2401.67"/>
        <n v="1881.52"/>
        <n v="2227.0500000000002"/>
        <n v="2295.8200000000002"/>
        <n v="1902.27"/>
        <n v="2143.17"/>
        <n v="2196.4499999999998"/>
        <n v="2442.0700000000002"/>
        <n v="2277.9299999999998"/>
        <n v="1880.24"/>
        <n v="2316.6"/>
        <n v="1846.67"/>
        <n v="2114.3200000000002"/>
        <n v="2274.46"/>
        <n v="2442.42"/>
        <n v="2395.25"/>
        <n v="1946.67"/>
        <n v="2096.65"/>
        <n v="2003.33"/>
        <n v="2138.37"/>
        <n v="2411.91"/>
        <n v="1954.48"/>
        <n v="1928.44"/>
        <n v="2464.9699999999998"/>
        <n v="1880.34"/>
        <n v="2318.91"/>
        <n v="2466.38"/>
        <n v="2082.9299999999998"/>
        <n v="1901.21"/>
        <n v="2027.17"/>
        <n v="2245.33"/>
        <n v="2195.7800000000002"/>
        <n v="2196.34"/>
        <n v="2106.4499999999998"/>
        <n v="1815.41"/>
        <n v="1918.97"/>
        <n v="2243.33"/>
        <n v="2340.66"/>
        <n v="2381.59"/>
        <n v="2121.2600000000002"/>
        <n v="2489.65"/>
        <n v="2461.38"/>
        <n v="2223.91"/>
        <n v="2387.09"/>
        <n v="2026.48"/>
        <n v="2398.92"/>
        <n v="2308.92"/>
        <n v="2478.36"/>
        <n v="2001.96"/>
        <n v="2474.17"/>
        <n v="2069.98"/>
        <n v="2479.41"/>
        <n v="2202.2399999999998"/>
        <n v="2322.17"/>
        <n v="1883.32"/>
        <n v="2477.7199999999998"/>
        <n v="2113.02"/>
        <n v="2375.44"/>
        <n v="2149.02"/>
        <n v="2030.43"/>
        <n v="2057.35"/>
        <n v="2438.36"/>
        <n v="1961.38"/>
        <n v="2190.66"/>
        <n v="2316.2399999999998"/>
        <n v="1963.26"/>
        <n v="2142.73"/>
        <n v="2142.58"/>
        <n v="1937.69"/>
        <n v="1978.43"/>
        <n v="2256.3200000000002"/>
        <n v="2282.4699999999998"/>
        <n v="2242.12"/>
        <n v="2340.9499999999998"/>
        <n v="2109.56"/>
        <n v="1861.87"/>
        <n v="2007.26"/>
        <n v="2212.5500000000002"/>
        <n v="2080.87"/>
        <n v="2234.04"/>
        <n v="2316.19"/>
        <n v="2489.83"/>
        <n v="1973.22"/>
        <n v="2303.6"/>
        <n v="1859.68"/>
        <n v="1967.05"/>
        <n v="2096.13"/>
        <n v="1828.8"/>
        <n v="2187.13"/>
        <n v="2115.6999999999998"/>
        <n v="2379.48"/>
        <n v="2135.2399999999998"/>
        <n v="2130.8000000000002"/>
        <n v="2356.5"/>
        <n v="1805.2"/>
        <n v="2222.7199999999998"/>
        <n v="1920.82"/>
        <n v="2304.02"/>
        <n v="2446.54"/>
        <n v="2442.88"/>
        <n v="2187.2600000000002"/>
        <n v="2018.68"/>
        <n v="1940.72"/>
        <n v="1870.85"/>
        <n v="2232.29"/>
        <n v="2489.2600000000002"/>
        <n v="1835.6"/>
        <n v="2173.88"/>
        <n v="1844.98"/>
        <n v="1937.23"/>
        <n v="2388.92"/>
        <n v="2150.4699999999998"/>
        <n v="1903.86"/>
        <n v="1866.2"/>
        <n v="1988.5"/>
        <n v="1813.61"/>
        <n v="2445.23"/>
        <n v="2143.8200000000002"/>
        <n v="2413.41"/>
        <n v="2061.0700000000002"/>
        <n v="2026.65"/>
        <n v="2312.3000000000002"/>
        <n v="2104.46"/>
        <n v="2317.94"/>
        <n v="2224.77"/>
        <n v="2475.23"/>
        <n v="1899.87"/>
        <n v="1845.36"/>
        <n v="2075.46"/>
        <n v="2080.11"/>
        <n v="2167.1"/>
        <n v="1967.49"/>
        <n v="2420.9699999999998"/>
        <n v="1912.76"/>
        <n v="2168.56"/>
        <n v="1907.24"/>
        <n v="2104.4299999999998"/>
        <n v="2041.38"/>
        <n v="2075.3000000000002"/>
        <n v="2070.9699999999998"/>
        <n v="1810.41"/>
        <n v="1876.18"/>
        <n v="2350.11"/>
        <n v="2218.94"/>
        <n v="2418.63"/>
        <n v="2217.11"/>
        <n v="2399.33"/>
        <n v="2049.9699999999998"/>
        <n v="1937.27"/>
        <n v="2454.61"/>
        <n v="2066.21"/>
        <n v="2050.2399999999998"/>
        <n v="2481.67"/>
        <n v="2397.71"/>
        <n v="2376.52"/>
        <n v="2377.4899999999998"/>
        <n v="2370.66"/>
        <n v="2114.6"/>
        <n v="2158.65"/>
        <n v="2393.77"/>
        <n v="1993.08"/>
        <n v="2069.13"/>
        <n v="2198.04"/>
        <n v="1979.89"/>
        <n v="1893.7"/>
        <n v="2049.27"/>
        <n v="2289.17"/>
        <n v="1953.55"/>
        <n v="2123.77"/>
        <n v="2074.41"/>
        <n v="2162.8200000000002"/>
        <n v="2313.71"/>
        <n v="2095.13"/>
        <n v="1925.33"/>
        <n v="2222.35"/>
        <n v="2498.3200000000002"/>
        <n v="2076.02"/>
        <n v="1902.18"/>
        <n v="1970.48"/>
        <n v="2252.25"/>
        <n v="1985.86"/>
        <n v="2444.0300000000002"/>
        <n v="2063.09"/>
        <n v="2385.88"/>
        <n v="2468.16"/>
        <n v="2112.37"/>
        <n v="1988.55"/>
        <n v="2110.17"/>
        <n v="2323.39"/>
        <n v="1907.59"/>
        <n v="2463.8000000000002"/>
        <n v="2008.04"/>
        <n v="1881.46"/>
        <n v="2346.59"/>
        <n v="1965.45"/>
        <n v="1908.4"/>
        <n v="1843.18"/>
        <n v="1919.39"/>
        <n v="2054.35"/>
        <n v="1890.83"/>
        <n v="2230.98"/>
        <n v="2160.38"/>
        <n v="2301.73"/>
        <n v="2090.88"/>
        <n v="1828.81"/>
        <n v="1946.04"/>
        <n v="2307.63"/>
        <n v="1817.58"/>
        <n v="1919.28"/>
        <n v="1886.44"/>
        <n v="2311.7399999999998"/>
        <n v="1916.17"/>
        <n v="1885.35"/>
        <n v="2333"/>
        <n v="2036.45"/>
        <n v="2470.73"/>
        <n v="2064.0500000000002"/>
        <n v="2111.14"/>
        <n v="2187.86"/>
        <n v="2313.79"/>
        <n v="1896.13"/>
        <n v="2292.66"/>
        <n v="2384.0500000000002"/>
        <n v="2418.5300000000002"/>
        <n v="2242.71"/>
        <n v="2327.7399999999998"/>
        <n v="2284.91"/>
        <n v="2222.19"/>
        <n v="2061.9699999999998"/>
        <n v="2315.7600000000002"/>
        <n v="2270.59"/>
        <n v="2108.5"/>
        <n v="2471.98"/>
        <n v="1868.39"/>
        <n v="2246.36"/>
        <n v="2293.4499999999998"/>
        <n v="1879.01"/>
        <n v="2086.58"/>
        <n v="1835.89"/>
        <n v="2028.74"/>
        <n v="2135.67"/>
        <n v="1972.13"/>
        <n v="2113.4499999999998"/>
        <n v="1839.36"/>
        <n v="2156.11"/>
        <n v="1944.22"/>
        <n v="1823.36"/>
        <n v="2304.66"/>
        <n v="2354.9499999999998"/>
        <n v="1845.75"/>
        <n v="2013.52"/>
        <n v="2046.57"/>
        <n v="2123.91"/>
        <n v="1857.98"/>
        <n v="2007.66"/>
        <n v="1901.42"/>
        <n v="2338.2199999999998"/>
        <n v="2038.95"/>
        <n v="1977.59"/>
        <n v="2221.25"/>
        <n v="2421.89"/>
        <n v="1942.32"/>
        <n v="1943.99"/>
        <n v="2295.13"/>
        <n v="2172.19"/>
        <n v="1893"/>
        <n v="2140.9699999999998"/>
        <n v="2364.0500000000002"/>
        <n v="2441.04"/>
        <n v="2250.71"/>
        <n v="2443.5500000000002"/>
        <n v="2172.06"/>
        <n v="2132.08"/>
        <n v="1971.09"/>
        <n v="1844.99"/>
        <n v="1874.38"/>
        <n v="1985.34"/>
        <n v="2120.87"/>
        <n v="1961.82"/>
        <n v="2418.0100000000002"/>
        <n v="2178.5300000000002"/>
        <n v="1903.08"/>
        <n v="2108.23"/>
        <n v="1903.1"/>
        <n v="2247.15"/>
        <n v="2230.61"/>
        <n v="1954.38"/>
        <n v="1811.27"/>
        <n v="2186.23"/>
        <n v="1813.31"/>
        <n v="2053.04"/>
        <n v="2454.5700000000002"/>
        <n v="2066.92"/>
        <n v="2045.66"/>
        <n v="2341.06"/>
        <n v="2330.4"/>
        <n v="2310.14"/>
        <n v="2131.5100000000002"/>
        <n v="2122.85"/>
        <n v="2061.1"/>
        <n v="2376.4499999999998"/>
        <n v="2453.9699999999998"/>
        <n v="2109.5300000000002"/>
        <n v="1968.79"/>
        <n v="2407.88"/>
        <n v="1893.75"/>
        <n v="2340.9699999999998"/>
        <n v="2499.7399999999998"/>
        <n v="1902.99"/>
        <n v="2263.38"/>
        <n v="1980.02"/>
        <n v="2404.27"/>
        <n v="1808.6"/>
        <n v="2494.9499999999998"/>
        <n v="2477.09"/>
        <n v="2166.61"/>
        <n v="2122.6"/>
        <n v="2343.85"/>
        <n v="2027.97"/>
        <n v="2427.62"/>
        <n v="2108.27"/>
        <n v="2101.21"/>
        <n v="1948.42"/>
        <n v="2437.92"/>
        <n v="2309.9899999999998"/>
        <n v="1810.43"/>
        <n v="2371.7399999999998"/>
        <n v="2408.13"/>
        <n v="2194.09"/>
        <n v="2151.13"/>
        <n v="2091.31"/>
        <n v="1856.35"/>
        <n v="2299.9699999999998"/>
        <n v="2404.31"/>
        <n v="2012.86"/>
        <n v="2252.1799999999998"/>
        <n v="1807.61"/>
        <n v="2416.52"/>
        <n v="1920.42"/>
        <n v="2018.95"/>
        <n v="2096"/>
        <n v="1934.9"/>
        <n v="2062.66"/>
        <n v="1965.91"/>
        <n v="2259.37"/>
        <n v="2259.56"/>
        <n v="2094.67"/>
        <n v="2352.4899999999998"/>
        <n v="2007.4"/>
        <n v="2459.67"/>
        <n v="2050.5500000000002"/>
        <n v="2197.59"/>
        <n v="2109.7600000000002"/>
        <n v="2155.48"/>
        <n v="2450.02"/>
        <n v="2378.35"/>
        <n v="1811.62"/>
        <n v="2184.42"/>
        <n v="2114.66"/>
        <n v="2148.94"/>
        <n v="2396.71"/>
        <n v="1819.46"/>
        <n v="2478.39"/>
        <n v="2085.16"/>
        <n v="1919.46"/>
        <n v="2044.09"/>
        <n v="2217.1799999999998"/>
        <n v="2034.48"/>
        <n v="2437.96"/>
        <n v="2208.83"/>
        <n v="1864.5"/>
        <n v="2404.75"/>
        <n v="2446.85"/>
        <n v="2272.5700000000002"/>
        <n v="2028.77"/>
        <n v="1922.99"/>
        <n v="2215.63"/>
        <n v="2167.31"/>
        <n v="2046.6"/>
        <n v="1862.95"/>
        <n v="2004"/>
        <n v="1803.94"/>
        <n v="2490.66"/>
        <n v="1819.86"/>
        <m/>
      </sharedItems>
    </cacheField>
    <cacheField name="Stock_Index" numFmtId="0">
      <sharedItems containsString="0" containsBlank="1" containsNumber="1" containsInteger="1" minValue="64001" maxValue="75995" count="1858">
        <n v="66784"/>
        <n v="66594"/>
        <n v="73016"/>
        <n v="67818"/>
        <n v="72736"/>
        <n v="69725"/>
        <n v="69966"/>
        <n v="70330"/>
        <n v="75551"/>
        <n v="66846"/>
        <n v="65671"/>
        <n v="68366"/>
        <n v="64247"/>
        <n v="75629"/>
        <n v="67089"/>
        <n v="64903"/>
        <n v="75465"/>
        <n v="69905"/>
        <n v="70155"/>
        <n v="69341"/>
        <n v="65762"/>
        <n v="64034"/>
        <n v="71250"/>
        <n v="70586"/>
        <n v="64605"/>
        <n v="71349"/>
        <n v="66464"/>
        <n v="74502"/>
        <n v="68482"/>
        <n v="72264"/>
        <n v="71432"/>
        <n v="66603"/>
        <n v="68217"/>
        <n v="69351"/>
        <n v="68036"/>
        <n v="69442"/>
        <n v="75815"/>
        <n v="65068"/>
        <n v="67400"/>
        <n v="74692"/>
        <n v="70086"/>
        <n v="70944"/>
        <n v="69072"/>
        <n v="70364"/>
        <n v="69860"/>
        <n v="64452"/>
        <n v="73422"/>
        <n v="70482"/>
        <n v="69615"/>
        <n v="75247"/>
        <n v="70901"/>
        <n v="66667"/>
        <n v="73978"/>
        <n v="66142"/>
        <n v="71352"/>
        <n v="65356"/>
        <n v="68873"/>
        <n v="65507"/>
        <n v="68500"/>
        <n v="64478"/>
        <n v="71603"/>
        <n v="74647"/>
        <n v="65259"/>
        <n v="73501"/>
        <n v="64373"/>
        <n v="75444"/>
        <n v="64644"/>
        <n v="68987"/>
        <n v="70830"/>
        <n v="69135"/>
        <n v="67648"/>
        <n v="73245"/>
        <n v="73222"/>
        <n v="67910"/>
        <n v="74105"/>
        <n v="69165"/>
        <n v="70698"/>
        <n v="73735"/>
        <n v="66310"/>
        <n v="70504"/>
        <n v="67552"/>
        <n v="66606"/>
        <n v="66864"/>
        <n v="66545"/>
        <n v="69272"/>
        <n v="65437"/>
        <n v="67789"/>
        <n v="67713"/>
        <n v="75426"/>
        <n v="71576"/>
        <n v="73420"/>
        <n v="66699"/>
        <n v="72777"/>
        <n v="74019"/>
        <n v="64859"/>
        <n v="64412"/>
        <n v="72799"/>
        <n v="67877"/>
        <n v="72711"/>
        <n v="67993"/>
        <n v="68019"/>
        <n v="67359"/>
        <n v="64445"/>
        <n v="74247"/>
        <n v="75369"/>
        <n v="73261"/>
        <n v="65984"/>
        <n v="75336"/>
        <n v="74567"/>
        <n v="69861"/>
        <n v="65092"/>
        <n v="67620"/>
        <n v="68513"/>
        <n v="67960"/>
        <n v="75995"/>
        <n v="69496"/>
        <n v="74649"/>
        <n v="75962"/>
        <n v="66401"/>
        <n v="68151"/>
        <n v="74679"/>
        <n v="73266"/>
        <n v="69993"/>
        <n v="64461"/>
        <n v="71466"/>
        <n v="68437"/>
        <n v="71168"/>
        <n v="72178"/>
        <n v="75915"/>
        <n v="75832"/>
        <n v="74389"/>
        <n v="68392"/>
        <n v="64534"/>
        <n v="75068"/>
        <n v="75695"/>
        <n v="66817"/>
        <n v="66513"/>
        <n v="70899"/>
        <n v="65617"/>
        <n v="72565"/>
        <n v="73206"/>
        <n v="68649"/>
        <n v="72581"/>
        <n v="71176"/>
        <n v="67238"/>
        <n v="65030"/>
        <n v="72722"/>
        <n v="68197"/>
        <n v="65272"/>
        <n v="67033"/>
        <n v="75781"/>
        <n v="71513"/>
        <n v="71310"/>
        <n v="74312"/>
        <n v="68806"/>
        <n v="71042"/>
        <n v="70247"/>
        <n v="71130"/>
        <n v="68269"/>
        <n v="71494"/>
        <n v="65781"/>
        <n v="66757"/>
        <n v="66892"/>
        <n v="73982"/>
        <n v="66477"/>
        <n v="64245"/>
        <n v="66352"/>
        <n v="68654"/>
        <n v="68412"/>
        <n v="68280"/>
        <n v="74452"/>
        <n v="74899"/>
        <n v="71597"/>
        <n v="70683"/>
        <n v="73996"/>
        <n v="67323"/>
        <n v="71727"/>
        <n v="74122"/>
        <n v="68087"/>
        <n v="73554"/>
        <n v="67179"/>
        <n v="70522"/>
        <n v="71374"/>
        <n v="64829"/>
        <n v="67987"/>
        <n v="74825"/>
        <n v="65365"/>
        <n v="73806"/>
        <n v="73090"/>
        <n v="75359"/>
        <n v="72023"/>
        <n v="74002"/>
        <n v="75390"/>
        <n v="75765"/>
        <n v="65611"/>
        <n v="71677"/>
        <n v="65234"/>
        <n v="73754"/>
        <n v="64116"/>
        <n v="72705"/>
        <n v="66933"/>
        <n v="68037"/>
        <n v="64640"/>
        <n v="65523"/>
        <n v="69573"/>
        <n v="66749"/>
        <n v="75343"/>
        <n v="68706"/>
        <n v="64639"/>
        <n v="69485"/>
        <n v="64676"/>
        <n v="74589"/>
        <n v="67202"/>
        <n v="65867"/>
        <n v="74013"/>
        <n v="66909"/>
        <n v="74995"/>
        <n v="69004"/>
        <n v="64794"/>
        <n v="67286"/>
        <n v="66825"/>
        <n v="69646"/>
        <n v="75317"/>
        <n v="71594"/>
        <n v="66777"/>
        <n v="70442"/>
        <n v="73159"/>
        <n v="74000"/>
        <n v="68297"/>
        <n v="66015"/>
        <n v="75584"/>
        <n v="73198"/>
        <n v="68905"/>
        <n v="65538"/>
        <n v="64033"/>
        <n v="66463"/>
        <n v="65243"/>
        <n v="74778"/>
        <n v="69574"/>
        <n v="66928"/>
        <n v="73464"/>
        <n v="74165"/>
        <n v="71994"/>
        <n v="64470"/>
        <n v="69189"/>
        <n v="72746"/>
        <n v="73511"/>
        <n v="73231"/>
        <n v="68055"/>
        <n v="74678"/>
        <n v="66096"/>
        <n v="68760"/>
        <n v="70418"/>
        <n v="70783"/>
        <n v="74409"/>
        <n v="72868"/>
        <n v="75017"/>
        <n v="70029"/>
        <n v="68363"/>
        <n v="64350"/>
        <n v="68111"/>
        <n v="71779"/>
        <n v="71974"/>
        <n v="70178"/>
        <n v="64001"/>
        <n v="66694"/>
        <n v="64686"/>
        <n v="66880"/>
        <n v="65595"/>
        <n v="64681"/>
        <n v="70230"/>
        <n v="72126"/>
        <n v="72529"/>
        <n v="67788"/>
        <n v="68435"/>
        <n v="72993"/>
        <n v="74838"/>
        <n v="66117"/>
        <n v="72012"/>
        <n v="64634"/>
        <n v="72784"/>
        <n v="64852"/>
        <n v="71213"/>
        <n v="65370"/>
        <n v="72952"/>
        <n v="74317"/>
        <n v="70534"/>
        <n v="69352"/>
        <n v="72621"/>
        <n v="70397"/>
        <n v="75784"/>
        <n v="64714"/>
        <n v="66768"/>
        <n v="68472"/>
        <n v="69400"/>
        <n v="65361"/>
        <n v="71558"/>
        <n v="64447"/>
        <n v="65859"/>
        <n v="74273"/>
        <n v="66298"/>
        <n v="65494"/>
        <n v="74761"/>
        <n v="73280"/>
        <n v="75402"/>
        <n v="70718"/>
        <n v="68595"/>
        <n v="69181"/>
        <n v="72759"/>
        <n v="72618"/>
        <n v="65568"/>
        <n v="65706"/>
        <n v="69300"/>
        <n v="75188"/>
        <n v="68933"/>
        <n v="68822"/>
        <n v="71136"/>
        <n v="64702"/>
        <n v="70721"/>
        <n v="65453"/>
        <n v="65545"/>
        <n v="66075"/>
        <n v="70201"/>
        <n v="73549"/>
        <n v="66389"/>
        <n v="67988"/>
        <n v="75287"/>
        <n v="64499"/>
        <n v="64539"/>
        <n v="65916"/>
        <n v="75346"/>
        <n v="66851"/>
        <n v="69519"/>
        <n v="72888"/>
        <n v="69858"/>
        <n v="71020"/>
        <n v="73777"/>
        <n v="66635"/>
        <n v="65845"/>
        <n v="69205"/>
        <n v="66677"/>
        <n v="72782"/>
        <n v="71748"/>
        <n v="67423"/>
        <n v="64043"/>
        <n v="71913"/>
        <n v="73527"/>
        <n v="66798"/>
        <n v="68492"/>
        <n v="74246"/>
        <n v="73004"/>
        <n v="70543"/>
        <n v="74864"/>
        <n v="65192"/>
        <n v="65840"/>
        <n v="69168"/>
        <n v="68535"/>
        <n v="72509"/>
        <n v="68893"/>
        <n v="66519"/>
        <n v="64696"/>
        <n v="64564"/>
        <n v="64427"/>
        <n v="69659"/>
        <n v="72542"/>
        <n v="67725"/>
        <n v="75788"/>
        <n v="64456"/>
        <n v="64944"/>
        <n v="66168"/>
        <n v="67129"/>
        <n v="75562"/>
        <n v="75394"/>
        <n v="64106"/>
        <n v="74766"/>
        <n v="65401"/>
        <n v="70449"/>
        <n v="73255"/>
        <n v="68077"/>
        <n v="66365"/>
        <n v="69050"/>
        <n v="74294"/>
        <n v="70211"/>
        <n v="73789"/>
        <n v="65372"/>
        <n v="66872"/>
        <n v="74231"/>
        <n v="66092"/>
        <n v="70289"/>
        <n v="75880"/>
        <n v="66569"/>
        <n v="75176"/>
        <n v="75868"/>
        <n v="64808"/>
        <n v="66297"/>
        <n v="64578"/>
        <n v="65988"/>
        <n v="66983"/>
        <n v="66636"/>
        <n v="74046"/>
        <n v="64261"/>
        <n v="67659"/>
        <n v="66095"/>
        <n v="71159"/>
        <n v="71471"/>
        <n v="69251"/>
        <n v="71591"/>
        <n v="74068"/>
        <n v="67705"/>
        <n v="66292"/>
        <n v="67156"/>
        <n v="67554"/>
        <n v="71861"/>
        <n v="68829"/>
        <n v="67147"/>
        <n v="72103"/>
        <n v="65115"/>
        <n v="72271"/>
        <n v="69837"/>
        <n v="74471"/>
        <n v="69148"/>
        <n v="68644"/>
        <n v="67040"/>
        <n v="74086"/>
        <n v="74418"/>
        <n v="74646"/>
        <n v="75938"/>
        <n v="67170"/>
        <n v="66330"/>
        <n v="75546"/>
        <n v="72755"/>
        <n v="70546"/>
        <n v="75582"/>
        <n v="73931"/>
        <n v="75618"/>
        <n v="73433"/>
        <n v="75886"/>
        <n v="71639"/>
        <n v="69124"/>
        <n v="71054"/>
        <n v="73478"/>
        <n v="66385"/>
        <n v="72310"/>
        <n v="73424"/>
        <n v="71355"/>
        <n v="64995"/>
        <n v="66254"/>
        <n v="72242"/>
        <n v="69836"/>
        <n v="70625"/>
        <n v="67805"/>
        <n v="73943"/>
        <n v="75436"/>
        <n v="65058"/>
        <n v="65383"/>
        <n v="68990"/>
        <n v="68133"/>
        <n v="70077"/>
        <n v="70898"/>
        <n v="73326"/>
        <n v="66230"/>
        <n v="72009"/>
        <n v="65360"/>
        <n v="72774"/>
        <n v="75675"/>
        <n v="75594"/>
        <n v="64666"/>
        <n v="65495"/>
        <n v="70261"/>
        <n v="72116"/>
        <n v="65473"/>
        <n v="70206"/>
        <n v="73101"/>
        <n v="68779"/>
        <n v="64363"/>
        <n v="71722"/>
        <n v="75238"/>
        <n v="71320"/>
        <n v="72080"/>
        <n v="66451"/>
        <n v="64772"/>
        <n v="64849"/>
        <n v="68172"/>
        <n v="70062"/>
        <n v="70368"/>
        <n v="74553"/>
        <n v="73010"/>
        <n v="69915"/>
        <n v="74599"/>
        <n v="66640"/>
        <n v="64077"/>
        <n v="75720"/>
        <n v="70794"/>
        <n v="66803"/>
        <n v="74020"/>
        <n v="67371"/>
        <n v="66978"/>
        <n v="70658"/>
        <n v="72251"/>
        <n v="74240"/>
        <n v="73638"/>
        <n v="66967"/>
        <n v="66274"/>
        <n v="70609"/>
        <n v="72587"/>
        <n v="75737"/>
        <n v="67380"/>
        <n v="64132"/>
        <n v="75438"/>
        <n v="66531"/>
        <n v="69156"/>
        <n v="73998"/>
        <n v="68916"/>
        <n v="70639"/>
        <n v="70999"/>
        <n v="71327"/>
        <n v="68902"/>
        <n v="72208"/>
        <n v="70385"/>
        <n v="67498"/>
        <n v="71821"/>
        <n v="64201"/>
        <n v="69684"/>
        <n v="68400"/>
        <n v="75655"/>
        <n v="75069"/>
        <n v="73770"/>
        <n v="73011"/>
        <n v="68857"/>
        <n v="67408"/>
        <n v="71657"/>
        <n v="66723"/>
        <n v="68908"/>
        <n v="68934"/>
        <n v="73121"/>
        <n v="73160"/>
        <n v="65712"/>
        <n v="75984"/>
        <n v="71307"/>
        <n v="69751"/>
        <n v="75651"/>
        <n v="73751"/>
        <n v="68819"/>
        <n v="70676"/>
        <n v="64567"/>
        <n v="65209"/>
        <n v="64475"/>
        <n v="73838"/>
        <n v="67833"/>
        <n v="73253"/>
        <n v="72808"/>
        <n v="69702"/>
        <n v="75553"/>
        <n v="72583"/>
        <n v="73614"/>
        <n v="65511"/>
        <n v="67490"/>
        <n v="68473"/>
        <n v="69523"/>
        <n v="67351"/>
        <n v="65603"/>
        <n v="71638"/>
        <n v="64764"/>
        <n v="67896"/>
        <n v="69945"/>
        <n v="75568"/>
        <n v="65180"/>
        <n v="65295"/>
        <n v="65444"/>
        <n v="70336"/>
        <n v="71817"/>
        <n v="75353"/>
        <n v="70716"/>
        <n v="73602"/>
        <n v="73045"/>
        <n v="70870"/>
        <n v="69616"/>
        <n v="66613"/>
        <n v="74756"/>
        <n v="70399"/>
        <n v="66981"/>
        <n v="66954"/>
        <n v="64593"/>
        <n v="69155"/>
        <n v="66982"/>
        <n v="72620"/>
        <n v="72852"/>
        <n v="68551"/>
        <n v="65872"/>
        <n v="67585"/>
        <n v="74584"/>
        <n v="71918"/>
        <n v="73672"/>
        <n v="68640"/>
        <n v="73504"/>
        <n v="64958"/>
        <n v="67315"/>
        <n v="70875"/>
        <n v="68863"/>
        <n v="65648"/>
        <n v="64342"/>
        <n v="67908"/>
        <n v="66849"/>
        <n v="70611"/>
        <n v="74757"/>
        <n v="74334"/>
        <n v="70805"/>
        <n v="73332"/>
        <n v="65917"/>
        <n v="75521"/>
        <n v="66243"/>
        <n v="72158"/>
        <n v="70674"/>
        <n v="69830"/>
        <n v="73612"/>
        <n v="70857"/>
        <n v="70850"/>
        <n v="69887"/>
        <n v="75529"/>
        <n v="70408"/>
        <n v="64277"/>
        <n v="71187"/>
        <n v="65122"/>
        <n v="75352"/>
        <n v="66219"/>
        <n v="64464"/>
        <n v="67593"/>
        <n v="64273"/>
        <n v="72180"/>
        <n v="75534"/>
        <n v="73970"/>
        <n v="75661"/>
        <n v="69870"/>
        <n v="71047"/>
        <n v="75905"/>
        <n v="73798"/>
        <n v="71470"/>
        <n v="75603"/>
        <n v="67487"/>
        <n v="66805"/>
        <n v="75876"/>
        <n v="67419"/>
        <n v="67034"/>
        <n v="74571"/>
        <n v="69206"/>
        <n v="69316"/>
        <n v="69386"/>
        <n v="72078"/>
        <n v="71619"/>
        <n v="72791"/>
        <n v="69402"/>
        <n v="66294"/>
        <n v="66178"/>
        <n v="75096"/>
        <n v="75033"/>
        <n v="71362"/>
        <n v="66503"/>
        <n v="71403"/>
        <n v="64798"/>
        <n v="66629"/>
        <n v="67368"/>
        <n v="74659"/>
        <n v="70193"/>
        <n v="67083"/>
        <n v="64490"/>
        <n v="74196"/>
        <n v="67261"/>
        <n v="70864"/>
        <n v="73871"/>
        <n v="71879"/>
        <n v="64059"/>
        <n v="67963"/>
        <n v="73495"/>
        <n v="65354"/>
        <n v="68608"/>
        <n v="72091"/>
        <n v="64753"/>
        <n v="67266"/>
        <n v="71759"/>
        <n v="72474"/>
        <n v="67174"/>
        <n v="68138"/>
        <n v="75795"/>
        <n v="68798"/>
        <n v="65883"/>
        <n v="66126"/>
        <n v="68323"/>
        <n v="68116"/>
        <n v="68351"/>
        <n v="75161"/>
        <n v="65789"/>
        <n v="69814"/>
        <n v="68179"/>
        <n v="65440"/>
        <n v="71834"/>
        <n v="70895"/>
        <n v="75109"/>
        <n v="73129"/>
        <n v="70070"/>
        <n v="73726"/>
        <n v="71208"/>
        <n v="75449"/>
        <n v="66022"/>
        <n v="69764"/>
        <n v="73661"/>
        <n v="68606"/>
        <n v="67453"/>
        <n v="73404"/>
        <n v="74178"/>
        <n v="74513"/>
        <n v="68889"/>
        <n v="73809"/>
        <n v="66779"/>
        <n v="70110"/>
        <n v="67857"/>
        <n v="70841"/>
        <n v="67389"/>
        <n v="75412"/>
        <n v="73799"/>
        <n v="65178"/>
        <n v="65325"/>
        <n v="74530"/>
        <n v="67881"/>
        <n v="67975"/>
        <n v="70961"/>
        <n v="67739"/>
        <n v="67653"/>
        <n v="71161"/>
        <n v="68648"/>
        <n v="66645"/>
        <n v="64193"/>
        <n v="70340"/>
        <n v="67422"/>
        <n v="65347"/>
        <n v="66988"/>
        <n v="70912"/>
        <n v="70244"/>
        <n v="67250"/>
        <n v="71462"/>
        <n v="68165"/>
        <n v="66916"/>
        <n v="69408"/>
        <n v="72914"/>
        <n v="67749"/>
        <n v="72351"/>
        <n v="68244"/>
        <n v="72714"/>
        <n v="71272"/>
        <n v="66576"/>
        <n v="70720"/>
        <n v="74181"/>
        <n v="69392"/>
        <n v="75445"/>
        <n v="71787"/>
        <n v="68340"/>
        <n v="75166"/>
        <n v="66600"/>
        <n v="69428"/>
        <n v="73446"/>
        <n v="72627"/>
        <n v="64895"/>
        <n v="66002"/>
        <n v="70210"/>
        <n v="74615"/>
        <n v="67397"/>
        <n v="70653"/>
        <n v="66827"/>
        <n v="73315"/>
        <n v="70293"/>
        <n v="73058"/>
        <n v="75045"/>
        <n v="64415"/>
        <n v="73690"/>
        <n v="71440"/>
        <n v="67328"/>
        <n v="74605"/>
        <n v="70079"/>
        <n v="69081"/>
        <n v="66682"/>
        <n v="72878"/>
        <n v="69895"/>
        <n v="75080"/>
        <n v="72661"/>
        <n v="69306"/>
        <n v="73095"/>
        <n v="65651"/>
        <n v="64487"/>
        <n v="72379"/>
        <n v="69441"/>
        <n v="70568"/>
        <n v="67171"/>
        <n v="70684"/>
        <n v="64542"/>
        <n v="75034"/>
        <n v="69191"/>
        <n v="75892"/>
        <n v="74592"/>
        <n v="74886"/>
        <n v="67030"/>
        <n v="74189"/>
        <n v="65947"/>
        <n v="72430"/>
        <n v="70341"/>
        <n v="75318"/>
        <n v="72688"/>
        <n v="67216"/>
        <n v="69321"/>
        <n v="68046"/>
        <n v="74559"/>
        <n v="74493"/>
        <n v="64582"/>
        <n v="66167"/>
        <n v="68669"/>
        <n v="66580"/>
        <n v="74386"/>
        <n v="68410"/>
        <n v="71556"/>
        <n v="68263"/>
        <n v="69474"/>
        <n v="71559"/>
        <n v="65152"/>
        <n v="65660"/>
        <n v="70847"/>
        <n v="68384"/>
        <n v="67249"/>
        <n v="65390"/>
        <n v="73064"/>
        <n v="72975"/>
        <n v="74511"/>
        <n v="75705"/>
        <n v="69325"/>
        <n v="70195"/>
        <n v="64372"/>
        <n v="69147"/>
        <n v="66945"/>
        <n v="67052"/>
        <n v="75264"/>
        <n v="64202"/>
        <n v="71948"/>
        <n v="71886"/>
        <n v="74905"/>
        <n v="66878"/>
        <n v="68423"/>
        <n v="66507"/>
        <n v="71725"/>
        <n v="66532"/>
        <n v="67572"/>
        <n v="71433"/>
        <n v="69770"/>
        <n v="73176"/>
        <n v="66006"/>
        <n v="69023"/>
        <n v="74726"/>
        <n v="73193"/>
        <n v="74166"/>
        <n v="75673"/>
        <n v="68643"/>
        <n v="70088"/>
        <n v="75664"/>
        <n v="73235"/>
        <n v="65085"/>
        <n v="70995"/>
        <n v="66919"/>
        <n v="70440"/>
        <n v="74894"/>
        <n v="66950"/>
        <n v="70366"/>
        <n v="73443"/>
        <n v="72483"/>
        <n v="75328"/>
        <n v="73946"/>
        <n v="71830"/>
        <n v="65797"/>
        <n v="71194"/>
        <n v="71584"/>
        <n v="66014"/>
        <n v="71564"/>
        <n v="64726"/>
        <n v="67543"/>
        <n v="68925"/>
        <n v="68035"/>
        <n v="64935"/>
        <n v="69029"/>
        <n v="75315"/>
        <n v="67409"/>
        <n v="66915"/>
        <n v="65445"/>
        <n v="70176"/>
        <n v="64197"/>
        <n v="67472"/>
        <n v="64667"/>
        <n v="72974"/>
        <n v="65284"/>
        <n v="64689"/>
        <n v="67066"/>
        <n v="65744"/>
        <n v="72278"/>
        <n v="72404"/>
        <n v="71394"/>
        <n v="74078"/>
        <n v="71421"/>
        <n v="72485"/>
        <n v="64044"/>
        <n v="68633"/>
        <n v="73339"/>
        <n v="73468"/>
        <n v="66083"/>
        <n v="72765"/>
        <n v="70746"/>
        <n v="70821"/>
        <n v="72044"/>
        <n v="72920"/>
        <n v="73903"/>
        <n v="68855"/>
        <n v="74366"/>
        <n v="71441"/>
        <n v="75430"/>
        <n v="66593"/>
        <n v="64866"/>
        <n v="67528"/>
        <n v="70324"/>
        <n v="74265"/>
        <n v="65606"/>
        <n v="67450"/>
        <n v="72313"/>
        <n v="64355"/>
        <n v="67346"/>
        <n v="72305"/>
        <n v="66113"/>
        <n v="67375"/>
        <n v="70334"/>
        <n v="64049"/>
        <n v="74865"/>
        <n v="69978"/>
        <n v="67255"/>
        <n v="70001"/>
        <n v="71605"/>
        <n v="71149"/>
        <n v="64337"/>
        <n v="70726"/>
        <n v="65844"/>
        <n v="73316"/>
        <n v="72309"/>
        <n v="73842"/>
        <n v="74954"/>
        <n v="68929"/>
        <n v="70037"/>
        <n v="69658"/>
        <n v="65417"/>
        <n v="64649"/>
        <n v="70027"/>
        <n v="67530"/>
        <n v="75727"/>
        <n v="71940"/>
        <n v="72859"/>
        <n v="67019"/>
        <n v="67834"/>
        <n v="70851"/>
        <n v="69225"/>
        <n v="75638"/>
        <n v="74746"/>
        <n v="74129"/>
        <n v="71920"/>
        <n v="66164"/>
        <n v="65474"/>
        <n v="68866"/>
        <n v="64583"/>
        <n v="64699"/>
        <n v="69826"/>
        <n v="72613"/>
        <n v="69188"/>
        <n v="67926"/>
        <n v="65731"/>
        <n v="68105"/>
        <n v="75204"/>
        <n v="72892"/>
        <n v="70299"/>
        <n v="71129"/>
        <n v="71499"/>
        <n v="64213"/>
        <n v="72976"/>
        <n v="71206"/>
        <n v="73508"/>
        <n v="67474"/>
        <n v="66098"/>
        <n v="75930"/>
        <n v="65411"/>
        <n v="71242"/>
        <n v="65532"/>
        <n v="71590"/>
        <n v="74492"/>
        <n v="75761"/>
        <n v="71139"/>
        <n v="69308"/>
        <n v="75604"/>
        <n v="66951"/>
        <n v="69715"/>
        <n v="72071"/>
        <n v="72026"/>
        <n v="64844"/>
        <n v="69244"/>
        <n v="71425"/>
        <n v="75007"/>
        <n v="73840"/>
        <n v="70635"/>
        <n v="67527"/>
        <n v="73263"/>
        <n v="66807"/>
        <n v="66643"/>
        <n v="64597"/>
        <n v="74718"/>
        <n v="70348"/>
        <n v="72959"/>
        <n v="74509"/>
        <n v="65629"/>
        <n v="72088"/>
        <n v="66810"/>
        <n v="72511"/>
        <n v="72390"/>
        <n v="75794"/>
        <n v="72225"/>
        <n v="65001"/>
        <n v="66393"/>
        <n v="71763"/>
        <n v="64243"/>
        <n v="66793"/>
        <n v="73850"/>
        <n v="75396"/>
        <n v="73528"/>
        <n v="69326"/>
        <n v="64677"/>
        <n v="74645"/>
        <n v="70569"/>
        <n v="66726"/>
        <n v="68793"/>
        <n v="66391"/>
        <n v="72739"/>
        <n v="70205"/>
        <n v="66674"/>
        <n v="73752"/>
        <n v="70742"/>
        <n v="72441"/>
        <n v="69334"/>
        <n v="67031"/>
        <n v="72937"/>
        <n v="72058"/>
        <n v="67241"/>
        <n v="75411"/>
        <n v="73637"/>
        <n v="65090"/>
        <n v="73541"/>
        <n v="65521"/>
        <n v="67480"/>
        <n v="67626"/>
        <n v="64708"/>
        <n v="67140"/>
        <n v="64224"/>
        <n v="64153"/>
        <n v="69131"/>
        <n v="65804"/>
        <n v="75226"/>
        <n v="66461"/>
        <n v="64472"/>
        <n v="70431"/>
        <n v="74145"/>
        <n v="66860"/>
        <n v="73330"/>
        <n v="71566"/>
        <n v="73455"/>
        <n v="65992"/>
        <n v="71998"/>
        <n v="66482"/>
        <n v="68514"/>
        <n v="74120"/>
        <n v="72644"/>
        <n v="65351"/>
        <n v="71094"/>
        <n v="71145"/>
        <n v="74088"/>
        <n v="65298"/>
        <n v="72127"/>
        <n v="74362"/>
        <n v="74040"/>
        <n v="68720"/>
        <n v="64008"/>
        <n v="72056"/>
        <n v="68271"/>
        <n v="71803"/>
        <n v="67258"/>
        <n v="71240"/>
        <n v="66392"/>
        <n v="75375"/>
        <n v="73430"/>
        <n v="65249"/>
        <n v="72894"/>
        <n v="71188"/>
        <n v="66841"/>
        <n v="66811"/>
        <n v="70048"/>
        <n v="71719"/>
        <n v="75066"/>
        <n v="70128"/>
        <n v="72207"/>
        <n v="73449"/>
        <n v="67256"/>
        <n v="69739"/>
        <n v="67481"/>
        <n v="64685"/>
        <n v="68256"/>
        <n v="67243"/>
        <n v="64650"/>
        <n v="74587"/>
        <n v="73065"/>
        <n v="73388"/>
        <n v="72905"/>
        <n v="73105"/>
        <n v="75624"/>
        <n v="67248"/>
        <n v="71451"/>
        <n v="73026"/>
        <n v="69927"/>
        <n v="75496"/>
        <n v="73147"/>
        <n v="64328"/>
        <n v="67533"/>
        <n v="67352"/>
        <n v="70826"/>
        <n v="71265"/>
        <n v="72882"/>
        <n v="73146"/>
        <n v="72190"/>
        <n v="67859"/>
        <n v="72021"/>
        <n v="66628"/>
        <n v="68686"/>
        <n v="73440"/>
        <n v="73721"/>
        <n v="67568"/>
        <n v="65232"/>
        <n v="72035"/>
        <n v="68286"/>
        <n v="75251"/>
        <n v="71046"/>
        <n v="75843"/>
        <n v="65100"/>
        <n v="72895"/>
        <n v="65594"/>
        <n v="71585"/>
        <n v="69302"/>
        <n v="66229"/>
        <n v="66914"/>
        <n v="70796"/>
        <n v="75149"/>
        <n v="69177"/>
        <n v="68900"/>
        <n v="70106"/>
        <n v="75020"/>
        <n v="69223"/>
        <n v="64943"/>
        <n v="66247"/>
        <n v="66465"/>
        <n v="75031"/>
        <n v="67848"/>
        <n v="64970"/>
        <n v="65483"/>
        <n v="67687"/>
        <n v="69480"/>
        <n v="64679"/>
        <n v="71109"/>
        <n v="75606"/>
        <n v="73402"/>
        <n v="73108"/>
        <n v="68005"/>
        <n v="64393"/>
        <n v="67642"/>
        <n v="69504"/>
        <n v="67395"/>
        <n v="74800"/>
        <n v="69727"/>
        <n v="71038"/>
        <n v="67316"/>
        <n v="72209"/>
        <n v="68326"/>
        <n v="74394"/>
        <n v="74934"/>
        <n v="74016"/>
        <n v="74218"/>
        <n v="68980"/>
        <n v="73700"/>
        <n v="65166"/>
        <n v="66534"/>
        <n v="73986"/>
        <n v="72566"/>
        <n v="66085"/>
        <n v="70577"/>
        <n v="66201"/>
        <n v="71070"/>
        <n v="70505"/>
        <n v="66621"/>
        <n v="67319"/>
        <n v="75260"/>
        <n v="74103"/>
        <n v="66625"/>
        <n v="71216"/>
        <n v="65857"/>
        <n v="71726"/>
        <n v="70775"/>
        <n v="65274"/>
        <n v="70811"/>
        <n v="75682"/>
        <n v="66337"/>
        <n v="68770"/>
        <n v="72412"/>
        <n v="73281"/>
        <n v="72234"/>
        <n v="67622"/>
        <n v="64117"/>
        <n v="72149"/>
        <n v="72697"/>
        <n v="72163"/>
        <n v="71040"/>
        <n v="75168"/>
        <n v="71348"/>
        <n v="66797"/>
        <n v="67671"/>
        <n v="66233"/>
        <n v="69255"/>
        <n v="66285"/>
        <n v="74350"/>
        <n v="67638"/>
        <n v="75201"/>
        <n v="67463"/>
        <n v="73887"/>
        <n v="73106"/>
        <n v="71577"/>
        <n v="66018"/>
        <n v="75362"/>
        <n v="73256"/>
        <n v="75406"/>
        <n v="67862"/>
        <n v="75767"/>
        <n v="70458"/>
        <n v="68306"/>
        <n v="71975"/>
        <n v="71528"/>
        <n v="74889"/>
        <n v="68529"/>
        <n v="73321"/>
        <n v="66262"/>
        <n v="75937"/>
        <n v="68614"/>
        <n v="65228"/>
        <n v="66795"/>
        <n v="67686"/>
        <n v="70647"/>
        <n v="71328"/>
        <n v="70717"/>
        <n v="66246"/>
        <n v="64104"/>
        <n v="73707"/>
        <n v="67826"/>
        <n v="67008"/>
        <n v="74586"/>
        <n v="67551"/>
        <n v="73580"/>
        <n v="75253"/>
        <n v="64062"/>
        <n v="72943"/>
        <n v="75206"/>
        <n v="72004"/>
        <n v="75854"/>
        <n v="67429"/>
        <n v="73385"/>
        <n v="75833"/>
        <n v="69958"/>
        <n v="65795"/>
        <n v="74079"/>
        <n v="70969"/>
        <n v="74150"/>
        <n v="70137"/>
        <n v="69975"/>
        <n v="70633"/>
        <n v="67476"/>
        <n v="69427"/>
        <n v="66508"/>
        <n v="75878"/>
        <n v="72556"/>
        <n v="75897"/>
        <n v="65116"/>
        <n v="67200"/>
        <n v="67794"/>
        <n v="70880"/>
        <n v="72287"/>
        <n v="72525"/>
        <n v="72182"/>
        <n v="70764"/>
        <n v="73979"/>
        <n v="69656"/>
        <n v="70628"/>
        <n v="71606"/>
        <n v="64489"/>
        <n v="66721"/>
        <n v="66266"/>
        <n v="73893"/>
        <n v="70829"/>
        <n v="69231"/>
        <n v="64349"/>
        <n v="71296"/>
        <n v="67755"/>
        <n v="72107"/>
        <n v="74524"/>
        <n v="65089"/>
        <n v="65296"/>
        <n v="72164"/>
        <n v="65769"/>
        <n v="74799"/>
        <n v="72452"/>
        <n v="70745"/>
        <n v="72986"/>
        <n v="68642"/>
        <n v="67119"/>
        <n v="65051"/>
        <n v="71096"/>
        <n v="70170"/>
        <n v="64721"/>
        <n v="74263"/>
        <n v="72616"/>
        <n v="70347"/>
        <n v="72267"/>
        <n v="65172"/>
        <n v="73157"/>
        <n v="73308"/>
        <n v="75404"/>
        <n v="66755"/>
        <n v="74897"/>
        <n v="66026"/>
        <n v="64704"/>
        <n v="70763"/>
        <n v="64660"/>
        <n v="75545"/>
        <n v="68859"/>
        <n v="68839"/>
        <n v="71460"/>
        <n v="65759"/>
        <n v="75312"/>
        <n v="72563"/>
        <n v="64982"/>
        <n v="67832"/>
        <n v="65906"/>
        <n v="71381"/>
        <n v="66527"/>
        <n v="65734"/>
        <n v="75463"/>
        <n v="65157"/>
        <n v="68814"/>
        <n v="75208"/>
        <n v="74310"/>
        <n v="64025"/>
        <n v="74569"/>
        <n v="67182"/>
        <n v="69956"/>
        <n v="70204"/>
        <n v="69295"/>
        <n v="70498"/>
        <n v="71142"/>
        <n v="73047"/>
        <n v="69324"/>
        <n v="65780"/>
        <n v="70146"/>
        <n v="74583"/>
        <n v="69961"/>
        <n v="73833"/>
        <n v="65111"/>
        <n v="70656"/>
        <n v="65724"/>
        <n v="69534"/>
        <n v="71661"/>
        <n v="67726"/>
        <n v="67432"/>
        <n v="66537"/>
        <n v="64516"/>
        <n v="67657"/>
        <n v="66215"/>
        <n v="64590"/>
        <n v="73558"/>
        <n v="70453"/>
        <n v="72033"/>
        <n v="72521"/>
        <n v="65276"/>
        <n v="71137"/>
        <n v="69644"/>
        <n v="67691"/>
        <n v="65400"/>
        <n v="75609"/>
        <n v="70475"/>
        <n v="71764"/>
        <n v="75405"/>
        <n v="72250"/>
        <n v="71299"/>
        <n v="74558"/>
        <n v="64775"/>
        <n v="68428"/>
        <n v="75916"/>
        <n v="68596"/>
        <n v="69798"/>
        <n v="71480"/>
        <n v="73617"/>
        <n v="64139"/>
        <n v="64501"/>
        <n v="73778"/>
        <n v="65191"/>
        <n v="66646"/>
        <n v="64502"/>
        <n v="64727"/>
        <n v="75085"/>
        <n v="71163"/>
        <n v="74200"/>
        <n v="66073"/>
        <n v="70918"/>
        <n v="72470"/>
        <n v="69596"/>
        <n v="75841"/>
        <n v="69797"/>
        <n v="75267"/>
        <n v="66268"/>
        <n v="70257"/>
        <n v="75979"/>
        <n v="72617"/>
        <n v="66435"/>
        <n v="67252"/>
        <n v="72639"/>
        <n v="72495"/>
        <n v="68758"/>
        <n v="65794"/>
        <n v="65793"/>
        <n v="66870"/>
        <n v="67042"/>
        <n v="72664"/>
        <n v="73000"/>
        <n v="73900"/>
        <n v="74612"/>
        <n v="64292"/>
        <n v="70318"/>
        <n v="66012"/>
        <n v="75752"/>
        <n v="66064"/>
        <n v="69512"/>
        <n v="74168"/>
        <n v="75803"/>
        <n v="70164"/>
        <n v="67050"/>
        <n v="69932"/>
        <n v="64959"/>
        <n v="72304"/>
        <n v="71232"/>
        <n v="71498"/>
        <n v="74400"/>
        <n v="64119"/>
        <n v="68756"/>
        <n v="66132"/>
        <n v="64750"/>
        <n v="74846"/>
        <n v="71807"/>
        <n v="68408"/>
        <n v="66969"/>
        <n v="72991"/>
        <n v="66345"/>
        <n v="64212"/>
        <n v="74021"/>
        <n v="65621"/>
        <n v="69628"/>
        <n v="66922"/>
        <n v="68057"/>
        <n v="71430"/>
        <n v="70545"/>
        <n v="65630"/>
        <n v="64108"/>
        <n v="71057"/>
        <n v="71822"/>
        <n v="73254"/>
        <n v="75542"/>
        <n v="71419"/>
        <n v="70893"/>
        <n v="74147"/>
        <n v="74998"/>
        <n v="72395"/>
        <n v="69143"/>
        <n v="70667"/>
        <n v="75598"/>
        <n v="73958"/>
        <n v="71245"/>
        <n v="65181"/>
        <n v="74545"/>
        <n v="74854"/>
        <n v="75169"/>
        <n v="73642"/>
        <n v="68737"/>
        <n v="65747"/>
        <n v="67427"/>
        <n v="71118"/>
        <n v="74978"/>
        <n v="71960"/>
        <n v="72718"/>
        <n v="70511"/>
        <n v="66448"/>
        <n v="68701"/>
        <n v="65148"/>
        <n v="68344"/>
        <n v="64954"/>
        <n v="75021"/>
        <n v="66038"/>
        <n v="64152"/>
        <n v="65050"/>
        <n v="73691"/>
        <n v="64886"/>
        <n v="74729"/>
        <n v="72864"/>
        <n v="75903"/>
        <n v="64883"/>
        <n v="66306"/>
        <n v="69279"/>
        <n v="70695"/>
        <n v="72869"/>
        <n v="64335"/>
        <n v="69812"/>
        <n v="73785"/>
        <n v="72200"/>
        <n v="69633"/>
        <n v="68530"/>
        <n v="73031"/>
        <n v="66956"/>
        <n v="67509"/>
        <n v="74237"/>
        <n v="70242"/>
        <n v="71323"/>
        <n v="67354"/>
        <n v="69054"/>
        <n v="73148"/>
        <n v="74531"/>
        <n v="68171"/>
        <n v="72786"/>
        <n v="67783"/>
        <n v="73018"/>
        <n v="67947"/>
        <n v="64790"/>
        <n v="71908"/>
        <n v="64932"/>
        <n v="71205"/>
        <n v="74598"/>
        <n v="75163"/>
        <n v="73847"/>
        <n v="74429"/>
        <n v="74482"/>
        <n v="74577"/>
        <n v="72778"/>
        <n v="66994"/>
        <n v="69842"/>
        <n v="65623"/>
        <n v="70271"/>
        <n v="68329"/>
        <n v="66212"/>
        <n v="65065"/>
        <n v="66284"/>
        <n v="72817"/>
        <n v="69516"/>
        <n v="69810"/>
        <n v="75454"/>
        <n v="68521"/>
        <n v="71541"/>
        <n v="73766"/>
        <n v="68331"/>
        <n v="73912"/>
        <n v="72690"/>
        <n v="74700"/>
        <n v="65802"/>
        <n v="69016"/>
        <n v="67865"/>
        <n v="72773"/>
        <n v="72629"/>
        <n v="67061"/>
        <n v="66882"/>
        <n v="69032"/>
        <n v="71672"/>
        <n v="69417"/>
        <n v="65720"/>
        <n v="68066"/>
        <n v="72513"/>
        <n v="73094"/>
        <n v="75632"/>
        <n v="71255"/>
        <n v="69431"/>
        <n v="68560"/>
        <n v="65553"/>
        <n v="67966"/>
        <n v="72454"/>
        <n v="70377"/>
        <n v="67799"/>
        <n v="65908"/>
        <n v="66172"/>
        <n v="74302"/>
        <n v="75505"/>
        <n v="72254"/>
        <n v="75858"/>
        <n v="67324"/>
        <n v="71411"/>
        <n v="67446"/>
        <n v="73459"/>
        <n v="64705"/>
        <n v="65208"/>
        <n v="67837"/>
        <n v="67269"/>
        <n v="70143"/>
        <n v="64114"/>
        <n v="75498"/>
        <n v="66714"/>
        <n v="71536"/>
        <n v="69811"/>
        <n v="74764"/>
        <n v="67201"/>
        <n v="64051"/>
        <n v="66799"/>
        <n v="68154"/>
        <n v="66500"/>
        <n v="71329"/>
        <n v="68771"/>
        <n v="71784"/>
        <n v="66873"/>
        <n v="71805"/>
        <n v="73122"/>
        <n v="70185"/>
        <n v="75566"/>
        <n v="75309"/>
        <n v="70544"/>
        <n v="66744"/>
        <n v="67727"/>
        <n v="72413"/>
        <n v="71243"/>
        <n v="67305"/>
        <n v="64270"/>
        <n v="74737"/>
        <n v="72183"/>
        <n v="71335"/>
        <n v="75177"/>
        <n v="69070"/>
        <n v="68050"/>
        <n v="72003"/>
        <n v="74004"/>
        <n v="70227"/>
        <n v="71836"/>
        <n v="66162"/>
        <n v="75873"/>
        <n v="69906"/>
        <n v="73151"/>
        <n v="74634"/>
        <n v="75229"/>
        <n v="68173"/>
        <n v="68896"/>
        <n v="73127"/>
        <n v="74748"/>
        <n v="69987"/>
        <n v="75771"/>
        <n v="65710"/>
        <n v="64969"/>
        <n v="67344"/>
        <n v="65162"/>
        <n v="70788"/>
        <n v="67911"/>
        <n v="73382"/>
        <n v="74868"/>
        <n v="73904"/>
        <n v="74224"/>
        <n v="71699"/>
        <n v="72798"/>
        <n v="65995"/>
        <n v="64440"/>
        <n v="70126"/>
        <n v="72440"/>
        <n v="69733"/>
        <n v="65930"/>
        <n v="73091"/>
        <n v="68702"/>
        <n v="70844"/>
        <n v="64558"/>
        <n v="66889"/>
        <n v="67228"/>
        <n v="68240"/>
        <n v="71979"/>
        <n v="69817"/>
        <n v="70076"/>
        <n v="71521"/>
        <n v="73934"/>
        <n v="64278"/>
        <n v="65254"/>
        <n v="64692"/>
        <n v="72941"/>
        <n v="65577"/>
        <n v="71572"/>
        <n v="66690"/>
        <n v="67696"/>
        <n v="75623"/>
        <n v="66857"/>
        <n v="72875"/>
        <n v="64906"/>
        <n v="71308"/>
        <n v="70753"/>
        <n v="73490"/>
        <n v="74910"/>
        <n v="73885"/>
        <n v="68950"/>
        <n v="75262"/>
        <n v="65624"/>
        <n v="75450"/>
        <n v="66881"/>
        <n v="68809"/>
        <n v="75477"/>
        <n v="73920"/>
        <n v="64254"/>
        <n v="74123"/>
        <n v="66152"/>
        <n v="74763"/>
        <n v="73252"/>
        <n v="73636"/>
        <n v="64701"/>
        <n v="72795"/>
        <n v="72927"/>
        <n v="67350"/>
        <n v="64339"/>
        <n v="67612"/>
        <n v="74650"/>
        <n v="67539"/>
        <n v="69250"/>
        <n v="74306"/>
        <n v="69433"/>
        <n v="69502"/>
        <n v="70181"/>
        <n v="68699"/>
        <n v="74690"/>
        <n v="64986"/>
        <n v="73209"/>
        <n v="72344"/>
        <n v="75636"/>
        <n v="69921"/>
        <n v="64291"/>
        <n v="70401"/>
        <n v="68463"/>
        <n v="74222"/>
        <n v="70161"/>
        <n v="70452"/>
        <n v="73262"/>
        <n v="68628"/>
        <n v="64856"/>
        <n v="73532"/>
        <n v="72314"/>
        <n v="73292"/>
        <n v="66221"/>
        <n v="75354"/>
        <n v="71602"/>
        <n v="69901"/>
        <n v="68305"/>
        <n v="75742"/>
        <n v="69765"/>
        <n v="72179"/>
        <n v="64998"/>
        <n v="72680"/>
        <n v="73548"/>
        <n v="71262"/>
        <n v="75780"/>
        <n v="64795"/>
        <n v="74694"/>
        <n v="70581"/>
        <n v="73372"/>
        <n v="70358"/>
        <n v="69077"/>
        <n v="64260"/>
        <n v="65673"/>
        <n v="67198"/>
        <n v="70163"/>
        <n v="71837"/>
        <n v="68069"/>
        <n v="65457"/>
        <n v="74487"/>
        <n v="67268"/>
        <n v="68864"/>
        <n v="70066"/>
        <n v="72222"/>
        <n v="65316"/>
        <n v="65643"/>
        <n v="75630"/>
        <n v="66809"/>
        <n v="69011"/>
        <n v="66270"/>
        <n v="70090"/>
        <n v="75172"/>
        <n v="67152"/>
        <n v="71976"/>
        <n v="71259"/>
        <n v="70884"/>
        <n v="68245"/>
        <n v="66959"/>
        <n v="74340"/>
        <n v="68797"/>
        <n v="67777"/>
        <n v="69840"/>
        <n v="71978"/>
        <n v="71724"/>
        <n v="68302"/>
        <n v="67652"/>
        <n v="71791"/>
        <n v="70276"/>
        <n v="75827"/>
        <n v="65189"/>
        <n v="75525"/>
        <n v="67549"/>
        <n v="71288"/>
        <n v="68668"/>
        <n v="66134"/>
        <n v="73104"/>
        <n v="71123"/>
        <n v="72715"/>
        <n v="75980"/>
        <n v="73489"/>
        <n v="68002"/>
        <n v="65504"/>
        <n v="73194"/>
        <n v="75310"/>
        <n v="67279"/>
        <n v="67721"/>
        <n v="65145"/>
        <n v="74465"/>
        <n v="68012"/>
        <n v="74008"/>
        <n v="65374"/>
        <n v="68717"/>
        <n v="66828"/>
        <n v="67253"/>
        <n v="72172"/>
        <n v="66189"/>
        <n v="73322"/>
        <n v="68742"/>
        <n v="68265"/>
        <n v="73722"/>
        <n v="71842"/>
        <n v="68981"/>
        <n v="64129"/>
        <n v="66174"/>
        <n v="72306"/>
        <n v="67574"/>
        <n v="65196"/>
        <n v="69736"/>
        <n v="67742"/>
        <n v="64135"/>
        <n v="75158"/>
        <n v="70883"/>
        <n v="67868"/>
        <n v="73450"/>
        <n v="68462"/>
        <n v="74288"/>
        <m/>
      </sharedItems>
    </cacheField>
    <cacheField name="Shipping_Index" numFmtId="0">
      <sharedItems containsString="0" containsBlank="1" containsNumber="1" minValue="900.13" maxValue="1799.37" count="1984">
        <n v="998.19"/>
        <n v="1719.26"/>
        <n v="982.12"/>
        <n v="1584.58"/>
        <n v="1625.46"/>
        <n v="1564.21"/>
        <n v="1473.96"/>
        <n v="1010.04"/>
        <n v="966.86"/>
        <n v="1635.81"/>
        <n v="1758.34"/>
        <n v="1787.51"/>
        <n v="1242.01"/>
        <n v="1462.05"/>
        <n v="1103.22"/>
        <n v="1357.24"/>
        <n v="1458.84"/>
        <n v="1567.79"/>
        <n v="925.65"/>
        <n v="974.14"/>
        <n v="1645.42"/>
        <n v="1151.83"/>
        <n v="1698.13"/>
        <n v="1453.97"/>
        <n v="1169.1300000000001"/>
        <n v="1535.86"/>
        <n v="1749.89"/>
        <n v="1265.1199999999999"/>
        <n v="1300.79"/>
        <n v="1569.21"/>
        <n v="1350.5"/>
        <n v="1705.22"/>
        <n v="983.07"/>
        <n v="1471.36"/>
        <n v="1696.87"/>
        <n v="932.48"/>
        <n v="1202.3900000000001"/>
        <n v="1126.3599999999999"/>
        <n v="1683.38"/>
        <n v="1668.04"/>
        <n v="1556.23"/>
        <n v="1398.75"/>
        <n v="1328.99"/>
        <n v="1515.32"/>
        <n v="1125.47"/>
        <n v="1640.93"/>
        <n v="1472.66"/>
        <n v="1545.48"/>
        <n v="1028.56"/>
        <n v="1330.1"/>
        <n v="1032.45"/>
        <n v="1158.21"/>
        <n v="1622.63"/>
        <n v="1463.18"/>
        <n v="1088.24"/>
        <n v="1231.8499999999999"/>
        <n v="1130.03"/>
        <n v="1402.14"/>
        <n v="1453.59"/>
        <n v="1621.98"/>
        <n v="936.45"/>
        <n v="1404.84"/>
        <n v="1284.48"/>
        <n v="1212.1199999999999"/>
        <n v="1546.11"/>
        <n v="1707.07"/>
        <n v="1337.19"/>
        <n v="1715.47"/>
        <n v="1479.69"/>
        <n v="1295.5"/>
        <n v="1485.75"/>
        <n v="1160.7"/>
        <n v="906.34"/>
        <n v="1031.75"/>
        <n v="1406.98"/>
        <n v="1491.86"/>
        <n v="1523.35"/>
        <n v="1449.99"/>
        <n v="1151.6500000000001"/>
        <n v="1424.56"/>
        <n v="1030.3599999999999"/>
        <n v="1291.49"/>
        <n v="1351.79"/>
        <n v="1090.3599999999999"/>
        <n v="1711.43"/>
        <n v="1602.24"/>
        <n v="1551.51"/>
        <n v="1611.9"/>
        <n v="1686.96"/>
        <n v="1276.6099999999999"/>
        <n v="1683.29"/>
        <n v="1300.3699999999999"/>
        <n v="1109.5"/>
        <n v="1729.73"/>
        <n v="1233.68"/>
        <n v="1107.9100000000001"/>
        <n v="959.67"/>
        <n v="1507.4"/>
        <n v="1348.03"/>
        <n v="1529.24"/>
        <n v="1643.1"/>
        <n v="1732.73"/>
        <n v="1301.6199999999999"/>
        <n v="1423.05"/>
        <n v="1632.28"/>
        <n v="1785.89"/>
        <n v="1251.43"/>
        <n v="1161.6500000000001"/>
        <n v="1445.9"/>
        <n v="1106.1099999999999"/>
        <n v="1478.67"/>
        <n v="1145.42"/>
        <n v="1238.57"/>
        <n v="1028.8599999999999"/>
        <n v="1637.74"/>
        <n v="1392.96"/>
        <n v="1433.58"/>
        <n v="1798.83"/>
        <n v="1793.59"/>
        <n v="902.78"/>
        <n v="1195.1099999999999"/>
        <n v="1145.74"/>
        <n v="1331.98"/>
        <n v="1517.32"/>
        <n v="1519.06"/>
        <n v="1663.08"/>
        <n v="1618.9"/>
        <n v="921.66"/>
        <n v="1486.75"/>
        <n v="1439.8"/>
        <n v="1478.07"/>
        <n v="1133.95"/>
        <n v="973.66"/>
        <n v="1112.8599999999999"/>
        <n v="1006.22"/>
        <n v="1324.28"/>
        <n v="1549.54"/>
        <n v="1417.1"/>
        <n v="947.33"/>
        <n v="1454.91"/>
        <n v="1721.26"/>
        <n v="943.03"/>
        <n v="1305.3599999999999"/>
        <n v="1386.77"/>
        <n v="1255.33"/>
        <n v="1543.65"/>
        <n v="1509.53"/>
        <n v="1543.08"/>
        <n v="1702.5"/>
        <n v="1530.69"/>
        <n v="947.4"/>
        <n v="1168.77"/>
        <n v="1689.34"/>
        <n v="1599.5"/>
        <n v="1023.43"/>
        <n v="1794.13"/>
        <n v="1535.48"/>
        <n v="1572.9"/>
        <n v="1359.71"/>
        <n v="1399.69"/>
        <n v="1595.03"/>
        <n v="1305.08"/>
        <n v="1046.6600000000001"/>
        <n v="1383.64"/>
        <n v="1360.15"/>
        <n v="1141.58"/>
        <n v="921.98"/>
        <n v="1710.54"/>
        <n v="1712.36"/>
        <n v="1374.33"/>
        <n v="1137.0899999999999"/>
        <n v="1682.56"/>
        <n v="1314.45"/>
        <n v="1659.62"/>
        <n v="1390.12"/>
        <n v="1207.2"/>
        <n v="1785.82"/>
        <n v="1061.78"/>
        <n v="1140.57"/>
        <n v="1279.17"/>
        <n v="1450.11"/>
        <n v="1102.32"/>
        <n v="1467.75"/>
        <n v="1744.62"/>
        <n v="1499.02"/>
        <n v="1613.45"/>
        <n v="1711.91"/>
        <n v="1381.41"/>
        <n v="1393.98"/>
        <n v="906.73"/>
        <n v="1439.14"/>
        <n v="1561.99"/>
        <n v="1799.06"/>
        <n v="1343.95"/>
        <n v="1776.33"/>
        <n v="1072.8"/>
        <n v="1773.43"/>
        <n v="1528.57"/>
        <n v="1624.29"/>
        <n v="1380.06"/>
        <n v="1253.6300000000001"/>
        <n v="1700.9"/>
        <n v="1376.26"/>
        <n v="1202.52"/>
        <n v="1693.21"/>
        <n v="1377.9"/>
        <n v="1147.52"/>
        <n v="1165.29"/>
        <n v="1245.5"/>
        <n v="1604.41"/>
        <n v="927.05"/>
        <n v="1733.9"/>
        <n v="1326.59"/>
        <n v="1411.63"/>
        <n v="1076.32"/>
        <n v="1135.4100000000001"/>
        <n v="1428.4"/>
        <n v="1263.1600000000001"/>
        <n v="1181.73"/>
        <n v="1795.61"/>
        <n v="984.41"/>
        <n v="1267.47"/>
        <n v="1580.16"/>
        <n v="1298.97"/>
        <n v="1548.75"/>
        <n v="1517.16"/>
        <n v="948.04"/>
        <n v="1524.58"/>
        <n v="1431.09"/>
        <n v="1085.9100000000001"/>
        <n v="954.54"/>
        <n v="1480.47"/>
        <n v="1662.44"/>
        <n v="1430.34"/>
        <n v="1165.08"/>
        <n v="1670.09"/>
        <n v="1374.93"/>
        <n v="1072.47"/>
        <n v="1665.66"/>
        <n v="1317.51"/>
        <n v="1078.25"/>
        <n v="1075.98"/>
        <n v="1052.92"/>
        <n v="1309.76"/>
        <n v="935.62"/>
        <n v="1523.27"/>
        <n v="1273.8900000000001"/>
        <n v="1241.75"/>
        <n v="1043.1400000000001"/>
        <n v="1358.57"/>
        <n v="1584.09"/>
        <n v="1656.16"/>
        <n v="1521.16"/>
        <n v="1434.15"/>
        <n v="1484.53"/>
        <n v="1737.89"/>
        <n v="1373.28"/>
        <n v="1514.91"/>
        <n v="904.18"/>
        <n v="1595.91"/>
        <n v="903.09"/>
        <n v="1101.19"/>
        <n v="1351.27"/>
        <n v="1760.56"/>
        <n v="1156.71"/>
        <n v="1471.18"/>
        <n v="1783.97"/>
        <n v="1723.84"/>
        <n v="1706.3"/>
        <n v="996.19"/>
        <n v="1739.67"/>
        <n v="1491.79"/>
        <n v="1146.19"/>
        <n v="1226.4000000000001"/>
        <n v="1663.67"/>
        <n v="1222.9100000000001"/>
        <n v="1070.7"/>
        <n v="1476.23"/>
        <n v="1627.23"/>
        <n v="1238.5"/>
        <n v="919.65"/>
        <n v="1683.82"/>
        <n v="924.17"/>
        <n v="1176.77"/>
        <n v="1787.23"/>
        <n v="1054.2"/>
        <n v="1709.89"/>
        <n v="1237.3800000000001"/>
        <n v="928.7"/>
        <n v="1443.43"/>
        <n v="1302.94"/>
        <n v="1097.1500000000001"/>
        <n v="936.87"/>
        <n v="1302.93"/>
        <n v="1099.3699999999999"/>
        <n v="1448.66"/>
        <n v="987.9"/>
        <n v="1438.91"/>
        <n v="1024.03"/>
        <n v="1524.67"/>
        <n v="945.4"/>
        <n v="933.65"/>
        <n v="1215.03"/>
        <n v="1130.77"/>
        <n v="1309.25"/>
        <n v="1406.61"/>
        <n v="1682.03"/>
        <n v="1197.0999999999999"/>
        <n v="1585.43"/>
        <n v="1099.3499999999999"/>
        <n v="1042.68"/>
        <n v="1209.67"/>
        <n v="1119.6099999999999"/>
        <n v="1073.02"/>
        <n v="1025.6500000000001"/>
        <n v="1194.0899999999999"/>
        <n v="1402.87"/>
        <n v="1180.76"/>
        <n v="1202.72"/>
        <n v="1219.67"/>
        <n v="1223.46"/>
        <n v="1707.77"/>
        <n v="1557.7"/>
        <n v="1137.8900000000001"/>
        <n v="1773.44"/>
        <n v="967.21"/>
        <n v="1713.56"/>
        <n v="1798.59"/>
        <n v="1133.57"/>
        <n v="1652.98"/>
        <n v="1737.37"/>
        <n v="1307.43"/>
        <n v="1558.1"/>
        <n v="1798.39"/>
        <n v="1639.79"/>
        <n v="1307.6500000000001"/>
        <n v="1355.28"/>
        <n v="934.66"/>
        <n v="1343.51"/>
        <n v="1016.93"/>
        <n v="1776.01"/>
        <n v="993.64"/>
        <n v="1387.31"/>
        <n v="1719.55"/>
        <n v="1300.97"/>
        <n v="1291.8599999999999"/>
        <n v="1626.57"/>
        <n v="1766.26"/>
        <n v="1793.94"/>
        <n v="1050.5899999999999"/>
        <n v="1147.24"/>
        <n v="1659.44"/>
        <n v="1096.6099999999999"/>
        <n v="937.42"/>
        <n v="1465.47"/>
        <n v="1702.93"/>
        <n v="1650.52"/>
        <n v="1422.01"/>
        <n v="1632.67"/>
        <n v="952.18"/>
        <n v="1767.63"/>
        <n v="1688.31"/>
        <n v="1706.87"/>
        <n v="1544.1"/>
        <n v="1427.57"/>
        <n v="1335.23"/>
        <n v="903.66"/>
        <n v="1651.77"/>
        <n v="1663.83"/>
        <n v="1065.42"/>
        <n v="1559.83"/>
        <n v="1130.8399999999999"/>
        <n v="972.91"/>
        <n v="1241.6300000000001"/>
        <n v="1251.76"/>
        <n v="1053.71"/>
        <n v="1259.58"/>
        <n v="1075.3499999999999"/>
        <n v="1200.1600000000001"/>
        <n v="1463.88"/>
        <n v="942.56"/>
        <n v="1700.79"/>
        <n v="941.73"/>
        <n v="1399.97"/>
        <n v="1682.94"/>
        <n v="947.74"/>
        <n v="1089.5"/>
        <n v="1216.23"/>
        <n v="1269.45"/>
        <n v="1362.74"/>
        <n v="1469.26"/>
        <n v="1756.26"/>
        <n v="1550.05"/>
        <n v="1484.75"/>
        <n v="1470.85"/>
        <n v="1452.18"/>
        <n v="1560.56"/>
        <n v="1605.65"/>
        <n v="1099.25"/>
        <n v="1393.7"/>
        <n v="913.73"/>
        <n v="995.98"/>
        <n v="1412.63"/>
        <n v="1772.8"/>
        <n v="1318.95"/>
        <n v="1030.57"/>
        <n v="1056.33"/>
        <n v="1492.42"/>
        <n v="1041.49"/>
        <n v="1228.8699999999999"/>
        <n v="1658.07"/>
        <n v="1403.56"/>
        <n v="977.32"/>
        <n v="1693.6"/>
        <n v="1728.41"/>
        <n v="1431.97"/>
        <n v="1679.39"/>
        <n v="1613.85"/>
        <n v="1271.4000000000001"/>
        <n v="1631.9"/>
        <n v="1686.11"/>
        <n v="1233.58"/>
        <n v="1130.9100000000001"/>
        <n v="1268.24"/>
        <n v="1066.27"/>
        <n v="1563.39"/>
        <n v="1442.26"/>
        <n v="1122.45"/>
        <n v="1673.03"/>
        <n v="1234.42"/>
        <n v="1409.06"/>
        <n v="1740.95"/>
        <n v="1217.1500000000001"/>
        <n v="1430.44"/>
        <n v="1031.6099999999999"/>
        <n v="1573.45"/>
        <n v="1547.12"/>
        <n v="1505.46"/>
        <n v="1358.46"/>
        <n v="1554.97"/>
        <n v="1417.21"/>
        <n v="1786.84"/>
        <n v="1022.14"/>
        <n v="907.66"/>
        <n v="1184.73"/>
        <n v="1713.77"/>
        <n v="1610.78"/>
        <n v="1391.65"/>
        <n v="1111.5"/>
        <n v="1610.67"/>
        <n v="1519.87"/>
        <n v="1752.6"/>
        <n v="981.84"/>
        <n v="1153.48"/>
        <n v="1109.28"/>
        <n v="1727.85"/>
        <n v="1669.57"/>
        <n v="1178.79"/>
        <n v="1282.44"/>
        <n v="1387.74"/>
        <n v="1302.42"/>
        <n v="1121.1600000000001"/>
        <n v="1796.54"/>
        <n v="1095.05"/>
        <n v="1659.88"/>
        <n v="997.97"/>
        <n v="1125.97"/>
        <n v="962.68"/>
        <n v="1799.37"/>
        <n v="1247.5899999999999"/>
        <n v="999.98"/>
        <n v="1428.84"/>
        <n v="1188.78"/>
        <n v="984.2"/>
        <n v="1360.56"/>
        <n v="1344.4"/>
        <n v="1660.71"/>
        <n v="944.7"/>
        <n v="1046.76"/>
        <n v="1744.32"/>
        <n v="955.19"/>
        <n v="1621.51"/>
        <n v="990.22"/>
        <n v="1758.36"/>
        <n v="908.96"/>
        <n v="1215.3800000000001"/>
        <n v="1030.8599999999999"/>
        <n v="1640.89"/>
        <n v="1164.19"/>
        <n v="924.26"/>
        <n v="1596.01"/>
        <n v="1604.69"/>
        <n v="1506.3"/>
        <n v="1231.73"/>
        <n v="1684.14"/>
        <n v="1763.03"/>
        <n v="1726.72"/>
        <n v="1691.33"/>
        <n v="1394.67"/>
        <n v="1400.98"/>
        <n v="959.05"/>
        <n v="966.82"/>
        <n v="1580.03"/>
        <n v="1462.91"/>
        <n v="1540.98"/>
        <n v="1537.75"/>
        <n v="1513.89"/>
        <n v="1361.77"/>
        <n v="984.08"/>
        <n v="1143.68"/>
        <n v="1029.1300000000001"/>
        <n v="1383.07"/>
        <n v="1277.49"/>
        <n v="1689.5"/>
        <n v="1586.43"/>
        <n v="1106.1199999999999"/>
        <n v="1047.6099999999999"/>
        <n v="1408.24"/>
        <n v="1522.22"/>
        <n v="1546.82"/>
        <n v="1068.42"/>
        <n v="1763.99"/>
        <n v="1004.99"/>
        <n v="1569.84"/>
        <n v="933.2"/>
        <n v="1443.19"/>
        <n v="1090.43"/>
        <n v="1524.19"/>
        <n v="1557.65"/>
        <n v="1497.04"/>
        <n v="1252.6600000000001"/>
        <n v="1600.09"/>
        <n v="1596.37"/>
        <n v="1557.56"/>
        <n v="944.91"/>
        <n v="1345.1"/>
        <n v="1140.81"/>
        <n v="1591.05"/>
        <n v="1510.56"/>
        <n v="1736.76"/>
        <n v="1229.43"/>
        <n v="1538.67"/>
        <n v="1789.32"/>
        <n v="1796.28"/>
        <n v="1124.56"/>
        <n v="1142.3399999999999"/>
        <n v="1508.55"/>
        <n v="1713.65"/>
        <n v="1770.51"/>
        <n v="1521.33"/>
        <n v="906.78"/>
        <n v="1339.55"/>
        <n v="980.42"/>
        <n v="1295.6300000000001"/>
        <n v="1033.73"/>
        <n v="1776.55"/>
        <n v="1367.34"/>
        <n v="1333.9"/>
        <n v="1440.4"/>
        <n v="1146.54"/>
        <n v="1098.53"/>
        <n v="1414.68"/>
        <n v="1231.8800000000001"/>
        <n v="1025.8800000000001"/>
        <n v="1190.77"/>
        <n v="1404.21"/>
        <n v="1218.76"/>
        <n v="1021.48"/>
        <n v="1061.93"/>
        <n v="1785.88"/>
        <n v="1450.88"/>
        <n v="1142.53"/>
        <n v="1605.22"/>
        <n v="1595.93"/>
        <n v="1752.36"/>
        <n v="1097.31"/>
        <n v="1314.59"/>
        <n v="1607.29"/>
        <n v="1789.42"/>
        <n v="1591.41"/>
        <n v="1732.22"/>
        <n v="1730.39"/>
        <n v="1338.11"/>
        <n v="925.26"/>
        <n v="1772.59"/>
        <n v="1176.74"/>
        <n v="1503.7"/>
        <n v="1651.83"/>
        <n v="1712.58"/>
        <n v="1383.08"/>
        <n v="990.6"/>
        <n v="1654.42"/>
        <n v="1482.99"/>
        <n v="1301.28"/>
        <n v="1046.6199999999999"/>
        <n v="1137.69"/>
        <n v="1011.68"/>
        <n v="1218.78"/>
        <n v="1133.47"/>
        <n v="989.72"/>
        <n v="1706.05"/>
        <n v="911.67"/>
        <n v="1001.74"/>
        <n v="964.71"/>
        <n v="1409.04"/>
        <n v="1580.97"/>
        <n v="1469.1"/>
        <n v="1029.75"/>
        <n v="1659.11"/>
        <n v="1528.56"/>
        <n v="1771.03"/>
        <n v="1667.18"/>
        <n v="1349.86"/>
        <n v="1793.6"/>
        <n v="1269.94"/>
        <n v="1144.02"/>
        <n v="1736.12"/>
        <n v="1406.37"/>
        <n v="1561.41"/>
        <n v="1612.23"/>
        <n v="1066.42"/>
        <n v="1027.7"/>
        <n v="1270.1600000000001"/>
        <n v="1565.82"/>
        <n v="1343.02"/>
        <n v="1037.25"/>
        <n v="1728.76"/>
        <n v="1541.75"/>
        <n v="1116.7"/>
        <n v="977.11"/>
        <n v="938.63"/>
        <n v="1339.11"/>
        <n v="1146.23"/>
        <n v="1515.84"/>
        <n v="1524.79"/>
        <n v="1785.61"/>
        <n v="1733.59"/>
        <n v="1775.92"/>
        <n v="1439.91"/>
        <n v="1535.36"/>
        <n v="1051.3699999999999"/>
        <n v="1090.9100000000001"/>
        <n v="1787.72"/>
        <n v="1172.27"/>
        <n v="1737.08"/>
        <n v="1341.63"/>
        <n v="1745.13"/>
        <n v="1307.21"/>
        <n v="1552.69"/>
        <n v="1402.29"/>
        <n v="1259.3"/>
        <n v="1611.03"/>
        <n v="1017.39"/>
        <n v="1205.71"/>
        <n v="1102.74"/>
        <n v="1751.97"/>
        <n v="1687.41"/>
        <n v="1179.03"/>
        <n v="1236.57"/>
        <n v="1420.83"/>
        <n v="1594.27"/>
        <n v="1763.87"/>
        <n v="1528.52"/>
        <n v="984.93"/>
        <n v="1333.22"/>
        <n v="1367.38"/>
        <n v="972.76"/>
        <n v="974.4"/>
        <n v="1243.58"/>
        <n v="1305.8"/>
        <n v="1080.71"/>
        <n v="1205.52"/>
        <n v="1377.38"/>
        <n v="1536.73"/>
        <n v="1598.91"/>
        <n v="1425.28"/>
        <n v="1515.61"/>
        <n v="1661.47"/>
        <n v="1728.7"/>
        <n v="1158.8900000000001"/>
        <n v="1249.97"/>
        <n v="1613.82"/>
        <n v="1281.1600000000001"/>
        <n v="1582.1"/>
        <n v="1321.1"/>
        <n v="1026.5999999999999"/>
        <n v="1057.57"/>
        <n v="1770.58"/>
        <n v="941.25"/>
        <n v="1335.4"/>
        <n v="1638.26"/>
        <n v="1304.0899999999999"/>
        <n v="1598.25"/>
        <n v="1586.07"/>
        <n v="1558.72"/>
        <n v="1796.91"/>
        <n v="1734.26"/>
        <n v="1401.42"/>
        <n v="1166.78"/>
        <n v="1279.08"/>
        <n v="1353.33"/>
        <n v="933.72"/>
        <n v="1168.22"/>
        <n v="1524.2"/>
        <n v="1220.8399999999999"/>
        <n v="1074.81"/>
        <n v="900.13"/>
        <n v="1268.26"/>
        <n v="1073.74"/>
        <n v="1536.49"/>
        <n v="1707.2"/>
        <n v="1120.3599999999999"/>
        <n v="1034.6600000000001"/>
        <n v="1022.73"/>
        <n v="1588.15"/>
        <n v="914.03"/>
        <n v="1093.67"/>
        <n v="1440.45"/>
        <n v="1275.3"/>
        <n v="1610.06"/>
        <n v="919.97"/>
        <n v="944.01"/>
        <n v="1069.6600000000001"/>
        <n v="1035.42"/>
        <n v="1102.46"/>
        <n v="1125.25"/>
        <n v="1425.53"/>
        <n v="1763.91"/>
        <n v="1295.19"/>
        <n v="1463.69"/>
        <n v="1302.22"/>
        <n v="1224.3900000000001"/>
        <n v="1104.57"/>
        <n v="1303.1099999999999"/>
        <n v="1519.47"/>
        <n v="980.21"/>
        <n v="1124.6600000000001"/>
        <n v="964.45"/>
        <n v="1125.95"/>
        <n v="1506.29"/>
        <n v="1404.52"/>
        <n v="1393.73"/>
        <n v="1419.97"/>
        <n v="993.52"/>
        <n v="964.35"/>
        <n v="1423.57"/>
        <n v="1074.4000000000001"/>
        <n v="927.44"/>
        <n v="1528.05"/>
        <n v="1597.45"/>
        <n v="1698.26"/>
        <n v="1078.17"/>
        <n v="1449.72"/>
        <n v="1557.74"/>
        <n v="1020.97"/>
        <n v="934.1"/>
        <n v="918.72"/>
        <n v="1596.7"/>
        <n v="1283.6099999999999"/>
        <n v="1406.56"/>
        <n v="1668.79"/>
        <n v="1117.92"/>
        <n v="1118.8399999999999"/>
        <n v="1697.3"/>
        <n v="1431.99"/>
        <n v="997.89"/>
        <n v="1363.65"/>
        <n v="1050.01"/>
        <n v="1190.3599999999999"/>
        <n v="1015.58"/>
        <n v="1770.49"/>
        <n v="1426.56"/>
        <n v="1696.34"/>
        <n v="1555.68"/>
        <n v="954.59"/>
        <n v="1060.3900000000001"/>
        <n v="1048.94"/>
        <n v="1283.8499999999999"/>
        <n v="1160.03"/>
        <n v="1727.82"/>
        <n v="1428.76"/>
        <n v="946.06"/>
        <n v="1380.01"/>
        <n v="1485.21"/>
        <n v="1455.52"/>
        <n v="1796.88"/>
        <n v="1269.98"/>
        <n v="1160.04"/>
        <n v="1215.28"/>
        <n v="1366.71"/>
        <n v="1794.97"/>
        <n v="1460.45"/>
        <n v="1097.08"/>
        <n v="1486.36"/>
        <n v="1146.2"/>
        <n v="1767.03"/>
        <n v="920.41"/>
        <n v="1593.38"/>
        <n v="1654.57"/>
        <n v="1100.79"/>
        <n v="1691.47"/>
        <n v="953.38"/>
        <n v="1507.85"/>
        <n v="1572.4"/>
        <n v="1629.74"/>
        <n v="1745.06"/>
        <n v="996.63"/>
        <n v="1247.57"/>
        <n v="984.14"/>
        <n v="1236.5999999999999"/>
        <n v="911.46"/>
        <n v="1701.29"/>
        <n v="1284.19"/>
        <n v="1648.28"/>
        <n v="1191.8900000000001"/>
        <n v="1126.5999999999999"/>
        <n v="1563.94"/>
        <n v="1416.02"/>
        <n v="1470.95"/>
        <n v="1543.17"/>
        <n v="1352.69"/>
        <n v="1225.3"/>
        <n v="1697.81"/>
        <n v="1507.04"/>
        <n v="1624.85"/>
        <n v="1280.26"/>
        <n v="1284.18"/>
        <n v="1072.8900000000001"/>
        <n v="1712.77"/>
        <n v="1431.52"/>
        <n v="1544.4"/>
        <n v="1487.11"/>
        <n v="1111.78"/>
        <n v="1537.05"/>
        <n v="926.11"/>
        <n v="917.4"/>
        <n v="1533.43"/>
        <n v="1661.1"/>
        <n v="977.25"/>
        <n v="1693.35"/>
        <n v="1327.49"/>
        <n v="1628.53"/>
        <n v="1423.77"/>
        <n v="1466.16"/>
        <n v="1655.75"/>
        <n v="1454.55"/>
        <n v="1579.7"/>
        <n v="1711.33"/>
        <n v="1393.37"/>
        <n v="989.77"/>
        <n v="1481.56"/>
        <n v="1447.31"/>
        <n v="960.05"/>
        <n v="1741.39"/>
        <n v="911.55"/>
        <n v="1245.33"/>
        <n v="1342.06"/>
        <n v="1126.83"/>
        <n v="1691.13"/>
        <n v="1571.81"/>
        <n v="1429.31"/>
        <n v="1615.29"/>
        <n v="1071.55"/>
        <n v="1751.02"/>
        <n v="1261.3"/>
        <n v="1451.9"/>
        <n v="1023.6"/>
        <n v="1118.78"/>
        <n v="1403.35"/>
        <n v="1258.5999999999999"/>
        <n v="1088.1500000000001"/>
        <n v="1562.95"/>
        <n v="1562.93"/>
        <n v="1649.5"/>
        <n v="952.06"/>
        <n v="1181.8499999999999"/>
        <n v="1241.77"/>
        <n v="1752.42"/>
        <n v="1089.71"/>
        <n v="1209.1400000000001"/>
        <n v="1471.64"/>
        <n v="1302.01"/>
        <n v="962.49"/>
        <n v="1359.87"/>
        <n v="1675.38"/>
        <n v="1268.67"/>
        <n v="1063.08"/>
        <n v="1486.39"/>
        <n v="1337.13"/>
        <n v="1144.76"/>
        <n v="1769.12"/>
        <n v="1381.86"/>
        <n v="1435.92"/>
        <n v="999.93"/>
        <n v="1483.6"/>
        <n v="1343.43"/>
        <n v="1241.02"/>
        <n v="1571.68"/>
        <n v="1074.44"/>
        <n v="1016.63"/>
        <n v="951.22"/>
        <n v="1499.81"/>
        <n v="1144.03"/>
        <n v="1277.74"/>
        <n v="1651.66"/>
        <n v="1116.23"/>
        <n v="1406.31"/>
        <n v="1197.8800000000001"/>
        <n v="1242.76"/>
        <n v="950.24"/>
        <n v="1039.5"/>
        <n v="1559.84"/>
        <n v="1487.47"/>
        <n v="1075.5"/>
        <n v="1264.6500000000001"/>
        <n v="1206.22"/>
        <n v="1525.02"/>
        <n v="972.48"/>
        <n v="1714.28"/>
        <n v="1776.25"/>
        <n v="911.71"/>
        <n v="1458.51"/>
        <n v="1794.7"/>
        <n v="1721.83"/>
        <n v="1020.84"/>
        <n v="905.33"/>
        <n v="1208.68"/>
        <n v="1513.05"/>
        <n v="1564.78"/>
        <n v="914.84"/>
        <n v="1087.02"/>
        <n v="1735.27"/>
        <n v="1153.23"/>
        <n v="1421.06"/>
        <n v="1187.19"/>
        <n v="1084.98"/>
        <n v="935.45"/>
        <n v="1211.28"/>
        <n v="1599.97"/>
        <n v="1495.9"/>
        <n v="1687.95"/>
        <n v="1525.29"/>
        <n v="1637.91"/>
        <n v="1503.73"/>
        <n v="1260.56"/>
        <n v="1146.1300000000001"/>
        <n v="1274.28"/>
        <n v="1535.72"/>
        <n v="1655.51"/>
        <n v="1538.98"/>
        <n v="1685.72"/>
        <n v="1413.21"/>
        <n v="1576.45"/>
        <n v="1574.1"/>
        <n v="1310.97"/>
        <n v="1651.94"/>
        <n v="1021.91"/>
        <n v="1134.71"/>
        <n v="1305.8499999999999"/>
        <n v="1710.2"/>
        <n v="1482.53"/>
        <n v="931.48"/>
        <n v="1378.67"/>
        <n v="1467.67"/>
        <n v="1266.9100000000001"/>
        <n v="1498.22"/>
        <n v="1341.31"/>
        <n v="1221.27"/>
        <n v="1126.8"/>
        <n v="1241.28"/>
        <n v="1775.56"/>
        <n v="1542.49"/>
        <n v="1423.96"/>
        <n v="1667.98"/>
        <n v="1657.19"/>
        <n v="1149.57"/>
        <n v="1471.11"/>
        <n v="1365.11"/>
        <n v="1474.39"/>
        <n v="1355.43"/>
        <n v="1291.01"/>
        <n v="1540.12"/>
        <n v="1246.27"/>
        <n v="1616.66"/>
        <n v="1297.6400000000001"/>
        <n v="1107.67"/>
        <n v="1241.2"/>
        <n v="1447.66"/>
        <n v="1743.71"/>
        <n v="1343.27"/>
        <n v="1379.65"/>
        <n v="985.17"/>
        <n v="1188.8900000000001"/>
        <n v="1596.56"/>
        <n v="1252.95"/>
        <n v="965.98"/>
        <n v="1579.48"/>
        <n v="1186.6199999999999"/>
        <n v="965.76"/>
        <n v="1138.3399999999999"/>
        <n v="987.43"/>
        <n v="1099.29"/>
        <n v="1084.49"/>
        <n v="1453.95"/>
        <n v="1347.11"/>
        <n v="1393.83"/>
        <n v="1073.67"/>
        <n v="1195.31"/>
        <n v="1615.25"/>
        <n v="1659.08"/>
        <n v="1788.27"/>
        <n v="1060.8"/>
        <n v="1793.99"/>
        <n v="930.87"/>
        <n v="1330.3"/>
        <n v="1760.63"/>
        <n v="1209.77"/>
        <n v="1593.81"/>
        <n v="909.93"/>
        <n v="1122.24"/>
        <n v="1012.7"/>
        <n v="1232.52"/>
        <n v="987.07"/>
        <n v="1353.54"/>
        <n v="1242.83"/>
        <n v="1312.49"/>
        <n v="1075.6500000000001"/>
        <n v="1450.3"/>
        <n v="1037.19"/>
        <n v="1372.44"/>
        <n v="1406.54"/>
        <n v="911.16"/>
        <n v="1123.27"/>
        <n v="1035.53"/>
        <n v="985.23"/>
        <n v="1255.9000000000001"/>
        <n v="1644.89"/>
        <n v="1280.1199999999999"/>
        <n v="1175.93"/>
        <n v="1625.97"/>
        <n v="1633.74"/>
        <n v="1398.66"/>
        <n v="1516.58"/>
        <n v="1113.45"/>
        <n v="1744.47"/>
        <n v="1486.47"/>
        <n v="1536.9"/>
        <n v="1738.01"/>
        <n v="1330.01"/>
        <n v="1401.24"/>
        <n v="1097.9000000000001"/>
        <n v="1431.58"/>
        <n v="1020.42"/>
        <n v="1079.2"/>
        <n v="969.97"/>
        <n v="939.51"/>
        <n v="1322.17"/>
        <n v="1607.69"/>
        <n v="1566.73"/>
        <n v="1280.8599999999999"/>
        <n v="1518.74"/>
        <n v="1754.49"/>
        <n v="1797.16"/>
        <n v="1517.06"/>
        <n v="982.21"/>
        <n v="1305.95"/>
        <n v="1643.36"/>
        <n v="1245.58"/>
        <n v="1440.9"/>
        <n v="1114"/>
        <n v="1781.1"/>
        <n v="1083.19"/>
        <n v="1644.75"/>
        <n v="1374.37"/>
        <n v="1704.6"/>
        <n v="1602.29"/>
        <n v="1362.49"/>
        <n v="1517.63"/>
        <n v="913.77"/>
        <n v="1253.9000000000001"/>
        <n v="1479.13"/>
        <n v="1546.57"/>
        <n v="1346.49"/>
        <n v="1712.85"/>
        <n v="1655.48"/>
        <n v="1455.02"/>
        <n v="1205.94"/>
        <n v="1201.5999999999999"/>
        <n v="1488.78"/>
        <n v="1793.35"/>
        <n v="1104.33"/>
        <n v="1633.46"/>
        <n v="1008.98"/>
        <n v="1614.8"/>
        <n v="1534"/>
        <n v="1393.25"/>
        <n v="1705.29"/>
        <n v="1478.45"/>
        <n v="1071.78"/>
        <n v="1703.87"/>
        <n v="1726.81"/>
        <n v="1288.8"/>
        <n v="1696.28"/>
        <n v="1525.5"/>
        <n v="1464.05"/>
        <n v="1788.55"/>
        <n v="1438.68"/>
        <n v="1623.83"/>
        <n v="1600.08"/>
        <n v="1247.29"/>
        <n v="1690.02"/>
        <n v="1424.31"/>
        <n v="1720.89"/>
        <n v="1267.67"/>
        <n v="1396.47"/>
        <n v="1069.3800000000001"/>
        <n v="1767.98"/>
        <n v="1403.06"/>
        <n v="1339.19"/>
        <n v="1539.61"/>
        <n v="1590.22"/>
        <n v="1707.74"/>
        <n v="1135.52"/>
        <n v="1540.43"/>
        <n v="1031.74"/>
        <n v="1797.81"/>
        <n v="1782.92"/>
        <n v="932.77"/>
        <n v="900.95"/>
        <n v="1662.86"/>
        <n v="1252.47"/>
        <n v="1508.02"/>
        <n v="1492.25"/>
        <n v="1624.49"/>
        <n v="1131.0899999999999"/>
        <n v="920.59"/>
        <n v="1134.29"/>
        <n v="1789.22"/>
        <n v="1285.1099999999999"/>
        <n v="1609.27"/>
        <n v="1369.36"/>
        <n v="1128.42"/>
        <n v="1595.48"/>
        <n v="1624.47"/>
        <n v="1306.52"/>
        <n v="1072.1400000000001"/>
        <n v="1771.84"/>
        <n v="900.36"/>
        <n v="924.15"/>
        <n v="1287.44"/>
        <n v="1346.61"/>
        <n v="1463.36"/>
        <n v="1703.11"/>
        <n v="1750.03"/>
        <n v="1045.01"/>
        <n v="1694.46"/>
        <n v="1182.99"/>
        <n v="1002.85"/>
        <n v="957.87"/>
        <n v="1041.93"/>
        <n v="1106.04"/>
        <n v="1306.98"/>
        <n v="1257.01"/>
        <n v="1461.89"/>
        <n v="1526.06"/>
        <n v="1756.76"/>
        <n v="1103.53"/>
        <n v="970.21"/>
        <n v="1401.43"/>
        <n v="1294.05"/>
        <n v="1176.07"/>
        <n v="1438.31"/>
        <n v="1299.1199999999999"/>
        <n v="940.77"/>
        <n v="1723.31"/>
        <n v="964.41"/>
        <n v="1360.29"/>
        <n v="1455.41"/>
        <n v="1073.44"/>
        <n v="1199.03"/>
        <n v="1517.75"/>
        <n v="1667.02"/>
        <n v="1185.73"/>
        <n v="1763.02"/>
        <n v="1648.47"/>
        <n v="1565.92"/>
        <n v="954.38"/>
        <n v="1510"/>
        <n v="1601.81"/>
        <n v="967.59"/>
        <n v="1210.21"/>
        <n v="1341.42"/>
        <n v="1636.77"/>
        <n v="969.09"/>
        <n v="1132.79"/>
        <n v="1137.3900000000001"/>
        <n v="1795.22"/>
        <n v="1228.45"/>
        <n v="1288.73"/>
        <n v="1028.23"/>
        <n v="1776.4"/>
        <n v="1697.18"/>
        <n v="1364.41"/>
        <n v="1556.3"/>
        <n v="1395.06"/>
        <n v="1353.48"/>
        <n v="1056.5"/>
        <n v="1593.99"/>
        <n v="1211.93"/>
        <n v="1613.57"/>
        <n v="1450.92"/>
        <n v="1556.49"/>
        <n v="1432.86"/>
        <n v="1217.92"/>
        <n v="1128.44"/>
        <n v="1467.79"/>
        <n v="1472.77"/>
        <n v="1389.93"/>
        <n v="1001.9"/>
        <n v="1311.34"/>
        <n v="1725.68"/>
        <n v="1390.51"/>
        <n v="1424.81"/>
        <n v="1063.5999999999999"/>
        <n v="1245.93"/>
        <n v="1409.46"/>
        <n v="1380.9"/>
        <n v="1105.02"/>
        <n v="1727.12"/>
        <n v="1400.28"/>
        <n v="1166.75"/>
        <n v="1134.05"/>
        <n v="1311.29"/>
        <n v="1069.52"/>
        <n v="1217.8900000000001"/>
        <n v="1465.79"/>
        <n v="1395.13"/>
        <n v="1012.47"/>
        <n v="949.33"/>
        <n v="1279.9100000000001"/>
        <n v="1358.54"/>
        <n v="1767.02"/>
        <n v="1348.47"/>
        <n v="1493.61"/>
        <n v="1725.44"/>
        <n v="1499.53"/>
        <n v="1285.01"/>
        <n v="910.31"/>
        <n v="1751.09"/>
        <n v="1287.76"/>
        <n v="1683.75"/>
        <n v="1581.37"/>
        <n v="1446.03"/>
        <n v="1731.71"/>
        <n v="1177.94"/>
        <n v="1403.48"/>
        <n v="1681.41"/>
        <n v="1059.95"/>
        <n v="1195.53"/>
        <n v="1664.02"/>
        <n v="970.41"/>
        <n v="1611.57"/>
        <n v="919.23"/>
        <n v="1065.24"/>
        <n v="1288.74"/>
        <n v="1340.74"/>
        <n v="1609.02"/>
        <n v="997.96"/>
        <n v="943.96"/>
        <n v="1762.68"/>
        <n v="1359.63"/>
        <n v="970.65"/>
        <n v="1364.95"/>
        <n v="1093.6600000000001"/>
        <n v="1047.0999999999999"/>
        <n v="1363.36"/>
        <n v="1486.27"/>
        <n v="987.38"/>
        <n v="1222.17"/>
        <n v="1103.82"/>
        <n v="986.01"/>
        <n v="1078.47"/>
        <n v="1353.23"/>
        <n v="1314.5"/>
        <n v="990.89"/>
        <n v="1346.6"/>
        <n v="1604.44"/>
        <n v="1167.5899999999999"/>
        <n v="1588.1"/>
        <n v="1673.49"/>
        <n v="1208.69"/>
        <n v="1385.92"/>
        <n v="923.34"/>
        <n v="1564.34"/>
        <n v="1187.7"/>
        <n v="1260.54"/>
        <n v="1618"/>
        <n v="1441.9"/>
        <n v="995.93"/>
        <n v="1633.82"/>
        <n v="915.31"/>
        <n v="1707.75"/>
        <n v="1680.29"/>
        <n v="1706.57"/>
        <n v="1151.72"/>
        <n v="1067.22"/>
        <n v="1539.23"/>
        <n v="1734.4"/>
        <n v="1552.68"/>
        <n v="1450.66"/>
        <n v="1112.0899999999999"/>
        <n v="995.9"/>
        <n v="1382.87"/>
        <n v="1531.31"/>
        <n v="1479.02"/>
        <n v="1386.96"/>
        <n v="1548.23"/>
        <n v="1716.29"/>
        <n v="1036.29"/>
        <n v="1194.25"/>
        <n v="960.7"/>
        <n v="1452.7"/>
        <n v="1426.5"/>
        <n v="993.53"/>
        <n v="1283.04"/>
        <n v="1482.75"/>
        <n v="1739.5"/>
        <n v="1299.95"/>
        <n v="1357.43"/>
        <n v="994.24"/>
        <n v="1516.88"/>
        <n v="1718.46"/>
        <n v="1280.46"/>
        <n v="900.67"/>
        <n v="942.65"/>
        <n v="1634.86"/>
        <n v="1567.7"/>
        <n v="1414.25"/>
        <n v="1675.11"/>
        <n v="1423.59"/>
        <n v="1518.5"/>
        <n v="1198.07"/>
        <n v="945.19"/>
        <n v="915.48"/>
        <n v="1348.81"/>
        <n v="1525.21"/>
        <n v="1552.92"/>
        <n v="1768.21"/>
        <n v="1788.98"/>
        <n v="1432.46"/>
        <n v="1664.12"/>
        <n v="1650.98"/>
        <n v="1665.67"/>
        <n v="1361.2"/>
        <n v="1735.34"/>
        <n v="1781.77"/>
        <n v="1434.95"/>
        <n v="1580.09"/>
        <n v="1456.83"/>
        <n v="1628"/>
        <n v="1182.9100000000001"/>
        <n v="1199.93"/>
        <n v="1327.86"/>
        <n v="1585.1"/>
        <n v="1532.21"/>
        <n v="1346.83"/>
        <n v="1628.55"/>
        <n v="1408.83"/>
        <n v="1054.1199999999999"/>
        <n v="1157.25"/>
        <n v="1131.18"/>
        <n v="1211.56"/>
        <n v="1536.81"/>
        <n v="1690.03"/>
        <n v="1605.49"/>
        <n v="1787.24"/>
        <n v="1583.12"/>
        <n v="1355.41"/>
        <n v="954.73"/>
        <n v="1785.92"/>
        <n v="1111.76"/>
        <n v="1064.56"/>
        <n v="1113.9000000000001"/>
        <n v="1038"/>
        <n v="1241.71"/>
        <n v="1052.4100000000001"/>
        <n v="1696.68"/>
        <n v="1088.99"/>
        <n v="1626.14"/>
        <n v="1295.95"/>
        <n v="1130.48"/>
        <n v="968.47"/>
        <n v="1711.36"/>
        <n v="1535.12"/>
        <n v="1148.1099999999999"/>
        <n v="1022.3"/>
        <n v="1294.0899999999999"/>
        <n v="1303.25"/>
        <n v="1188.6199999999999"/>
        <n v="1053.3599999999999"/>
        <n v="1195.75"/>
        <n v="1356.99"/>
        <n v="1479.5"/>
        <n v="1054.3900000000001"/>
        <n v="1616.34"/>
        <n v="1443.83"/>
        <n v="1589.35"/>
        <n v="1300.22"/>
        <n v="1292.1199999999999"/>
        <n v="1104.95"/>
        <n v="1013.57"/>
        <n v="978.7"/>
        <n v="1237.5"/>
        <n v="1743.63"/>
        <n v="1454.29"/>
        <n v="1358.23"/>
        <n v="1335.19"/>
        <n v="1535.09"/>
        <n v="1501.45"/>
        <n v="1639.78"/>
        <n v="1077.28"/>
        <n v="1584.44"/>
        <n v="1097.22"/>
        <n v="1620.45"/>
        <n v="1719.71"/>
        <n v="1348.43"/>
        <n v="1778.12"/>
        <n v="1000.14"/>
        <n v="1409.83"/>
        <n v="1230.29"/>
        <n v="1547.27"/>
        <n v="1450"/>
        <n v="1575.94"/>
        <n v="1295.8900000000001"/>
        <n v="1224.58"/>
        <n v="1276.1199999999999"/>
        <n v="1764.5"/>
        <n v="1010.43"/>
        <n v="1237.5899999999999"/>
        <n v="1113.75"/>
        <n v="1329.52"/>
        <n v="1305.79"/>
        <n v="1555.72"/>
        <n v="1670.01"/>
        <n v="1509.83"/>
        <n v="938.88"/>
        <n v="1700.98"/>
        <n v="1539.33"/>
        <n v="1366.63"/>
        <n v="1118.29"/>
        <n v="1741.12"/>
        <n v="1265.68"/>
        <n v="1720.6"/>
        <n v="1329.67"/>
        <n v="1446.01"/>
        <n v="1602.04"/>
        <n v="1031"/>
        <n v="1159.67"/>
        <n v="1430.47"/>
        <n v="1781"/>
        <n v="949.8"/>
        <n v="1577.17"/>
        <n v="1538.28"/>
        <n v="1570.97"/>
        <n v="1207.76"/>
        <n v="1566.48"/>
        <n v="1792.38"/>
        <n v="1151.47"/>
        <n v="1761.22"/>
        <n v="1549.23"/>
        <n v="954.15"/>
        <n v="1610.77"/>
        <n v="1070.22"/>
        <n v="1497.18"/>
        <n v="1490.48"/>
        <n v="1280.1400000000001"/>
        <n v="1499.6"/>
        <n v="1199.07"/>
        <n v="990.05"/>
        <n v="1266.3"/>
        <n v="1543.29"/>
        <n v="909.24"/>
        <n v="905.39"/>
        <n v="1049.54"/>
        <n v="1611.82"/>
        <n v="1529.28"/>
        <n v="1717.28"/>
        <n v="1097.45"/>
        <n v="1162.1300000000001"/>
        <n v="1171.0899999999999"/>
        <n v="1464.6"/>
        <n v="1593.61"/>
        <n v="1434.13"/>
        <n v="1376.05"/>
        <n v="1619.87"/>
        <n v="996.43"/>
        <n v="1440.71"/>
        <n v="942.25"/>
        <n v="1297.3399999999999"/>
        <n v="995.28"/>
        <n v="1606.31"/>
        <n v="1266.53"/>
        <n v="1645.6"/>
        <n v="1713.87"/>
        <n v="958.27"/>
        <n v="1353.55"/>
        <n v="1758.56"/>
        <n v="1304.68"/>
        <n v="1641.89"/>
        <n v="1429.32"/>
        <n v="1312.34"/>
        <n v="1022.35"/>
        <n v="1099.6099999999999"/>
        <n v="1195.1300000000001"/>
        <n v="1594.61"/>
        <n v="1733.27"/>
        <n v="1271.04"/>
        <n v="1670.14"/>
        <n v="1123.56"/>
        <n v="1104.81"/>
        <n v="1105.8499999999999"/>
        <n v="1490.96"/>
        <n v="1594.75"/>
        <n v="905.5"/>
        <n v="1397.09"/>
        <n v="1039.3599999999999"/>
        <n v="1662.91"/>
        <n v="1794.21"/>
        <n v="1089.6600000000001"/>
        <n v="1293.81"/>
        <n v="1506.6"/>
        <n v="1434.41"/>
        <n v="1680.45"/>
        <n v="1746.47"/>
        <n v="982.78"/>
        <n v="1146.83"/>
        <n v="1001.16"/>
        <n v="1569.34"/>
        <n v="1009.38"/>
        <n v="1210.67"/>
        <n v="1454.8"/>
        <n v="1172.73"/>
        <n v="1505.09"/>
        <n v="1137.05"/>
        <n v="1244.82"/>
        <n v="1795.47"/>
        <n v="927.2"/>
        <n v="1740.86"/>
        <n v="1741.06"/>
        <n v="1395.19"/>
        <n v="1395.62"/>
        <n v="1087.26"/>
        <n v="915.09"/>
        <n v="923.16"/>
        <n v="1137.6500000000001"/>
        <n v="1467.77"/>
        <n v="1751.27"/>
        <n v="1385.68"/>
        <n v="1095.9100000000001"/>
        <n v="1007.01"/>
        <n v="1395.87"/>
        <n v="1641.28"/>
        <n v="1619.47"/>
        <n v="1197.45"/>
        <n v="1078.6300000000001"/>
        <n v="915.11"/>
        <n v="1657.18"/>
        <n v="1430.61"/>
        <n v="1292.67"/>
        <n v="1286.71"/>
        <n v="1548.54"/>
        <n v="1348.59"/>
        <n v="1527.67"/>
        <n v="932.47"/>
        <n v="1349.8"/>
        <n v="1435"/>
        <n v="1666.39"/>
        <n v="1444.12"/>
        <n v="1287.47"/>
        <n v="1784.44"/>
        <n v="1704.18"/>
        <n v="1596.89"/>
        <n v="1578.25"/>
        <n v="1634.76"/>
        <n v="1129.68"/>
        <n v="1266.2"/>
        <n v="1194.48"/>
        <n v="1381.53"/>
        <n v="940.31"/>
        <n v="1009.45"/>
        <n v="1091.04"/>
        <n v="1466.62"/>
        <n v="1121.98"/>
        <n v="1400.19"/>
        <n v="1316.46"/>
        <n v="1293.08"/>
        <n v="1365.19"/>
        <n v="1713.36"/>
        <n v="983.44"/>
        <n v="1486"/>
        <n v="1748.09"/>
        <n v="1119.43"/>
        <n v="934.5"/>
        <n v="1107.1199999999999"/>
        <n v="1112.47"/>
        <n v="1035.8699999999999"/>
        <n v="1077.9000000000001"/>
        <n v="1671.65"/>
        <n v="1487.61"/>
        <n v="1523.74"/>
        <n v="1622.7"/>
        <n v="1621.6"/>
        <n v="1215.51"/>
        <n v="1040.1400000000001"/>
        <n v="962.54"/>
        <n v="1247.3499999999999"/>
        <n v="1102.99"/>
        <n v="1497.78"/>
        <n v="941.17"/>
        <n v="1285.7"/>
        <n v="1521.6"/>
        <n v="1253.44"/>
        <n v="1720.63"/>
        <n v="902.89"/>
        <n v="1761.98"/>
        <n v="1077.67"/>
        <n v="1433.18"/>
        <n v="958.11"/>
        <n v="1776.8"/>
        <n v="1064.76"/>
        <n v="1723.99"/>
        <n v="1462.25"/>
        <n v="1758.61"/>
        <n v="1425.88"/>
        <n v="1728.8"/>
        <n v="1188.5999999999999"/>
        <n v="973.14"/>
        <n v="1728.65"/>
        <n v="1720"/>
        <n v="1718.95"/>
        <n v="1665.05"/>
        <n v="1374.67"/>
        <n v="1522.82"/>
        <n v="1668.17"/>
        <n v="1494.95"/>
        <n v="1358.44"/>
        <n v="1374.71"/>
        <n v="1187.75"/>
        <n v="1664.1"/>
        <n v="1240.93"/>
        <n v="1705.71"/>
        <n v="1011.65"/>
        <n v="1701.51"/>
        <n v="1174.1199999999999"/>
        <n v="1328.39"/>
        <n v="1357.52"/>
        <n v="941.58"/>
        <n v="903.9"/>
        <n v="1162.78"/>
        <n v="1453.49"/>
        <n v="1785.13"/>
        <n v="1244.32"/>
        <n v="1369.92"/>
        <n v="1332.04"/>
        <n v="948.95"/>
        <n v="1325.76"/>
        <n v="1422.27"/>
        <n v="1643.12"/>
        <n v="1657.63"/>
        <n v="1018.76"/>
        <n v="1204.3699999999999"/>
        <n v="1376.91"/>
        <n v="1481.74"/>
        <n v="992.19"/>
        <n v="1530.58"/>
        <n v="1297.3499999999999"/>
        <n v="1004.46"/>
        <n v="1132.6300000000001"/>
        <n v="951.9"/>
        <n v="1077.5999999999999"/>
        <n v="1549.37"/>
        <n v="1513.16"/>
        <n v="1528.06"/>
        <n v="1044.74"/>
        <n v="1417.86"/>
        <n v="1048.49"/>
        <n v="1347.53"/>
        <n v="1711.7"/>
        <n v="1722.48"/>
        <n v="1619.96"/>
        <n v="993.41"/>
        <n v="1269.1300000000001"/>
        <n v="1304.4000000000001"/>
        <n v="1318.16"/>
        <n v="1567.05"/>
        <n v="1227.69"/>
        <n v="934.41"/>
        <n v="1460.32"/>
        <n v="1062.95"/>
        <n v="1146.79"/>
        <n v="984.55"/>
        <n v="1145.1500000000001"/>
        <n v="1068.6199999999999"/>
        <n v="1023.83"/>
        <n v="1463.4"/>
        <n v="1301.1600000000001"/>
        <n v="1020.89"/>
        <n v="1402.01"/>
        <n v="1565.58"/>
        <n v="1014.73"/>
        <n v="1136.08"/>
        <n v="1535.04"/>
        <n v="1599.74"/>
        <n v="1444.94"/>
        <n v="1740.45"/>
        <n v="1193.27"/>
        <n v="1665.72"/>
        <n v="1548.29"/>
        <n v="1678.47"/>
        <n v="1198.43"/>
        <n v="1307.1199999999999"/>
        <n v="1008.63"/>
        <n v="1094.6099999999999"/>
        <n v="1567.85"/>
        <n v="1382.11"/>
        <n v="1140.06"/>
        <n v="940.61"/>
        <n v="965.5"/>
        <n v="932.31"/>
        <n v="1542.01"/>
        <n v="1141.1400000000001"/>
        <n v="1597.1"/>
        <n v="1680.49"/>
        <n v="1643.48"/>
        <n v="1466.68"/>
        <n v="1058.8599999999999"/>
        <n v="1226.07"/>
        <n v="1238.9000000000001"/>
        <n v="1343.52"/>
        <n v="1738.43"/>
        <n v="1755.29"/>
        <n v="1105.55"/>
        <n v="1657.73"/>
        <n v="905.34"/>
        <n v="1524.28"/>
        <n v="1283.22"/>
        <n v="1683.8"/>
        <n v="1129.03"/>
        <n v="1798.84"/>
        <n v="1582.14"/>
        <n v="1264.27"/>
        <n v="1253.04"/>
        <n v="1675.1"/>
        <n v="1052.95"/>
        <n v="1613.88"/>
        <n v="1156.74"/>
        <n v="1385.9"/>
        <n v="1795.4"/>
        <n v="1546.53"/>
        <n v="1755.33"/>
        <n v="1243.28"/>
        <n v="1281.4100000000001"/>
        <n v="1073.2"/>
        <n v="1320.59"/>
        <n v="904.17"/>
        <n v="1261.93"/>
        <n v="1318.72"/>
        <n v="1244.4000000000001"/>
        <n v="1222.8399999999999"/>
        <n v="1681.01"/>
        <n v="1514.23"/>
        <n v="1103.08"/>
        <n v="1211.04"/>
        <n v="1352.83"/>
        <n v="1249.72"/>
        <n v="969.83"/>
        <n v="993.61"/>
        <n v="1129.0999999999999"/>
        <n v="1130.6099999999999"/>
        <n v="1787.68"/>
        <n v="1338.76"/>
        <n v="1396.01"/>
        <n v="1434.62"/>
        <n v="963.04"/>
        <n v="1613.79"/>
        <n v="1754.99"/>
        <n v="1547.26"/>
        <n v="1323.03"/>
        <n v="942.72"/>
        <n v="1414.2"/>
        <n v="1639.36"/>
        <n v="1486.68"/>
        <n v="1560.69"/>
        <n v="1405.77"/>
        <n v="1231.8399999999999"/>
        <n v="934.67"/>
        <n v="915.86"/>
        <n v="1715.78"/>
        <n v="1578.87"/>
        <n v="932.7"/>
        <n v="1241.42"/>
        <n v="1355.5"/>
        <n v="1307.0899999999999"/>
        <n v="1400.26"/>
        <n v="930.9"/>
        <n v="1047.76"/>
        <n v="1193.92"/>
        <n v="1747.14"/>
        <n v="1240.08"/>
        <n v="1135.23"/>
        <n v="1235.8499999999999"/>
        <n v="1248.25"/>
        <n v="1366.39"/>
        <n v="1133.03"/>
        <n v="1533.95"/>
        <n v="1183.46"/>
        <n v="1677.54"/>
        <n v="1550.67"/>
        <n v="1570.8"/>
        <n v="1629.99"/>
        <n v="1797.73"/>
        <n v="1247.97"/>
        <n v="1545.35"/>
        <n v="1246.93"/>
        <n v="1731.46"/>
        <n v="1118.79"/>
        <n v="1242.79"/>
        <n v="1724.63"/>
        <n v="1402.94"/>
        <n v="1251.95"/>
        <n v="1447.37"/>
        <n v="1540.33"/>
        <n v="1092.56"/>
        <n v="1517.02"/>
        <n v="1035.3399999999999"/>
        <n v="1530.12"/>
        <n v="1677.68"/>
        <n v="1724.64"/>
        <n v="1102.33"/>
        <n v="923.32"/>
        <n v="1706.44"/>
        <n v="1266.76"/>
        <n v="1778.62"/>
        <n v="1105.06"/>
        <n v="1371.14"/>
        <n v="1518.96"/>
        <n v="1211.1099999999999"/>
        <n v="988.17"/>
        <n v="1651.3"/>
        <n v="1004.4"/>
        <n v="1037.3"/>
        <n v="913.96"/>
        <n v="968.45"/>
        <n v="1607.26"/>
        <n v="1596.19"/>
        <n v="1774.4"/>
        <n v="1070.52"/>
        <n v="1053.49"/>
        <n v="1698.96"/>
        <n v="1189.52"/>
        <n v="1561.37"/>
        <n v="1078.26"/>
        <n v="914.45"/>
        <n v="1195.02"/>
        <n v="1076.8800000000001"/>
        <n v="931.09"/>
        <n v="1703.9"/>
        <n v="1685.12"/>
        <n v="1098.6099999999999"/>
        <n v="1577.39"/>
        <n v="1627.58"/>
        <n v="1157.47"/>
        <n v="1464.53"/>
        <n v="1506.41"/>
        <n v="985.37"/>
        <n v="1015.04"/>
        <n v="962.3"/>
        <n v="1681.37"/>
        <n v="1023.82"/>
        <n v="962.85"/>
        <n v="1196.19"/>
        <n v="1786.36"/>
        <n v="1292.28"/>
        <n v="1013.7"/>
        <n v="1109.6300000000001"/>
        <n v="1779.68"/>
        <n v="1129.53"/>
        <n v="987.31"/>
        <n v="1525.4"/>
        <n v="1136.72"/>
        <n v="903.08"/>
        <n v="1704.76"/>
        <n v="1788.24"/>
        <n v="1067.02"/>
        <n v="1635.05"/>
        <n v="1116.82"/>
        <n v="1127.9100000000001"/>
        <n v="1342.18"/>
        <n v="982.6"/>
        <n v="1295.6500000000001"/>
        <n v="1564.27"/>
        <n v="1275.3800000000001"/>
        <n v="925.73"/>
        <n v="1550.31"/>
        <n v="1099.78"/>
        <n v="1225.8"/>
        <n v="1022.15"/>
        <n v="1354.37"/>
        <n v="1353.2"/>
        <n v="1469.91"/>
        <n v="1505.27"/>
        <n v="1327.45"/>
        <n v="1410.77"/>
        <n v="1713.27"/>
        <n v="1044.44"/>
        <n v="953.35"/>
        <n v="1328.35"/>
        <n v="1472.72"/>
        <n v="1186.25"/>
        <n v="1211.29"/>
        <n v="1579.49"/>
        <n v="1566.59"/>
        <n v="1429.49"/>
        <n v="1797.48"/>
        <n v="1510.75"/>
        <n v="1427.69"/>
        <n v="1139.1199999999999"/>
        <n v="1266.4100000000001"/>
        <n v="1275.75"/>
        <n v="981.98"/>
        <n v="1468.49"/>
        <n v="1796.48"/>
        <n v="901.2"/>
        <n v="1494.75"/>
        <n v="1414.8"/>
        <n v="1692.1"/>
        <n v="1545.57"/>
        <n v="1052.6199999999999"/>
        <n v="1469.29"/>
        <n v="1544.01"/>
        <n v="1725.66"/>
        <n v="1323.01"/>
        <n v="1251"/>
        <n v="1106.3499999999999"/>
        <n v="1689.98"/>
        <n v="1588.29"/>
        <n v="1602.65"/>
        <n v="1536.88"/>
        <n v="1331.52"/>
        <n v="1631.63"/>
        <n v="1682.22"/>
        <n v="1613.84"/>
        <n v="1538.31"/>
        <n v="990.64"/>
        <n v="1388.89"/>
        <n v="1654.98"/>
        <n v="1118.1300000000001"/>
        <n v="1242.21"/>
        <n v="1543.2"/>
        <n v="1090.1099999999999"/>
        <n v="1701.53"/>
        <n v="918.19"/>
        <n v="1415.81"/>
        <n v="1368.32"/>
        <n v="1112.06"/>
        <n v="1004.43"/>
        <n v="1061.47"/>
        <n v="1168.71"/>
        <n v="1524.55"/>
        <n v="1578.35"/>
        <n v="1779.8"/>
        <n v="1070.31"/>
        <n v="1320.76"/>
        <n v="920.98"/>
        <n v="927.02"/>
        <n v="1760.58"/>
        <n v="998.63"/>
        <n v="1446.3"/>
        <n v="1690.01"/>
        <n v="1656.99"/>
        <n v="1448.28"/>
        <n v="1579.43"/>
        <n v="1486.17"/>
        <m/>
      </sharedItems>
    </cacheField>
    <cacheField name="Media_Sentiment_Score" numFmtId="2">
      <sharedItems containsString="0" containsBlank="1" containsNumber="1" minValue="-0.998" maxValue="0.998" count="1258">
        <n v="-0.77900000000000003"/>
        <n v="0.873"/>
        <n v="-0.22800000000000001"/>
        <n v="0.25600000000000001"/>
        <n v="-0.99399999999999999"/>
        <n v="0.32200000000000001"/>
        <n v="0.34899999999999998"/>
        <n v="0.28299999999999997"/>
        <n v="0.19500000000000001"/>
        <n v="-0.27500000000000002"/>
        <n v="-3.7999999999999999E-2"/>
        <n v="0.98299999999999998"/>
        <n v="-0.75600000000000001"/>
        <n v="0.106"/>
        <n v="0.98199999999999998"/>
        <n v="0.56100000000000005"/>
        <n v="-0.128"/>
        <n v="0.39700000000000002"/>
        <n v="-0.26500000000000001"/>
        <n v="0.28399999999999997"/>
        <n v="-0.33"/>
        <n v="-0.80700000000000005"/>
        <n v="-0.31"/>
        <n v="-0.219"/>
        <n v="-0.628"/>
        <n v="-0.60199999999999998"/>
        <n v="-0.79800000000000004"/>
        <n v="-0.753"/>
        <n v="-0.66400000000000003"/>
        <n v="-0.68700000000000006"/>
        <n v="-0.76"/>
        <n v="0.73799999999999999"/>
        <n v="0.34100000000000003"/>
        <n v="-0.73699999999999999"/>
        <n v="-0.86399999999999999"/>
        <n v="-4.1000000000000002E-2"/>
        <n v="0.55300000000000005"/>
        <n v="-0.504"/>
        <n v="-0.98"/>
        <n v="0.93200000000000005"/>
        <n v="-0.95899999999999996"/>
        <n v="-0.17599999999999999"/>
        <n v="0.67300000000000004"/>
        <n v="-0.93300000000000005"/>
        <n v="-0.16"/>
        <n v="0.21099999999999999"/>
        <n v="0.32900000000000001"/>
        <n v="2.9000000000000001E-2"/>
        <n v="-0.34399999999999997"/>
        <n v="-0.221"/>
        <n v="0.85499999999999998"/>
        <n v="0.247"/>
        <n v="-0.77200000000000002"/>
        <n v="-0.27600000000000002"/>
        <n v="-0.53700000000000003"/>
        <n v="0.312"/>
        <n v="0.89300000000000002"/>
        <n v="-0.95099999999999996"/>
        <n v="-0.39100000000000001"/>
        <n v="0.21299999999999999"/>
        <n v="0.90500000000000003"/>
        <n v="2.5000000000000001E-2"/>
        <n v="-0.90700000000000003"/>
        <n v="0.57299999999999995"/>
        <n v="0.65500000000000003"/>
        <n v="-0.66900000000000004"/>
        <n v="3.6999999999999998E-2"/>
        <n v="-0.30399999999999999"/>
        <n v="0.54200000000000004"/>
        <n v="0.27900000000000003"/>
        <n v="2.7E-2"/>
        <n v="-0.39800000000000002"/>
        <n v="0.23200000000000001"/>
        <n v="-0.95599999999999996"/>
        <n v="-0.378"/>
        <n v="0.73699999999999999"/>
        <n v="0.52400000000000002"/>
        <n v="-4.5999999999999999E-2"/>
        <n v="-0.22600000000000001"/>
        <n v="-0.83099999999999996"/>
        <n v="0.30099999999999999"/>
        <n v="0.56399999999999995"/>
        <n v="0.71599999999999997"/>
        <n v="0.84699999999999998"/>
        <n v="0.14000000000000001"/>
        <n v="-0.06"/>
        <n v="0.60399999999999998"/>
        <n v="-0.40500000000000003"/>
        <n v="0.68100000000000005"/>
        <n v="-0.14899999999999999"/>
        <n v="-0.84699999999999998"/>
        <n v="-0.72099999999999997"/>
        <n v="0.24"/>
        <n v="0.91600000000000004"/>
        <n v="0.81200000000000006"/>
        <n v="0.17599999999999999"/>
        <n v="0.47699999999999998"/>
        <n v="-0.59499999999999997"/>
        <n v="-0.251"/>
        <n v="-0.14399999999999999"/>
        <n v="-0.187"/>
        <n v="-7.6999999999999999E-2"/>
        <n v="-0.78200000000000003"/>
        <n v="0.58699999999999997"/>
        <n v="0.89400000000000002"/>
        <n v="0.626"/>
        <n v="0.57199999999999995"/>
        <n v="-1.4E-2"/>
        <n v="-0.14699999999999999"/>
        <n v="-0.58399999999999996"/>
        <n v="0.7"/>
        <n v="-0.252"/>
        <n v="0.496"/>
        <n v="-0.23200000000000001"/>
        <n v="-0.98399999999999999"/>
        <n v="-0.38700000000000001"/>
        <n v="0.748"/>
        <n v="0.54700000000000004"/>
        <n v="0.55800000000000005"/>
        <n v="0.58499999999999996"/>
        <n v="-9.6000000000000002E-2"/>
        <n v="-0.60699999999999998"/>
        <n v="0.52300000000000002"/>
        <n v="0.252"/>
        <n v="-0.64"/>
        <n v="0.251"/>
        <n v="-0.69299999999999995"/>
        <n v="-0.48499999999999999"/>
        <n v="-6.7000000000000004E-2"/>
        <n v="-0.67300000000000004"/>
        <n v="-0.29899999999999999"/>
        <n v="-0.54500000000000004"/>
        <n v="-0.32800000000000001"/>
        <n v="-0.53300000000000003"/>
        <n v="-0.39300000000000002"/>
        <n v="-0.748"/>
        <n v="0.746"/>
        <n v="-0.76500000000000001"/>
        <n v="-0.78400000000000003"/>
        <n v="0.67400000000000004"/>
        <n v="-0.315"/>
        <n v="0.54"/>
        <n v="0.498"/>
        <n v="-0.875"/>
        <n v="0.55700000000000005"/>
        <n v="-0.25700000000000001"/>
        <n v="0.70299999999999996"/>
        <n v="-0.53900000000000003"/>
        <n v="-0.95"/>
        <n v="-0.878"/>
        <n v="-0.159"/>
        <n v="-0.91700000000000004"/>
        <n v="-0.247"/>
        <n v="0.51300000000000001"/>
        <n v="-4.8000000000000001E-2"/>
        <n v="-0.61"/>
        <n v="0.32700000000000001"/>
        <n v="-0.86299999999999999"/>
        <n v="0.63700000000000001"/>
        <n v="0.33800000000000002"/>
        <n v="0.157"/>
        <n v="0.14499999999999999"/>
        <n v="-0.44800000000000001"/>
        <n v="0.36599999999999999"/>
        <n v="-0.53400000000000003"/>
        <n v="0.57399999999999995"/>
        <n v="-1.9E-2"/>
        <n v="-0.10199999999999999"/>
        <n v="-0.28499999999999998"/>
        <n v="-0.83199999999999996"/>
        <n v="-0.71199999999999997"/>
        <n v="-0.17399999999999999"/>
        <n v="-0.83499999999999996"/>
        <n v="-0.32200000000000001"/>
        <n v="0.39300000000000002"/>
        <n v="-0.71299999999999997"/>
        <n v="-0.56100000000000005"/>
        <n v="8.5999999999999993E-2"/>
        <n v="0.86699999999999999"/>
        <n v="-0.33500000000000002"/>
        <n v="-0.80400000000000005"/>
        <n v="-0.379"/>
        <n v="-0.67600000000000005"/>
        <n v="0.20899999999999999"/>
        <n v="-0.88500000000000001"/>
        <n v="0.90900000000000003"/>
        <n v="0.70899999999999996"/>
        <n v="-0.77500000000000002"/>
        <n v="-0.879"/>
        <n v="-0.64200000000000002"/>
        <n v="-0.16800000000000001"/>
        <n v="0.33"/>
        <n v="-0.97499999999999998"/>
        <n v="-0.74399999999999999"/>
        <n v="0.72"/>
        <n v="0.96099999999999997"/>
        <n v="-0.80900000000000005"/>
        <n v="0.67800000000000005"/>
        <n v="-0.68600000000000005"/>
        <n v="-0.627"/>
        <n v="0.61599999999999999"/>
        <n v="6.2E-2"/>
        <n v="-0.105"/>
        <n v="-0.80600000000000005"/>
        <n v="-0.871"/>
        <n v="0.40200000000000002"/>
        <n v="0.47199999999999998"/>
        <n v="0.15"/>
        <n v="0.121"/>
        <n v="-7.3999999999999996E-2"/>
        <n v="-0.83"/>
        <n v="0.50700000000000001"/>
        <n v="3.9E-2"/>
        <n v="-0.45"/>
        <n v="0.56000000000000005"/>
        <n v="0.17100000000000001"/>
        <n v="-0.1"/>
        <n v="0.80500000000000005"/>
        <n v="0.83799999999999997"/>
        <n v="0.93500000000000005"/>
        <n v="0.74299999999999999"/>
        <n v="0.43"/>
        <n v="0.72799999999999998"/>
        <n v="-0.91900000000000004"/>
        <n v="-0.91200000000000003"/>
        <n v="-0.96599999999999997"/>
        <n v="-0.97899999999999998"/>
        <n v="-0.30599999999999999"/>
        <n v="0.52900000000000003"/>
        <n v="0.55500000000000005"/>
        <n v="0.26500000000000001"/>
        <n v="0.53500000000000003"/>
        <n v="-0.313"/>
        <n v="-0.41799999999999998"/>
        <n v="0.627"/>
        <n v="0.51400000000000001"/>
        <n v="0.9"/>
        <n v="0.44"/>
        <n v="0.42399999999999999"/>
        <n v="0.63900000000000001"/>
        <n v="0.76300000000000001"/>
        <n v="0.78700000000000003"/>
        <n v="-0.374"/>
        <n v="0.84099999999999997"/>
        <n v="-0.76700000000000002"/>
        <n v="-0.54"/>
        <n v="-0.20300000000000001"/>
        <n v="-5.0999999999999997E-2"/>
        <n v="0.61899999999999999"/>
        <n v="-0.32400000000000001"/>
        <n v="-0.64400000000000002"/>
        <n v="0.18"/>
        <n v="-0.89700000000000002"/>
        <n v="0.16700000000000001"/>
        <n v="0.30399999999999999"/>
        <n v="0.1"/>
        <n v="0.53200000000000003"/>
        <n v="-0.55500000000000005"/>
        <n v="0.112"/>
        <n v="0.67500000000000004"/>
        <n v="0.224"/>
        <n v="0.29799999999999999"/>
        <n v="4.3999999999999997E-2"/>
        <n v="0.74199999999999999"/>
        <n v="-0.51400000000000001"/>
        <n v="-9.5000000000000001E-2"/>
        <n v="4.2999999999999997E-2"/>
        <n v="0.67100000000000004"/>
        <n v="0.74399999999999999"/>
        <n v="0.40400000000000003"/>
        <n v="-0.56499999999999995"/>
        <n v="0.50900000000000001"/>
        <n v="-0.62"/>
        <n v="0.65200000000000002"/>
        <n v="0.52700000000000002"/>
        <n v="-0.67800000000000005"/>
        <n v="0.64800000000000002"/>
        <n v="-0.122"/>
        <n v="0.378"/>
        <n v="0.187"/>
        <n v="-0.14499999999999999"/>
        <n v="-0.872"/>
        <n v="0.77700000000000002"/>
        <n v="-0.33700000000000002"/>
        <n v="0.76900000000000002"/>
        <n v="2.1000000000000001E-2"/>
        <n v="-0.63200000000000001"/>
        <n v="-0.47499999999999998"/>
        <n v="-0.46700000000000003"/>
        <n v="0.66700000000000004"/>
        <n v="-0.55900000000000005"/>
        <n v="0.314"/>
        <n v="0.96399999999999997"/>
        <n v="-0.71799999999999997"/>
        <n v="0.315"/>
        <n v="-0.93799999999999994"/>
        <n v="-9.2999999999999999E-2"/>
        <n v="0.115"/>
        <n v="0.51600000000000001"/>
        <n v="-0.191"/>
        <n v="0.38800000000000001"/>
        <n v="-0.438"/>
        <n v="-0.70299999999999996"/>
        <n v="-0.59399999999999997"/>
        <n v="0.33900000000000002"/>
        <n v="4.2000000000000003E-2"/>
        <n v="0.2"/>
        <n v="0.39600000000000002"/>
        <n v="-0.54900000000000004"/>
        <n v="-0.21199999999999999"/>
        <n v="-0.73599999999999999"/>
        <n v="0.82199999999999995"/>
        <n v="0.107"/>
        <n v="0.65900000000000003"/>
        <n v="0.218"/>
        <n v="-0.41299999999999998"/>
        <n v="0.248"/>
        <n v="0.998"/>
        <n v="-0.72399999999999998"/>
        <n v="0.61399999999999999"/>
        <n v="-0.51300000000000001"/>
        <n v="0.77600000000000002"/>
        <n v="0.16"/>
        <n v="-0.58299999999999996"/>
        <n v="0.39400000000000002"/>
        <n v="-0.47599999999999998"/>
        <n v="-0.61799999999999999"/>
        <n v="0.79300000000000004"/>
        <n v="0.14899999999999999"/>
        <n v="-7.0000000000000001E-3"/>
        <n v="5.8999999999999997E-2"/>
        <n v="-3.3000000000000002E-2"/>
        <n v="-0.54800000000000004"/>
        <n v="0.36199999999999999"/>
        <n v="0.24099999999999999"/>
        <n v="-9.9000000000000005E-2"/>
        <n v="-0.35899999999999999"/>
        <n v="0.71"/>
        <n v="0.14699999999999999"/>
        <n v="9.8000000000000004E-2"/>
        <n v="0.189"/>
        <n v="0.374"/>
        <n v="0.92600000000000005"/>
        <n v="-0.77100000000000002"/>
        <n v="-0.23"/>
        <n v="-0.76900000000000002"/>
        <n v="0.33600000000000002"/>
        <n v="-0.17299999999999999"/>
        <n v="-8.0000000000000002E-3"/>
        <n v="-1.6E-2"/>
        <n v="-6.8000000000000005E-2"/>
        <n v="9.9000000000000005E-2"/>
        <n v="0.47599999999999998"/>
        <n v="3.5999999999999997E-2"/>
        <n v="-0.35399999999999998"/>
        <n v="0.34200000000000003"/>
        <n v="-0.123"/>
        <n v="0.16300000000000001"/>
        <n v="-0.02"/>
        <n v="0.34599999999999997"/>
        <n v="0.52600000000000002"/>
        <n v="-0.94299999999999995"/>
        <n v="-0.73199999999999998"/>
        <n v="-0.51200000000000001"/>
        <n v="0.89700000000000002"/>
        <n v="0.23400000000000001"/>
        <n v="-0.497"/>
        <n v="-0.86799999999999999"/>
        <n v="-0.92700000000000005"/>
        <n v="0.23899999999999999"/>
        <n v="1.7999999999999999E-2"/>
        <n v="0.17"/>
        <n v="0.47899999999999998"/>
        <n v="0.66600000000000004"/>
        <n v="-0.28399999999999997"/>
        <n v="0.56699999999999995"/>
        <n v="0.436"/>
        <n v="0.317"/>
        <n v="0.65100000000000002"/>
        <n v="-0.94099999999999995"/>
        <n v="-0.215"/>
        <n v="-0.85499999999999998"/>
        <n v="-0.33800000000000002"/>
        <n v="0.439"/>
        <n v="-0.89400000000000002"/>
        <n v="-0.80500000000000005"/>
        <n v="-0.57899999999999996"/>
        <n v="-6.6000000000000003E-2"/>
        <n v="-0.12"/>
        <n v="-0.42199999999999999"/>
        <n v="-0.622"/>
        <n v="0.68700000000000006"/>
        <n v="0.93400000000000005"/>
        <n v="-0.129"/>
        <n v="-7.0999999999999994E-2"/>
        <n v="-0.48699999999999999"/>
        <n v="0.309"/>
        <n v="0.61699999999999999"/>
        <n v="0.95599999999999996"/>
        <n v="0.28799999999999998"/>
        <n v="-0.33300000000000002"/>
        <n v="-0.84199999999999997"/>
        <n v="9.6000000000000002E-2"/>
        <n v="-0.23899999999999999"/>
        <n v="0.42699999999999999"/>
        <n v="-1.4999999999999999E-2"/>
        <n v="0.80900000000000005"/>
        <n v="-0.58899999999999997"/>
        <n v="-0.441"/>
        <n v="-3.2000000000000001E-2"/>
        <n v="0.43099999999999999"/>
        <n v="0.105"/>
        <n v="-0.92900000000000005"/>
        <n v="0.88400000000000001"/>
        <n v="-0.48899999999999999"/>
        <n v="-0.99099999999999999"/>
        <n v="0.39"/>
        <n v="-0.876"/>
        <n v="0.16200000000000001"/>
        <n v="-0.59799999999999998"/>
        <n v="0.253"/>
        <n v="-0.76200000000000001"/>
        <n v="3.5000000000000003E-2"/>
        <n v="0.59299999999999997"/>
        <n v="-0.97699999999999998"/>
        <n v="0.53900000000000003"/>
        <n v="0.27600000000000002"/>
        <n v="-0.71599999999999997"/>
        <n v="-0.36399999999999999"/>
        <n v="-0.74199999999999999"/>
        <n v="-0.34100000000000003"/>
        <n v="0.55600000000000005"/>
        <n v="0.63"/>
        <n v="0.96699999999999997"/>
        <n v="-0.96299999999999997"/>
        <n v="-0.47099999999999997"/>
        <n v="-0.91600000000000004"/>
        <n v="0.92400000000000004"/>
        <n v="0.124"/>
        <n v="-0.42"/>
        <n v="-0.82599999999999996"/>
        <n v="-0.97599999999999998"/>
        <n v="-0.80200000000000005"/>
        <n v="8.4000000000000005E-2"/>
        <n v="-0.91500000000000004"/>
        <n v="0.36399999999999999"/>
        <n v="0.5"/>
        <n v="-8.1000000000000003E-2"/>
        <n v="0.86899999999999999"/>
        <n v="0.91800000000000004"/>
        <n v="-0.46300000000000002"/>
        <n v="-0.108"/>
        <n v="0.36"/>
        <n v="0.184"/>
        <n v="0.48199999999999998"/>
        <n v="0.76700000000000002"/>
        <n v="-0.79600000000000004"/>
        <n v="0.17399999999999999"/>
        <n v="-0.26"/>
        <n v="0.11"/>
        <n v="-0.35"/>
        <n v="-0.45100000000000001"/>
        <n v="0.97799999999999998"/>
        <n v="0.42099999999999999"/>
        <n v="0.63400000000000001"/>
        <n v="-0.254"/>
        <n v="0.45100000000000001"/>
        <n v="0.123"/>
        <n v="-0.23100000000000001"/>
        <n v="-0.32300000000000001"/>
        <n v="-0.80300000000000005"/>
        <n v="0.75900000000000001"/>
        <n v="0.64200000000000002"/>
        <n v="0.221"/>
        <n v="-0.371"/>
        <n v="0.122"/>
        <n v="0.49299999999999999"/>
        <n v="-0.77600000000000002"/>
        <n v="0.45700000000000002"/>
        <n v="0.79800000000000004"/>
        <n v="0.186"/>
        <n v="-0.34"/>
        <n v="-0.376"/>
        <n v="-0.84399999999999997"/>
        <n v="0.30599999999999999"/>
        <n v="4.7E-2"/>
        <n v="0.65800000000000003"/>
        <n v="-0.995"/>
        <n v="2.5999999999999999E-2"/>
        <n v="-0.65100000000000002"/>
        <n v="0.82"/>
        <n v="0.877"/>
        <n v="0.84399999999999997"/>
        <n v="6.8000000000000005E-2"/>
        <n v="-0.70499999999999996"/>
        <n v="-0.80100000000000005"/>
        <n v="-0.9"/>
        <n v="7.2999999999999995E-2"/>
        <n v="-0.96199999999999997"/>
        <n v="0.20100000000000001"/>
        <n v="0.97899999999999998"/>
        <n v="0.34399999999999997"/>
        <n v="-0.05"/>
        <n v="-0.152"/>
        <n v="0.76100000000000001"/>
        <n v="-0.69699999999999995"/>
        <n v="0.40500000000000003"/>
        <n v="0.29099999999999998"/>
        <n v="0.96899999999999997"/>
        <n v="0.35099999999999998"/>
        <n v="0.313"/>
        <n v="-0.184"/>
        <n v="-0.66200000000000003"/>
        <n v="-0.372"/>
        <n v="-0.97099999999999997"/>
        <n v="0.79500000000000004"/>
        <n v="-0.80800000000000005"/>
        <n v="-0.20699999999999999"/>
        <n v="0.41699999999999998"/>
        <n v="-0.94"/>
        <n v="0.85699999999999998"/>
        <n v="0.22600000000000001"/>
        <n v="0.48099999999999998"/>
        <n v="-0.188"/>
        <n v="0.24399999999999999"/>
        <n v="-0.52800000000000002"/>
        <n v="-0.186"/>
        <n v="0.85599999999999998"/>
        <n v="-0.53800000000000003"/>
        <n v="0.42899999999999999"/>
        <n v="0.91500000000000004"/>
        <n v="-0.67400000000000004"/>
        <n v="0.57899999999999996"/>
        <n v="-0.99299999999999999"/>
        <n v="0.64100000000000001"/>
        <n v="-2.4E-2"/>
        <n v="-0.79300000000000004"/>
        <n v="-0.71899999999999997"/>
        <n v="-0.52400000000000002"/>
        <n v="-0.312"/>
        <n v="0.216"/>
        <n v="5.6000000000000001E-2"/>
        <n v="0.88800000000000001"/>
        <n v="0.61199999999999999"/>
        <n v="8.0000000000000002E-3"/>
        <n v="-0.70899999999999996"/>
        <n v="0.81899999999999995"/>
        <n v="0.72199999999999998"/>
        <n v="-0.49299999999999999"/>
        <n v="0.83499999999999996"/>
        <n v="-0.82699999999999996"/>
        <n v="0.41299999999999998"/>
        <n v="-0.25900000000000001"/>
        <n v="0.94199999999999995"/>
        <n v="5.2999999999999999E-2"/>
        <n v="0.16800000000000001"/>
        <n v="-0.78900000000000003"/>
        <n v="-0.44"/>
        <n v="0.307"/>
        <n v="3.1E-2"/>
        <n v="-0.74299999999999999"/>
        <n v="-0.39900000000000002"/>
        <n v="0.46400000000000002"/>
        <n v="0.73099999999999998"/>
        <n v="-0.46100000000000002"/>
        <n v="0.69199999999999995"/>
        <n v="0.47299999999999998"/>
        <n v="0.48799999999999999"/>
        <n v="0.20399999999999999"/>
        <n v="0.83599999999999997"/>
        <n v="0.97399999999999998"/>
        <n v="0.49399999999999999"/>
        <n v="0.47"/>
        <n v="0.71699999999999997"/>
        <n v="-0.21"/>
        <n v="-0.36899999999999999"/>
        <n v="0.433"/>
        <n v="0.36499999999999999"/>
        <n v="-0.95399999999999996"/>
        <n v="-0.19500000000000001"/>
        <n v="-0.88700000000000001"/>
        <n v="-0.86099999999999999"/>
        <n v="0.10299999999999999"/>
        <n v="-0.65"/>
        <n v="-0.40400000000000003"/>
        <n v="-0.23799999999999999"/>
        <n v="0.33500000000000002"/>
        <n v="-0.68"/>
        <n v="-0.72599999999999998"/>
        <n v="-0.96699999999999997"/>
        <n v="0.70599999999999996"/>
        <n v="-0.57799999999999996"/>
        <n v="0.40300000000000002"/>
        <n v="-0.54600000000000004"/>
        <n v="-0.82"/>
        <n v="0.64700000000000002"/>
        <n v="-0.53600000000000003"/>
        <n v="-0.27700000000000002"/>
        <n v="0.73399999999999999"/>
        <n v="-0.70799999999999996"/>
        <n v="0.113"/>
        <n v="1.7000000000000001E-2"/>
        <n v="0.95899999999999996"/>
        <n v="-0.35299999999999998"/>
        <n v="0.62"/>
        <n v="-0.48799999999999999"/>
        <n v="-0.97199999999999998"/>
        <n v="-0.34699999999999998"/>
        <n v="0.48899999999999999"/>
        <n v="-0.873"/>
        <n v="-0.40200000000000002"/>
        <n v="-0.65500000000000003"/>
        <n v="-0.91100000000000003"/>
        <n v="0.41199999999999998"/>
        <n v="0.3"/>
        <n v="0.61799999999999999"/>
        <n v="-0.89500000000000002"/>
        <n v="-0.65200000000000002"/>
        <n v="-0.40600000000000003"/>
        <n v="-0.91400000000000003"/>
        <n v="-0.33400000000000002"/>
        <n v="0.95099999999999996"/>
        <n v="-0.28899999999999998"/>
        <n v="0.95299999999999996"/>
        <n v="-0.96799999999999997"/>
        <n v="-0.86199999999999999"/>
        <n v="0.35599999999999998"/>
        <n v="-0.85399999999999998"/>
        <n v="0.29699999999999999"/>
        <n v="-0.59099999999999997"/>
        <n v="-0.60799999999999998"/>
        <n v="-7.5999999999999998E-2"/>
        <n v="0.11899999999999999"/>
        <n v="0.434"/>
        <n v="0.26900000000000002"/>
        <n v="-6.4000000000000001E-2"/>
        <n v="2.8000000000000001E-2"/>
        <n v="0.22700000000000001"/>
        <n v="0.92700000000000005"/>
        <n v="-0.79500000000000004"/>
        <n v="0.70699999999999996"/>
        <n v="0.32600000000000001"/>
        <n v="-0.77700000000000002"/>
        <n v="-1.2E-2"/>
        <n v="0.16900000000000001"/>
        <n v="0.27400000000000002"/>
        <n v="0.86599999999999999"/>
        <n v="-0.39"/>
        <n v="-6.3E-2"/>
        <n v="0.24199999999999999"/>
        <n v="-0.56299999999999994"/>
        <n v="0.222"/>
        <n v="0.48399999999999999"/>
        <n v="-0.68200000000000005"/>
        <n v="-0.71399999999999997"/>
        <n v="0.59499999999999997"/>
        <n v="-0.73099999999999998"/>
        <n v="0.97599999999999998"/>
        <n v="0.70099999999999996"/>
        <n v="0.54800000000000004"/>
        <n v="-0.156"/>
        <n v="-0.83799999999999997"/>
        <n v="-0.66300000000000003"/>
        <n v="-0.499"/>
        <n v="0.96599999999999997"/>
        <n v="0.38500000000000001"/>
        <n v="0.91300000000000003"/>
        <n v="-0.63800000000000001"/>
        <n v="0.38700000000000001"/>
        <n v="-0.32600000000000001"/>
        <n v="0.371"/>
        <n v="0.44800000000000001"/>
        <n v="-0.45400000000000001"/>
        <n v="-0.50900000000000001"/>
        <n v="0.60499999999999998"/>
        <n v="0.17499999999999999"/>
        <n v="-0.84099999999999997"/>
        <n v="-0.95299999999999996"/>
        <n v="0.94299999999999995"/>
        <n v="5.8000000000000003E-2"/>
        <n v="-0.41099999999999998"/>
        <n v="0.83899999999999997"/>
        <n v="0.58599999999999997"/>
        <n v="-0.47"/>
        <n v="0.81299999999999994"/>
        <n v="0.78900000000000003"/>
        <n v="-0.57599999999999996"/>
        <n v="-0.193"/>
        <n v="0.80300000000000005"/>
        <n v="-0.08"/>
        <n v="0.45200000000000001"/>
        <n v="-5.7000000000000002E-2"/>
        <n v="0.76"/>
        <n v="0.67900000000000005"/>
        <n v="0.308"/>
        <n v="-0.61599999999999999"/>
        <n v="-0.98099999999999998"/>
        <n v="0.33200000000000002"/>
        <n v="-0.71499999999999997"/>
        <n v="1.9E-2"/>
        <n v="2E-3"/>
        <n v="0.89100000000000001"/>
        <n v="-0.93899999999999995"/>
        <n v="-0.27800000000000002"/>
        <n v="0.97299999999999998"/>
        <n v="-0.51"/>
        <n v="-0.81799999999999995"/>
        <n v="0.05"/>
        <n v="-0.36799999999999999"/>
        <n v="6.4000000000000001E-2"/>
        <n v="8.5000000000000006E-2"/>
        <n v="-0.88200000000000001"/>
        <n v="0.97"/>
        <n v="0.255"/>
        <n v="0.63800000000000001"/>
        <n v="-0.81299999999999994"/>
        <n v="0.25700000000000001"/>
        <n v="0.63600000000000001"/>
        <n v="0.997"/>
        <n v="-1.7999999999999999E-2"/>
        <n v="0.59799999999999998"/>
        <n v="0.66"/>
        <n v="-0.19400000000000001"/>
        <n v="0.114"/>
        <n v="-3.0000000000000001E-3"/>
        <n v="-0.16600000000000001"/>
        <n v="-0.76400000000000001"/>
        <n v="0.73899999999999999"/>
        <n v="1.4E-2"/>
        <n v="-0.154"/>
        <n v="-2.5999999999999999E-2"/>
        <n v="0.85"/>
        <n v="-0.83599999999999997"/>
        <n v="0.185"/>
        <n v="0.41499999999999998"/>
        <n v="-0.18099999999999999"/>
        <n v="0.36099999999999999"/>
        <n v="-0.38500000000000001"/>
        <n v="0.82299999999999995"/>
        <n v="-0.40699999999999997"/>
        <n v="-0.82099999999999995"/>
        <n v="0.56299999999999994"/>
        <n v="-0.63600000000000001"/>
        <n v="-0.74"/>
        <n v="-0.50700000000000001"/>
        <n v="0.96299999999999997"/>
        <n v="0.126"/>
        <n v="-0.61399999999999999"/>
        <n v="0.59"/>
        <n v="0.83"/>
        <n v="-0.36699999999999999"/>
        <n v="0.435"/>
        <n v="-0.75900000000000001"/>
        <n v="0.53600000000000003"/>
        <n v="0.69899999999999995"/>
        <n v="7.8E-2"/>
        <n v="0.60099999999999998"/>
        <n v="0.19900000000000001"/>
        <n v="-3.9E-2"/>
        <n v="0.81399999999999995"/>
        <n v="-0.79"/>
        <n v="7.6999999999999999E-2"/>
        <n v="0.42"/>
        <n v="-0.33600000000000002"/>
        <n v="0.60899999999999999"/>
        <n v="-0.69399999999999995"/>
        <n v="-0.216"/>
        <n v="0.64900000000000002"/>
        <n v="-0.443"/>
        <n v="-0.70699999999999996"/>
        <n v="-0.316"/>
        <n v="-0.13500000000000001"/>
        <n v="0.80200000000000005"/>
        <n v="0.69299999999999995"/>
        <n v="0.11799999999999999"/>
        <n v="0.377"/>
        <n v="-0.59699999999999998"/>
        <n v="-0.877"/>
        <n v="-8.7999999999999995E-2"/>
        <n v="-0.22700000000000001"/>
        <n v="-0.85"/>
        <n v="0.56899999999999995"/>
        <n v="-7.9000000000000001E-2"/>
        <n v="0.223"/>
        <n v="0.39500000000000002"/>
        <n v="-0.27200000000000002"/>
        <n v="0.58199999999999996"/>
        <n v="0.751"/>
        <n v="0.44500000000000001"/>
        <n v="-0.50600000000000001"/>
        <n v="-5.0000000000000001E-3"/>
        <n v="-0.85099999999999998"/>
        <n v="0.19600000000000001"/>
        <n v="-0.182"/>
        <n v="0.71899999999999997"/>
        <n v="0.376"/>
        <n v="0.92"/>
        <n v="7.0000000000000007E-2"/>
        <n v="0.28899999999999998"/>
        <n v="0.45600000000000002"/>
        <n v="6.9000000000000006E-2"/>
        <n v="-0.42799999999999999"/>
        <n v="0.58099999999999996"/>
        <n v="-0.30099999999999999"/>
        <n v="-0.94499999999999995"/>
        <n v="-0.79900000000000004"/>
        <n v="-0.746"/>
        <n v="-0.72899999999999998"/>
        <n v="-0.70599999999999996"/>
        <n v="0.64400000000000002"/>
        <n v="-0.69099999999999995"/>
        <n v="0.13"/>
        <n v="0.67200000000000004"/>
        <n v="0.16400000000000001"/>
        <n v="-0.99199999999999999"/>
        <n v="0.29399999999999998"/>
        <n v="-0.505"/>
        <n v="9.0999999999999998E-2"/>
        <n v="0.68"/>
        <n v="0.6"/>
        <n v="0.745"/>
        <n v="-0.64600000000000002"/>
        <n v="-0.85199999999999998"/>
        <n v="-0.56799999999999995"/>
        <n v="-0.90800000000000003"/>
        <n v="3.7999999999999999E-2"/>
        <n v="-0.90900000000000003"/>
        <n v="-0.17699999999999999"/>
        <n v="-0.92800000000000005"/>
        <n v="0.442"/>
        <n v="-0.89200000000000002"/>
        <n v="-0.32500000000000001"/>
        <n v="-0.73299999999999998"/>
        <n v="0.75"/>
        <n v="-0.72199999999999998"/>
        <n v="0.23799999999999999"/>
        <n v="-0.54700000000000004"/>
        <n v="0.58299999999999996"/>
        <n v="0.94099999999999995"/>
        <n v="0.501"/>
        <n v="0.44900000000000001"/>
        <n v="-5.8000000000000003E-2"/>
        <n v="0.23499999999999999"/>
        <n v="-0.34799999999999998"/>
        <n v="-0.45300000000000001"/>
        <n v="-0.55400000000000005"/>
        <n v="-0.32"/>
        <n v="-0.29699999999999999"/>
        <n v="-0.83399999999999996"/>
        <n v="-0.93100000000000005"/>
        <n v="-0.81399999999999995"/>
        <n v="-0.20799999999999999"/>
        <n v="-0.5"/>
        <n v="-0.93"/>
        <n v="-0.59"/>
        <n v="0.52"/>
        <n v="-0.217"/>
        <n v="-7.8E-2"/>
        <n v="0.47099999999999997"/>
        <n v="0.98399999999999999"/>
        <n v="-0.13400000000000001"/>
        <n v="0.77800000000000002"/>
        <n v="-0.78300000000000003"/>
        <n v="0.08"/>
        <n v="-0.45500000000000002"/>
        <n v="0.752"/>
        <n v="0.505"/>
        <n v="-0.495"/>
        <n v="-0.64300000000000002"/>
        <n v="-4.9000000000000002E-2"/>
        <n v="-0.40899999999999997"/>
        <n v="4.4999999999999998E-2"/>
        <n v="0.747"/>
        <n v="-0.58699999999999997"/>
        <n v="-0.24099999999999999"/>
        <n v="-0.25600000000000001"/>
        <n v="-0.314"/>
        <n v="0.71499999999999997"/>
        <n v="-0.25"/>
        <n v="-0.625"/>
        <n v="-0.222"/>
        <n v="-0.52700000000000002"/>
        <n v="7.3999999999999996E-2"/>
        <n v="0.68400000000000005"/>
        <n v="0.93700000000000006"/>
        <n v="-0.64900000000000002"/>
        <n v="-1E-3"/>
        <n v="0.77900000000000003"/>
        <n v="-0.13900000000000001"/>
        <n v="0.23699999999999999"/>
        <n v="-0.77"/>
        <n v="-0.89100000000000001"/>
        <n v="0.623"/>
        <n v="-8.3000000000000004E-2"/>
        <n v="-0.7"/>
        <n v="-0.58099999999999996"/>
        <n v="0.28100000000000003"/>
        <n v="5.0000000000000001E-3"/>
        <n v="-0.93400000000000005"/>
        <n v="-0.63700000000000001"/>
        <n v="-0.38400000000000001"/>
        <n v="-0.245"/>
        <n v="0.91100000000000003"/>
        <n v="-0.54100000000000004"/>
        <n v="0.52200000000000002"/>
        <n v="0.79700000000000004"/>
        <n v="-0.28799999999999998"/>
        <n v="-0.25800000000000001"/>
        <n v="0.23100000000000001"/>
        <n v="-0.87"/>
        <n v="0.68500000000000005"/>
        <n v="0.56499999999999995"/>
        <n v="-3.5999999999999997E-2"/>
        <n v="0.95"/>
        <n v="-0.66500000000000004"/>
        <n v="0.879"/>
        <n v="-0.749"/>
        <n v="-0.36"/>
        <n v="-0.38200000000000001"/>
        <n v="0.69"/>
        <n v="3.2000000000000001E-2"/>
        <n v="-8.6999999999999994E-2"/>
        <n v="0.28599999999999998"/>
        <n v="0.99099999999999999"/>
        <n v="0.68300000000000005"/>
        <n v="0.40100000000000002"/>
        <n v="-0.96099999999999997"/>
        <n v="-0.57299999999999995"/>
        <n v="-0.61899999999999999"/>
        <n v="-0.73399999999999999"/>
        <n v="-0.17199999999999999"/>
        <n v="-0.29099999999999998"/>
        <n v="-0.51900000000000002"/>
        <n v="-0.30299999999999999"/>
        <n v="-0.35499999999999998"/>
        <n v="-0.84499999999999997"/>
        <n v="-0.14299999999999999"/>
        <n v="-0.79200000000000004"/>
        <n v="-7.4999999999999997E-2"/>
        <n v="0.71099999999999997"/>
        <n v="-0.81200000000000006"/>
        <n v="1.0999999999999999E-2"/>
        <n v="-0.41199999999999998"/>
        <n v="-0.64100000000000001"/>
        <n v="9.5000000000000001E-2"/>
        <n v="-0.502"/>
        <n v="-0.77800000000000002"/>
        <n v="-0.43"/>
        <n v="0.14099999999999999"/>
        <n v="0.316"/>
        <n v="-0.67500000000000004"/>
        <n v="-0.98899999999999999"/>
        <n v="-0.26700000000000002"/>
        <n v="0.66300000000000003"/>
        <n v="0.42199999999999999"/>
        <n v="0.64"/>
        <n v="0.17899999999999999"/>
        <n v="0.625"/>
        <n v="0.69799999999999995"/>
        <n v="0.45500000000000002"/>
        <n v="-0.73"/>
        <n v="-9.4E-2"/>
        <n v="0.19800000000000001"/>
        <n v="7.9000000000000001E-2"/>
        <n v="-0.253"/>
        <n v="0.183"/>
        <n v="-0.90100000000000002"/>
        <n v="0.13200000000000001"/>
        <n v="0.94799999999999995"/>
        <n v="-9.0999999999999998E-2"/>
        <n v="-0.91800000000000004"/>
        <n v="-0.503"/>
        <n v="0.89800000000000002"/>
        <n v="-0.126"/>
        <n v="-0.78700000000000003"/>
        <n v="-0.125"/>
        <n v="0.151"/>
        <n v="-0.121"/>
        <n v="-0.29499999999999998"/>
        <n v="0.82699999999999996"/>
        <n v="0.37"/>
        <n v="-0.58799999999999997"/>
        <n v="1.2999999999999999E-2"/>
        <n v="0.27200000000000002"/>
        <n v="0.36299999999999999"/>
        <n v="0.46500000000000002"/>
        <n v="0.23599999999999999"/>
        <n v="-0.58599999999999997"/>
        <n v="-0.46"/>
        <n v="-0.13800000000000001"/>
        <n v="0.31"/>
        <n v="0.86299999999999999"/>
        <n v="-0.97399999999999998"/>
        <n v="-6.0999999999999999E-2"/>
        <n v="-9.1999999999999998E-2"/>
        <n v="0.753"/>
        <n v="0.51700000000000002"/>
        <n v="-6.9000000000000006E-2"/>
        <n v="-4.7E-2"/>
        <n v="-0.19700000000000001"/>
        <n v="-0.33900000000000002"/>
        <n v="0.49"/>
        <n v="-0.59199999999999997"/>
        <n v="0.20599999999999999"/>
        <n v="0.30299999999999999"/>
        <n v="0.215"/>
        <n v="0.13100000000000001"/>
        <n v="5.3999999999999999E-2"/>
        <n v="-0.373"/>
        <n v="-6.5000000000000002E-2"/>
        <n v="0.67"/>
        <n v="0.56599999999999995"/>
        <n v="0.17199999999999999"/>
        <n v="-0.36199999999999999"/>
        <n v="-0.44400000000000001"/>
        <n v="-0.26900000000000002"/>
        <n v="0.624"/>
        <n v="0.88700000000000001"/>
        <n v="0.21199999999999999"/>
        <n v="0.91700000000000004"/>
        <n v="0.51200000000000001"/>
        <n v="0.35199999999999998"/>
        <n v="0.89600000000000002"/>
        <n v="-0.16500000000000001"/>
        <n v="-0.93600000000000005"/>
        <n v="-0.623"/>
        <n v="0.59899999999999998"/>
        <n v="-0.69899999999999995"/>
        <n v="-0.79100000000000004"/>
        <n v="0.61499999999999999"/>
        <n v="-0.96899999999999997"/>
        <n v="-3.6999999999999998E-2"/>
        <n v="-0.68799999999999994"/>
        <n v="-0.21299999999999999"/>
        <n v="0.69499999999999995"/>
        <n v="-0.23400000000000001"/>
        <n v="0.90800000000000003"/>
        <n v="-0.46200000000000002"/>
        <n v="-8.2000000000000003E-2"/>
        <n v="-0.63300000000000001"/>
        <n v="0.75700000000000001"/>
        <n v="-0.70199999999999996"/>
        <n v="0.20200000000000001"/>
        <n v="0.182"/>
        <n v="-0.82399999999999995"/>
        <n v="0.246"/>
        <n v="0.64300000000000002"/>
        <n v="-0.68400000000000005"/>
        <n v="0.70499999999999996"/>
        <n v="0.79600000000000004"/>
        <n v="-0.90300000000000002"/>
        <n v="0.65600000000000003"/>
        <n v="-0.44500000000000001"/>
        <n v="0.46800000000000003"/>
        <n v="-0.24399999999999999"/>
        <n v="-0.89"/>
        <n v="0.127"/>
        <n v="-0.183"/>
        <n v="0.38100000000000001"/>
        <n v="0.81499999999999995"/>
        <n v="0.23"/>
        <n v="0.152"/>
        <n v="0.84499999999999997"/>
        <n v="-0.84299999999999997"/>
        <n v="0.91"/>
        <n v="-0.86499999999999999"/>
        <n v="0.56799999999999995"/>
        <n v="0.318"/>
        <n v="-0.20200000000000001"/>
        <n v="-0.41399999999999998"/>
        <n v="0.57799999999999996"/>
        <n v="0.73299999999999998"/>
        <n v="0.504"/>
        <n v="-0.36099999999999999"/>
        <n v="-0.22"/>
        <n v="0.438"/>
        <n v="-0.39400000000000002"/>
        <n v="-0.89300000000000002"/>
        <n v="-0.82799999999999996"/>
        <n v="-0.751"/>
        <n v="-0.84"/>
        <n v="0.41399999999999998"/>
        <n v="0.29299999999999998"/>
        <n v="-0.998"/>
        <n v="0.34799999999999998"/>
        <n v="0.96499999999999997"/>
        <n v="0.99199999999999999"/>
        <n v="0.94399999999999995"/>
        <n v="-0.40100000000000002"/>
        <n v="-2.1000000000000001E-2"/>
        <n v="-0.69"/>
        <n v="-0.58199999999999996"/>
        <n v="0.55100000000000005"/>
        <n v="0.77100000000000002"/>
        <n v="-4.2000000000000003E-2"/>
        <n v="-0.55700000000000005"/>
        <n v="-0.73899999999999999"/>
        <n v="-0.88"/>
        <n v="0.01"/>
        <n v="-0.72299999999999998"/>
        <n v="0.22500000000000001"/>
        <n v="0.27"/>
        <n v="-0.79400000000000004"/>
        <n v="0.73199999999999998"/>
        <n v="-0.38900000000000001"/>
        <n v="0.622"/>
        <n v="0.29599999999999999"/>
        <n v="0.39100000000000001"/>
        <n v="-2.1999999999999999E-2"/>
        <n v="-0.81899999999999995"/>
        <n v="0.61099999999999999"/>
        <n v="0.94599999999999995"/>
        <n v="0.373"/>
        <n v="7.4999999999999997E-2"/>
        <n v="0.86099999999999999"/>
        <n v="-0.82899999999999996"/>
        <n v="0.49099999999999999"/>
        <n v="-0.26600000000000001"/>
        <n v="0.52500000000000002"/>
        <n v="0.57099999999999995"/>
        <n v="0.13800000000000001"/>
        <n v="0.94"/>
        <n v="0.57599999999999996"/>
        <n v="0.25800000000000001"/>
        <n v="-0.2"/>
        <n v="-0.81100000000000005"/>
        <n v="0.76800000000000002"/>
        <n v="0.33300000000000002"/>
        <n v="-0.35799999999999998"/>
        <n v="0.77200000000000002"/>
        <n v="-0.61699999999999999"/>
        <n v="0.44400000000000001"/>
        <n v="-0.29199999999999998"/>
        <n v="0.192"/>
        <n v="0.68200000000000005"/>
        <n v="-0.98599999999999999"/>
        <n v="-0.70399999999999996"/>
        <n v="-0.44600000000000001"/>
        <n v="-0.48399999999999999"/>
        <n v="-0.39500000000000002"/>
        <n v="-7.2999999999999995E-2"/>
        <n v="-0.375"/>
        <n v="0.375"/>
        <n v="0.26400000000000001"/>
        <n v="-0.42499999999999999"/>
        <n v="0.17699999999999999"/>
        <n v="-0.311"/>
        <n v="0.13500000000000001"/>
        <n v="0.39200000000000002"/>
        <n v="-0.51800000000000002"/>
        <n v="0.27700000000000002"/>
        <n v="-0.27900000000000003"/>
        <n v="-0.95699999999999996"/>
        <n v="0.497"/>
        <n v="-0.38"/>
        <n v="0.97499999999999998"/>
        <n v="-0.90600000000000003"/>
        <n v="0.78300000000000003"/>
        <n v="-0.20399999999999999"/>
        <n v="-0.754"/>
        <n v="-0.82299999999999995"/>
        <n v="-0.218"/>
        <n v="0.45"/>
        <n v="-0.41699999999999998"/>
        <n v="0.99299999999999999"/>
        <n v="0.82399999999999995"/>
        <n v="-0.255"/>
        <n v="0.86399999999999999"/>
        <n v="-0.34200000000000003"/>
        <n v="0.53800000000000003"/>
        <n v="-0.72499999999999998"/>
        <n v="-0.112"/>
        <n v="-0.65300000000000002"/>
        <n v="0.16600000000000001"/>
        <n v="0.64600000000000002"/>
        <n v="0.67700000000000005"/>
        <n v="-0.61499999999999999"/>
        <n v="0.69099999999999995"/>
        <n v="-0.63"/>
        <n v="-0.35099999999999998"/>
        <n v="0.68899999999999995"/>
        <n v="-0.46600000000000003"/>
        <n v="0.13900000000000001"/>
        <n v="0.88900000000000001"/>
        <n v="0.85799999999999998"/>
        <n v="-0.97799999999999998"/>
        <n v="-0.94699999999999995"/>
        <n v="-0.56399999999999995"/>
        <n v="0"/>
        <n v="0.04"/>
        <n v="0.995"/>
        <n v="4.1000000000000002E-2"/>
        <n v="0.94699999999999995"/>
        <n v="0.432"/>
        <n v="-0.45700000000000002"/>
        <n v="-0.33200000000000002"/>
        <n v="-0.318"/>
        <n v="-0.94599999999999995"/>
        <n v="0.56200000000000006"/>
        <n v="0.76500000000000001"/>
        <n v="-6.2E-2"/>
        <n v="-0.69199999999999995"/>
        <n v="-0.13100000000000001"/>
        <n v="4.0000000000000001E-3"/>
        <n v="0.58799999999999997"/>
        <n v="0.108"/>
        <n v="-0.153"/>
        <n v="-0.51600000000000001"/>
        <n v="0.629"/>
        <n v="0.63500000000000001"/>
        <n v="0.27300000000000002"/>
        <n v="-0.97299999999999998"/>
        <n v="-0.54300000000000004"/>
        <n v="0.621"/>
        <n v="0.85899999999999999"/>
        <n v="0.188"/>
        <n v="0.628"/>
        <n v="0.82499999999999996"/>
        <n v="0.79400000000000004"/>
        <n v="0.41599999999999998"/>
        <n v="0.32800000000000001"/>
        <n v="-0.66800000000000004"/>
        <n v="-5.8999999999999997E-2"/>
        <n v="0.74099999999999999"/>
        <n v="0.59199999999999997"/>
        <n v="-0.42899999999999999"/>
        <n v="0.755"/>
        <n v="-0.28699999999999998"/>
        <n v="-8.5999999999999993E-2"/>
        <n v="0.84899999999999998"/>
        <n v="0.129"/>
        <n v="0.90700000000000003"/>
        <n v="-0.53500000000000003"/>
        <n v="0.72299999999999998"/>
        <n v="-0.60099999999999998"/>
        <n v="0.502"/>
        <n v="0.88200000000000001"/>
        <n v="-0.434"/>
        <n v="-0.91"/>
        <n v="0.85299999999999998"/>
        <n v="0.85399999999999998"/>
        <n v="0.92100000000000004"/>
        <n v="-0.68899999999999995"/>
        <n v="-0.81499999999999995"/>
        <n v="-0.16900000000000001"/>
        <n v="0.56999999999999995"/>
        <n v="-0.35199999999999998"/>
        <n v="0.19700000000000001"/>
        <n v="0.98599999999999999"/>
        <n v="0.85099999999999998"/>
        <n v="0.70799999999999996"/>
        <n v="0.20499999999999999"/>
        <n v="-0.88300000000000001"/>
        <n v="-0.42599999999999999"/>
        <n v="-0.13200000000000001"/>
        <n v="-0.20100000000000001"/>
        <n v="0.191"/>
        <m/>
      </sharedItems>
    </cacheField>
    <cacheField name="Total_Attacks" numFmtId="0">
      <sharedItems containsString="0" containsBlank="1" containsNumber="1" containsInteger="1" minValue="1" maxValue="197" count="192">
        <n v="112"/>
        <n v="106"/>
        <n v="37"/>
        <n v="57"/>
        <n v="52"/>
        <n v="113"/>
        <n v="129"/>
        <n v="6"/>
        <n v="127"/>
        <n v="154"/>
        <n v="83"/>
        <n v="66"/>
        <n v="128"/>
        <n v="61"/>
        <n v="139"/>
        <n v="108"/>
        <n v="69"/>
        <n v="182"/>
        <n v="54"/>
        <n v="51"/>
        <n v="77"/>
        <n v="158"/>
        <n v="145"/>
        <n v="82"/>
        <n v="76"/>
        <n v="74"/>
        <n v="168"/>
        <n v="137"/>
        <n v="62"/>
        <n v="68"/>
        <n v="100"/>
        <n v="117"/>
        <n v="187"/>
        <n v="159"/>
        <n v="31"/>
        <n v="102"/>
        <n v="138"/>
        <n v="49"/>
        <n v="115"/>
        <n v="142"/>
        <n v="36"/>
        <n v="90"/>
        <n v="88"/>
        <n v="132"/>
        <n v="53"/>
        <n v="14"/>
        <n v="45"/>
        <n v="32"/>
        <n v="184"/>
        <n v="78"/>
        <n v="65"/>
        <n v="98"/>
        <n v="85"/>
        <n v="84"/>
        <n v="34"/>
        <n v="165"/>
        <n v="123"/>
        <n v="133"/>
        <n v="134"/>
        <n v="58"/>
        <n v="64"/>
        <n v="118"/>
        <n v="116"/>
        <n v="55"/>
        <n v="50"/>
        <n v="161"/>
        <n v="91"/>
        <n v="20"/>
        <n v="121"/>
        <n v="188"/>
        <n v="141"/>
        <n v="157"/>
        <n v="79"/>
        <n v="181"/>
        <n v="75"/>
        <n v="173"/>
        <n v="110"/>
        <n v="160"/>
        <n v="72"/>
        <n v="101"/>
        <n v="126"/>
        <n v="73"/>
        <n v="41"/>
        <n v="87"/>
        <n v="166"/>
        <n v="95"/>
        <n v="122"/>
        <n v="29"/>
        <n v="86"/>
        <n v="174"/>
        <n v="169"/>
        <n v="143"/>
        <n v="151"/>
        <n v="109"/>
        <n v="119"/>
        <n v="42"/>
        <n v="26"/>
        <n v="120"/>
        <n v="114"/>
        <n v="124"/>
        <n v="130"/>
        <n v="80"/>
        <n v="28"/>
        <n v="107"/>
        <n v="63"/>
        <n v="152"/>
        <n v="149"/>
        <n v="7"/>
        <n v="135"/>
        <n v="190"/>
        <n v="131"/>
        <n v="96"/>
        <n v="111"/>
        <n v="136"/>
        <n v="186"/>
        <n v="47"/>
        <n v="92"/>
        <n v="70"/>
        <n v="103"/>
        <n v="150"/>
        <n v="81"/>
        <n v="167"/>
        <n v="192"/>
        <n v="67"/>
        <n v="89"/>
        <n v="155"/>
        <n v="60"/>
        <n v="39"/>
        <n v="156"/>
        <n v="153"/>
        <n v="24"/>
        <n v="180"/>
        <n v="93"/>
        <n v="56"/>
        <n v="94"/>
        <n v="46"/>
        <n v="35"/>
        <n v="163"/>
        <n v="146"/>
        <n v="105"/>
        <n v="25"/>
        <n v="99"/>
        <n v="33"/>
        <n v="44"/>
        <n v="162"/>
        <n v="23"/>
        <n v="71"/>
        <n v="104"/>
        <n v="164"/>
        <n v="97"/>
        <n v="176"/>
        <n v="147"/>
        <n v="191"/>
        <n v="189"/>
        <n v="18"/>
        <n v="48"/>
        <n v="17"/>
        <n v="140"/>
        <n v="22"/>
        <n v="16"/>
        <n v="148"/>
        <n v="21"/>
        <n v="170"/>
        <n v="12"/>
        <n v="40"/>
        <n v="194"/>
        <n v="15"/>
        <n v="59"/>
        <n v="172"/>
        <n v="125"/>
        <n v="179"/>
        <n v="43"/>
        <n v="175"/>
        <n v="144"/>
        <n v="5"/>
        <n v="9"/>
        <n v="38"/>
        <n v="13"/>
        <n v="178"/>
        <n v="185"/>
        <n v="30"/>
        <n v="1"/>
        <n v="8"/>
        <n v="177"/>
        <n v="193"/>
        <n v="19"/>
        <n v="171"/>
        <n v="27"/>
        <n v="2"/>
        <n v="197"/>
        <n v="183"/>
        <m/>
      </sharedItems>
    </cacheField>
    <cacheField name="Total_Casualties" numFmtId="0">
      <sharedItems containsString="0" containsBlank="1" containsNumber="1" containsInteger="1" minValue="4" maxValue="237" count="229">
        <n v="93"/>
        <n v="110"/>
        <n v="115"/>
        <n v="190"/>
        <n v="209"/>
        <n v="20"/>
        <n v="145"/>
        <n v="47"/>
        <n v="85"/>
        <n v="107"/>
        <n v="133"/>
        <n v="61"/>
        <n v="118"/>
        <n v="113"/>
        <n v="164"/>
        <n v="86"/>
        <n v="14"/>
        <n v="31"/>
        <n v="176"/>
        <n v="53"/>
        <n v="78"/>
        <n v="126"/>
        <n v="111"/>
        <n v="122"/>
        <n v="91"/>
        <n v="147"/>
        <n v="143"/>
        <n v="188"/>
        <n v="219"/>
        <n v="50"/>
        <n v="76"/>
        <n v="89"/>
        <n v="157"/>
        <n v="119"/>
        <n v="72"/>
        <n v="154"/>
        <n v="120"/>
        <n v="90"/>
        <n v="138"/>
        <n v="132"/>
        <n v="146"/>
        <n v="165"/>
        <n v="130"/>
        <n v="152"/>
        <n v="216"/>
        <n v="33"/>
        <n v="156"/>
        <n v="22"/>
        <n v="129"/>
        <n v="43"/>
        <n v="42"/>
        <n v="182"/>
        <n v="44"/>
        <n v="169"/>
        <n v="54"/>
        <n v="101"/>
        <n v="49"/>
        <n v="121"/>
        <n v="210"/>
        <n v="67"/>
        <n v="69"/>
        <n v="83"/>
        <n v="28"/>
        <n v="84"/>
        <n v="25"/>
        <n v="167"/>
        <n v="68"/>
        <n v="128"/>
        <n v="178"/>
        <n v="151"/>
        <n v="106"/>
        <n v="58"/>
        <n v="166"/>
        <n v="57"/>
        <n v="55"/>
        <n v="80"/>
        <n v="124"/>
        <n v="198"/>
        <n v="59"/>
        <n v="112"/>
        <n v="35"/>
        <n v="180"/>
        <n v="99"/>
        <n v="77"/>
        <n v="87"/>
        <n v="174"/>
        <n v="171"/>
        <n v="144"/>
        <n v="189"/>
        <n v="39"/>
        <n v="127"/>
        <n v="114"/>
        <n v="214"/>
        <n v="75"/>
        <n v="131"/>
        <n v="97"/>
        <n v="139"/>
        <n v="15"/>
        <n v="137"/>
        <n v="148"/>
        <n v="175"/>
        <n v="38"/>
        <n v="27"/>
        <n v="208"/>
        <n v="215"/>
        <n v="74"/>
        <n v="159"/>
        <n v="187"/>
        <n v="184"/>
        <n v="162"/>
        <n v="200"/>
        <n v="117"/>
        <n v="123"/>
        <n v="231"/>
        <n v="163"/>
        <n v="195"/>
        <n v="173"/>
        <n v="105"/>
        <n v="103"/>
        <n v="96"/>
        <n v="29"/>
        <n v="56"/>
        <n v="10"/>
        <n v="98"/>
        <n v="185"/>
        <n v="218"/>
        <n v="160"/>
        <n v="172"/>
        <n v="95"/>
        <n v="94"/>
        <n v="168"/>
        <n v="140"/>
        <n v="92"/>
        <n v="116"/>
        <n v="186"/>
        <n v="81"/>
        <n v="82"/>
        <n v="108"/>
        <n v="73"/>
        <n v="141"/>
        <n v="71"/>
        <n v="135"/>
        <n v="202"/>
        <n v="212"/>
        <n v="204"/>
        <n v="136"/>
        <n v="100"/>
        <n v="161"/>
        <n v="181"/>
        <n v="24"/>
        <n v="203"/>
        <n v="63"/>
        <n v="194"/>
        <n v="206"/>
        <n v="153"/>
        <n v="196"/>
        <n v="109"/>
        <n v="207"/>
        <n v="179"/>
        <n v="21"/>
        <n v="125"/>
        <n v="102"/>
        <n v="177"/>
        <n v="88"/>
        <n v="234"/>
        <n v="64"/>
        <n v="46"/>
        <n v="192"/>
        <n v="70"/>
        <n v="197"/>
        <n v="227"/>
        <n v="79"/>
        <n v="30"/>
        <n v="51"/>
        <n v="37"/>
        <n v="62"/>
        <n v="19"/>
        <n v="158"/>
        <n v="170"/>
        <n v="52"/>
        <n v="41"/>
        <n v="191"/>
        <n v="104"/>
        <n v="149"/>
        <n v="155"/>
        <n v="66"/>
        <n v="230"/>
        <n v="225"/>
        <n v="237"/>
        <n v="142"/>
        <n v="193"/>
        <n v="232"/>
        <n v="183"/>
        <n v="60"/>
        <n v="26"/>
        <n v="229"/>
        <n v="17"/>
        <n v="13"/>
        <n v="150"/>
        <n v="65"/>
        <n v="134"/>
        <n v="4"/>
        <n v="32"/>
        <n v="220"/>
        <n v="36"/>
        <n v="45"/>
        <n v="222"/>
        <n v="201"/>
        <n v="226"/>
        <n v="211"/>
        <n v="199"/>
        <n v="223"/>
        <n v="40"/>
        <n v="7"/>
        <n v="221"/>
        <n v="217"/>
        <n v="6"/>
        <n v="235"/>
        <n v="48"/>
        <n v="16"/>
        <n v="34"/>
        <n v="23"/>
        <n v="11"/>
        <n v="18"/>
        <n v="228"/>
        <n v="8"/>
        <n v="224"/>
        <n v="9"/>
        <m/>
      </sharedItems>
    </cacheField>
    <cacheField name="Attack_success_Rate" numFmtId="2">
      <sharedItems containsString="0" containsBlank="1" containsNumber="1" minValue="-22" maxValue="1" count="1631">
        <n v="0.8125"/>
        <n v="0.83018867924528295"/>
        <n v="0.40540540540540498"/>
        <n v="0.57894736842105299"/>
        <n v="-0.15384615384615399"/>
        <n v="0.238938053097345"/>
        <n v="0.92248062015503896"/>
        <n v="-4.5"/>
        <n v="0.68503937007874005"/>
        <n v="0.70779220779220797"/>
        <n v="0.95180722891566305"/>
        <n v="-0.28787878787878801"/>
        <n v="-0.31818181818181801"/>
        <n v="0.546875"/>
        <n v="0.55737704918032804"/>
        <n v="0.76978417266187105"/>
        <n v="0.38888888888888901"/>
        <n v="0.320754716981132"/>
        <n v="0.83928571428571397"/>
        <n v="0.30434782608695699"/>
        <n v="0.376811594202899"/>
        <n v="0.37795275590551197"/>
        <n v="0.86813186813186805"/>
        <n v="0.26086956521739102"/>
        <n v="0.66666666666666696"/>
        <n v="0.58823529411764697"/>
        <n v="0.96103896103896103"/>
        <n v="0.689873417721519"/>
        <n v="0.74482758620689704"/>
        <n v="0.439024390243902"/>
        <n v="0.93421052631579005"/>
        <n v="0.57547169811320797"/>
        <n v="0.77027027027026995"/>
        <n v="0.63690476190476197"/>
        <n v="0.56934306569343096"/>
        <n v="-1.6129032258064498E-2"/>
        <n v="0.82352941176470595"/>
        <n v="0.73"/>
        <n v="0.69230769230769196"/>
        <n v="0.914438502673797"/>
        <n v="0.85534591194968601"/>
        <n v="-1.74193548387097"/>
        <n v="0.74509803921568596"/>
        <n v="0.39855072463768099"/>
        <n v="0.72868217054263595"/>
        <n v="0.469387755102041"/>
        <n v="0.71304347826087"/>
        <n v="0.99295774647887303"/>
        <n v="-1"/>
        <n v="0.9"/>
        <n v="0.23863636363636401"/>
        <n v="0.77272727272727304"/>
        <n v="0.41304347826087001"/>
        <n v="0.75471698113207597"/>
        <n v="-4.5714285714285703"/>
        <n v="0.36111111111111099"/>
        <n v="-0.18918918918918901"/>
        <n v="0.46666666666666701"/>
        <n v="6.25E-2"/>
        <n v="0.79891304347826098"/>
        <n v="-1.9607843137254902E-2"/>
        <n v="-1.2820512820512799E-2"/>
        <n v="0.43076923076923102"/>
        <n v="0.62244897959183698"/>
        <n v="0.55294117647058805"/>
        <n v="0.96470588235294097"/>
        <n v="0.297619047619048"/>
        <n v="-0.58823529411764697"/>
        <n v="0.49696969696969701"/>
        <n v="0.94308943089430897"/>
        <n v="0.33834586466165401"/>
        <n v="0.52985074626865702"/>
        <n v="-6.8965517241379296E-2"/>
        <n v="0.82481751824817495"/>
        <n v="-0.34375"/>
        <n v="0.6"/>
        <n v="0.69491525423728795"/>
        <n v="0.70085470085470103"/>
        <n v="0.85344827586206895"/>
        <n v="0.83636363636363598"/>
        <n v="0.72262773722627704"/>
        <n v="-0.42"/>
        <n v="0.77018633540372705"/>
        <n v="0.27472527472527503"/>
        <n v="0.76033057851239705"/>
        <n v="0.76595744680851097"/>
        <n v="-0.44444444444444398"/>
        <n v="0.592592592592593"/>
        <n v="0.88652482269503496"/>
        <n v="0.39130434782608697"/>
        <n v="0.79591836734693899"/>
        <n v="1"/>
        <n v="0.77707006369426801"/>
        <n v="0.455696202531646"/>
        <n v="0.82320441988950299"/>
        <n v="0.97520661157024802"/>
        <n v="0.98780487804878103"/>
        <n v="-0.04"/>
        <n v="0.98265895953757199"/>
        <n v="0.80909090909090897"/>
        <n v="0.98750000000000004"/>
        <n v="0.4"/>
        <n v="0.88636363636363602"/>
        <n v="0.66473988439306397"/>
        <n v="0.47222222222222199"/>
        <n v="0.42857142857142899"/>
        <n v="0.79207920792079201"/>
        <n v="0.99206349206349198"/>
        <n v="-0.219178082191781"/>
        <n v="-0.85365853658536595"/>
        <n v="0.886075949367089"/>
        <n v="0.49425287356321801"/>
        <n v="0.79746835443038"/>
        <n v="0.52777777777777801"/>
        <n v="0.61538461538461497"/>
        <n v="0.66265060240963902"/>
        <n v="0.57377049180327899"/>
        <n v="0.75"/>
        <n v="0.115789473684211"/>
        <n v="0.69672131147541005"/>
        <n v="0.175824175824176"/>
        <n v="0.74647887323943696"/>
        <n v="-0.89655172413793105"/>
        <n v="6.9767441860465101E-2"/>
        <n v="0.79310344827586199"/>
        <n v="0.67460317460317498"/>
        <n v="0.75739644970414199"/>
        <n v="0.557894736842105"/>
        <n v="0.43055555555555602"/>
        <n v="0.55944055944056004"/>
        <n v="0.94890510948905105"/>
        <n v="0.19318181818181801"/>
        <n v="0.64900662251655605"/>
        <n v="0.91791044776119401"/>
        <n v="0.38532110091743099"/>
        <n v="0.56470588235294095"/>
        <n v="0.721804511278196"/>
        <n v="0.39669421487603301"/>
        <n v="0.92957746478873204"/>
        <n v="0.94117647058823495"/>
        <n v="-0.85714285714285698"/>
        <n v="0.94166666666666698"/>
        <n v="0.81065088757396497"/>
        <n v="-0.225806451612903"/>
        <n v="2.7027027027027001E-2"/>
        <n v="0.88679245283018904"/>
        <n v="0.81578947368421095"/>
        <n v="0.83760683760683796"/>
        <n v="-0.175438596491228"/>
        <n v="0.72254335260115599"/>
        <n v="0.58870967741935498"/>
        <n v="0.430894308943089"/>
        <n v="0.51515151515151503"/>
        <n v="0.58461538461538498"/>
        <n v="7.4999999999999997E-2"/>
        <n v="-1.53571428571429"/>
        <n v="0.71428571428571397"/>
        <n v="0.233644859813084"/>
        <n v="0.158730158730159"/>
        <n v="0.98026315789473695"/>
        <n v="0.31578947368421101"/>
        <n v="0.43220338983050899"/>
        <n v="0.28448275862069"/>
        <n v="0.81208053691275195"/>
        <n v="0.7265625"/>
        <n v="-3.8571428571428599"/>
        <n v="0.29565217391304399"/>
        <n v="-1.75"/>
        <n v="0.93333333333333302"/>
        <n v="0.46153846153846201"/>
        <n v="0.52201257861635197"/>
        <n v="0.58421052631578996"/>
        <n v="0.23853211009174299"/>
        <n v="0.94656488549618301"/>
        <n v="-0.48148148148148101"/>
        <n v="0.93006993006993"/>
        <n v="-1.0540540540540499"/>
        <n v="-0.91666666666666696"/>
        <n v="0.38666666666666699"/>
        <n v="0.336842105263158"/>
        <n v="0.104166666666667"/>
        <n v="0.57657657657657702"/>
        <n v="0.60294117647058798"/>
        <n v="0.71505376344086002"/>
        <n v="-6.3829787234042604E-2"/>
        <n v="-0.81632653061224503"/>
        <n v="9.7826086956521702E-2"/>
        <n v="0.1"/>
        <n v="0.24285714285714299"/>
        <n v="0.394736842105263"/>
        <n v="0.60194174757281604"/>
        <n v="0.54"/>
        <n v="0.54362416107382605"/>
        <n v="0.92592592592592604"/>
        <n v="0.46428571428571402"/>
        <n v="0.87654320987654299"/>
        <n v="0.98802395209580796"/>
        <n v="0.16"/>
        <n v="0.83333333333333304"/>
        <n v="0.55813953488372103"/>
        <n v="0.90625"/>
        <n v="-0.104477611940299"/>
        <n v="0.25842696629213502"/>
        <n v="0.72058823529411797"/>
        <n v="0.81290322580645202"/>
        <n v="0.76296296296296295"/>
        <n v="-0.43333333333333302"/>
        <n v="-0.22222222222222199"/>
        <n v="0.91358024691357997"/>
        <n v="0.76190476190476197"/>
        <n v="0.27350427350427398"/>
        <n v="0.45454545454545497"/>
        <n v="0.41025641025641002"/>
        <n v="3.1746031746031703E-2"/>
        <n v="0.79104477611940305"/>
        <n v="0.38793103448275901"/>
        <n v="0.43589743589743601"/>
        <n v="0.27941176470588203"/>
        <n v="-3.4285714285714302"/>
        <n v="0.54545454545454497"/>
        <n v="0.57516339869280997"/>
        <n v="0.59842519685039397"/>
        <n v="-1.9166666666666701"/>
        <n v="0.43442622950819698"/>
        <n v="0.58888888888888902"/>
        <n v="0.976377952755906"/>
        <n v="0.93023255813953498"/>
        <n v="0.39784946236559099"/>
        <n v="0.55614973262032097"/>
        <n v="0.41269841269841301"/>
        <n v="0.96428571428571397"/>
        <n v="0.56557377049180302"/>
        <n v="0.90425531914893598"/>
        <n v="-4.71428571428571"/>
        <n v="0.378151260504202"/>
        <n v="0.75838926174496701"/>
        <n v="0.71844660194174803"/>
        <n v="0.86956521739130399"/>
        <n v="0.68571428571428605"/>
        <n v="0.67910447761194004"/>
        <n v="-0.371428571428571"/>
        <n v="0.61349693251533699"/>
        <n v="0.42465753424657499"/>
        <n v="0.54477611940298498"/>
        <n v="0.48550724637681197"/>
        <n v="0.68148148148148202"/>
        <n v="0.55882352941176505"/>
        <n v="0.75238095238095204"/>
        <n v="-0.18666666666666701"/>
        <n v="0.39655172413793099"/>
        <n v="0.421875"/>
        <n v="0.98275862068965503"/>
        <n v="0.240740740740741"/>
        <n v="0.48412698412698402"/>
        <n v="0.93406593406593397"/>
        <n v="0.238095238095238"/>
        <n v="0.32786885245901598"/>
        <n v="0.820754716981132"/>
        <n v="-8.5714285714285701E-2"/>
        <n v="0.76"/>
        <n v="0.53508771929824595"/>
        <n v="0.89312977099236701"/>
        <n v="0.78181818181818197"/>
        <n v="0.76315789473684204"/>
        <n v="0.44444444444444398"/>
        <n v="0.817460317460318"/>
        <n v="0.77049180327868905"/>
        <n v="-0.15584415584415601"/>
        <n v="0.69333333333333302"/>
        <n v="0.5"/>
        <n v="0.65656565656565702"/>
        <n v="0.81132075471698095"/>
        <n v="0.54037267080745299"/>
        <n v="0.37313432835820898"/>
        <n v="-0.27272727272727298"/>
        <n v="0.296875"/>
        <n v="-6.3492063492063502E-2"/>
        <n v="0.81372549019607798"/>
        <n v="0.35849056603773599"/>
        <n v="0.66071428571428603"/>
        <n v="0.70987654320987703"/>
        <n v="0.55128205128205099"/>
        <n v="0.46496815286624199"/>
        <n v="-0.79545454545454497"/>
        <n v="0.88666666666666705"/>
        <n v="0.86363636363636398"/>
        <n v="0.39716312056737602"/>
        <n v="0.89090909090909098"/>
        <n v="4.3478260869565202E-2"/>
        <n v="0.36885245901639302"/>
        <n v="0.37234042553191499"/>
        <n v="0.352112676056338"/>
        <n v="-0.2"/>
        <n v="0.94915254237288105"/>
        <n v="0.77118644067796605"/>
        <n v="0.96323529411764697"/>
        <n v="-0.17857142857142899"/>
        <n v="0.92168674698795205"/>
        <n v="0.89423076923076905"/>
        <n v="0.45333333333333298"/>
        <n v="0.96951219512195097"/>
        <n v="0.32989690721649501"/>
        <n v="0.81818181818181801"/>
        <n v="0.74175824175824201"/>
        <n v="-0.36585365853658502"/>
        <n v="0.22727272727272699"/>
        <n v="0.77142857142857202"/>
        <n v="0.53435114503816805"/>
        <n v="0.54421768707482998"/>
        <n v="-2.4"/>
        <n v="0.21875"/>
        <n v="0.95588235294117696"/>
        <n v="0.91623036649214695"/>
        <n v="0.55555555555555602"/>
        <n v="0"/>
        <n v="0.57692307692307698"/>
        <n v="0.246153846153846"/>
        <n v="0.22222222222222199"/>
        <n v="0.97916666666666696"/>
        <n v="-0.91428571428571404"/>
        <n v="0.453125"/>
        <n v="0.77631578947368396"/>
        <n v="-3.2941176470588198"/>
        <n v="-2.9411764705882401E-2"/>
        <n v="0.60714285714285698"/>
        <n v="0.61111111111111105"/>
        <n v="0.67521367521367504"/>
        <n v="0.54054054054054101"/>
        <n v="0.43859649122806998"/>
        <n v="0.84962406015037595"/>
        <n v="-1.0909090909090899"/>
        <n v="0.442105263157895"/>
        <n v="-4.25"/>
        <n v="0.38"/>
        <n v="0.97872340425531901"/>
        <n v="0.83108108108108103"/>
        <n v="0.19811320754716999"/>
        <n v="0.41964285714285698"/>
        <n v="-0.61904761904761896"/>
        <n v="0.86231884057970998"/>
        <n v="0.86013986013985999"/>
        <n v="0.57480314960629897"/>
        <n v="0.73188405797101497"/>
        <n v="0.92537313432835799"/>
        <n v="0.51428571428571401"/>
        <n v="-0.88095238095238104"/>
        <n v="0.56565656565656597"/>
        <n v="0.20952380952381"/>
        <n v="0.80952380952380998"/>
        <n v="0.56488549618320605"/>
        <n v="0.98203592814371299"/>
        <n v="0.536082474226804"/>
        <n v="0.266666666666667"/>
        <n v="0.72566371681415898"/>
        <n v="5.1282051282051301E-2"/>
        <n v="0.680851063829787"/>
        <n v="0.60465116279069797"/>
        <n v="0.467391304347826"/>
        <n v="0.89570552147239302"/>
        <n v="0.83898305084745795"/>
        <n v="0.97580645161290303"/>
        <n v="0.82781456953642396"/>
        <n v="0.90163934426229497"/>
        <n v="0.48739495798319299"/>
        <n v="0.83734939759036098"/>
        <n v="0.74193548387096797"/>
        <n v="0.865079365079365"/>
        <n v="0.75657894736842102"/>
        <n v="0.84276729559748398"/>
        <n v="0.40425531914893598"/>
        <n v="0.92307692307692302"/>
        <n v="0.99259259259259303"/>
        <n v="0.55633802816901401"/>
        <n v="0.439393939393939"/>
        <n v="0.65294117647058803"/>
        <n v="0.88429752066115697"/>
        <n v="-5.5"/>
        <n v="0.60115606936416199"/>
        <n v="0.50684931506849296"/>
        <n v="0.469135802469136"/>
        <n v="0.62698412698412698"/>
        <n v="0.78571428571428603"/>
        <n v="0.86896551724137905"/>
        <n v="0.05"/>
        <n v="0.40659340659340698"/>
        <n v="0.90476190476190499"/>
        <n v="0.33750000000000002"/>
        <n v="0.57333333333333303"/>
        <n v="0.154929577464789"/>
        <n v="0.44642857142857101"/>
        <n v="0.58441558441558406"/>
        <n v="-0.70967741935483897"/>
        <n v="-3"/>
        <n v="0.66949152542372903"/>
        <n v="-0.45098039215686297"/>
        <n v="0.89719626168224298"/>
        <n v="0.91249999999999998"/>
        <n v="0.467289719626168"/>
        <n v="0.791139240506329"/>
        <n v="0.91379310344827602"/>
        <n v="0.85906040268456396"/>
        <n v="0.61250000000000004"/>
        <n v="0.76984126984126999"/>
        <n v="0.59574468085106402"/>
        <n v="0.63414634146341498"/>
        <n v="-0.625"/>
        <n v="0.53174603174603197"/>
        <n v="0.58169934640522902"/>
        <n v="0.36263736263736301"/>
        <n v="0.84482758620689702"/>
        <n v="0.54014598540145997"/>
        <n v="0.683544303797468"/>
        <n v="0.63703703703703696"/>
        <n v="0.77099236641221403"/>
        <n v="0.77922077922077904"/>
        <n v="0.82142857142857095"/>
        <n v="0.78378378378378399"/>
        <n v="0.67763157894736903"/>
        <n v="0.78666666666666696"/>
        <n v="0.162162162162162"/>
        <n v="0.93684210526315803"/>
        <n v="0.6328125"/>
        <n v="0.64550264550264602"/>
        <n v="-0.70454545454545503"/>
        <n v="0.64566929133858297"/>
        <n v="0.97499999999999998"/>
        <n v="-0.8"/>
        <n v="-0.4375"/>
        <n v="0.27551020408163301"/>
        <n v="0.41592920353982299"/>
        <n v="0.53763440860215095"/>
        <n v="-2.03571428571429"/>
        <n v="0.69047619047619102"/>
        <n v="-0.27659574468085102"/>
        <n v="0.77108433734939796"/>
        <n v="0.54901960784313697"/>
        <n v="-0.22388059701492499"/>
        <n v="0.47"/>
        <n v="0.98484848484848497"/>
        <n v="0.53191489361702105"/>
        <n v="0.42424242424242398"/>
        <n v="0.93617021276595802"/>
        <n v="0.42748091603053401"/>
        <n v="0.66060606060606097"/>
        <n v="-3.2786885245901599E-2"/>
        <n v="-1.13333333333333"/>
        <n v="0.88811188811188801"/>
        <n v="0.96855345911949697"/>
        <n v="0.74285714285714299"/>
        <n v="0.77222222222222203"/>
        <n v="0.40178571428571402"/>
        <n v="0.32941176470588202"/>
        <n v="0.84472049689440998"/>
        <n v="0.72560975609756095"/>
        <n v="-0.13559322033898299"/>
        <n v="0.79245283018867896"/>
        <n v="0.58682634730538896"/>
        <n v="0.474683544303797"/>
        <n v="0.48684210526315802"/>
        <n v="0.8"/>
        <n v="0.81481481481481499"/>
        <n v="0.82242990654205606"/>
        <n v="0.75789473684210495"/>
        <n v="0.37"/>
        <n v="0.296296296296296"/>
        <n v="0.93491124260354996"/>
        <n v="5.8139534883720902E-2"/>
        <n v="0.97826086956521696"/>
        <n v="0.52857142857142903"/>
        <n v="0.91538461538461502"/>
        <n v="0.49635036496350399"/>
        <n v="0.84"/>
        <n v="0.28749999999999998"/>
        <n v="0.30864197530864201"/>
        <n v="0.51886792452830199"/>
        <n v="0.61224489795918402"/>
        <n v="0.971830985915493"/>
        <n v="0.507692307692308"/>
        <n v="0.79464285714285698"/>
        <n v="0.89600000000000002"/>
        <n v="-7.2289156626505993E-2"/>
        <n v="0.30327868852459"/>
        <n v="0.43421052631578999"/>
        <n v="0.15909090909090901"/>
        <n v="-0.17647058823529399"/>
        <n v="0.25531914893617003"/>
        <n v="0.33333333333333298"/>
        <n v="0.90340909090909105"/>
        <n v="0.59119496855345899"/>
        <n v="0.87323943661971803"/>
        <n v="0.375"/>
        <n v="-0.45454545454545497"/>
        <n v="0.49315068493150699"/>
        <n v="0.41463414634146301"/>
        <n v="4.8387096774193603E-2"/>
        <n v="0.86163522012578597"/>
        <n v="0.11"/>
        <n v="0.840425531914894"/>
        <n v="0.19148936170212799"/>
        <n v="0.74301675977653603"/>
        <n v="-0.67441860465116299"/>
        <n v="0.36666666666666697"/>
        <n v="0.43965517241379298"/>
        <n v="7.0175438596491196E-2"/>
        <n v="0.61016949152542399"/>
        <n v="-0.30303030303030298"/>
        <n v="0.44736842105263203"/>
        <n v="0.64705882352941202"/>
        <n v="0.69934640522875802"/>
        <n v="0.76470588235294101"/>
        <n v="9.1954022988505801E-2"/>
        <n v="0.56756756756756799"/>
        <n v="0.59235668789808904"/>
        <n v="0.04"/>
        <n v="0.94285714285714295"/>
        <n v="0.67625899280575497"/>
        <n v="-0.39285714285714302"/>
        <n v="0.49038461538461497"/>
        <n v="0.44029850746268701"/>
        <n v="0.170212765957447"/>
        <n v="0.171875"/>
        <n v="-7.69230769230769E-2"/>
        <n v="0.560606060606061"/>
        <n v="0.81714285714285695"/>
        <n v="-1.2916666666666701"/>
        <n v="0.86666666666666703"/>
        <n v="-0.30555555555555602"/>
        <n v="0.32954545454545497"/>
        <n v="0.59375"/>
        <n v="0.316239316239316"/>
        <n v="0.506493506493506"/>
        <n v="-2.0714285714285698"/>
        <n v="0.934782608695652"/>
        <n v="0.70212765957446799"/>
        <n v="0.38095238095238099"/>
        <n v="0.52500000000000002"/>
        <n v="0.80503144654088099"/>
        <n v="0.57638888888888895"/>
        <n v="0.43065693430656898"/>
        <n v="0.87096774193548399"/>
        <n v="0.39830508474576298"/>
        <n v="-3.9444444444444402"/>
        <n v="0.61744966442952998"/>
        <n v="0.57142857142857095"/>
        <n v="0.95959595959596"/>
        <n v="0.12727272727272701"/>
        <n v="-3.3333333333333298E-2"/>
        <n v="3.8961038961039002E-2"/>
        <n v="0.82089552238805996"/>
        <n v="-0.92682926829268297"/>
        <n v="0.80701754385964897"/>
        <n v="0.57251908396946605"/>
        <n v="-14"/>
        <n v="0.55921052631579005"/>
        <n v="0.232558139534884"/>
        <n v="0.37068965517241398"/>
        <n v="0.42953020134228198"/>
        <n v="0.462365591397849"/>
        <n v="0.61194029850746301"/>
        <n v="0.64935064935064901"/>
        <n v="0.32824427480916002"/>
        <n v="-0.25"/>
        <n v="-3.3898305084745797E-2"/>
        <n v="0.81395348837209303"/>
        <n v="0.44360902255639101"/>
        <n v="-0.194444444444444"/>
        <n v="0.90178571428571397"/>
        <n v="-0.48484848484848497"/>
        <n v="0.92413793103448305"/>
        <n v="0.476190476190476"/>
        <n v="0.47857142857142898"/>
        <n v="-2.875"/>
        <n v="-0.76"/>
        <n v="0.70833333333333304"/>
        <n v="0.88888888888888895"/>
        <n v="0.25301204819277101"/>
        <n v="0.38582677165354301"/>
        <n v="0.70270270270270296"/>
        <n v="0.98192771084337405"/>
        <n v="0.92727272727272703"/>
        <n v="-0.162790697674419"/>
        <n v="0.76635514018691597"/>
        <n v="0.69523809523809499"/>
        <n v="0.99270072992700698"/>
        <n v="0.53465346534653502"/>
        <n v="0.60227272727272696"/>
        <n v="0.94927536231884102"/>
        <n v="0.95384615384615401"/>
        <n v="0.78350515463917503"/>
        <n v="0.57763975155279501"/>
        <n v="0.162790697674419"/>
        <n v="0.69841269841269804"/>
        <n v="0.62251655629139102"/>
        <n v="0.36923076923076897"/>
        <n v="0.71538461538461495"/>
        <n v="0.34285714285714303"/>
        <n v="0.78787878787878796"/>
        <n v="0.94444444444444398"/>
        <n v="0.69078947368421095"/>
        <n v="0.69565217391304401"/>
        <n v="0.97857142857142898"/>
        <n v="-2.5641025641025599E-2"/>
        <n v="-0.27692307692307699"/>
        <n v="0.99065420560747697"/>
        <n v="0.53125"/>
        <n v="0.79738562091503296"/>
        <n v="0.65454545454545499"/>
        <n v="-0.17460317460317501"/>
        <n v="0.84126984126984095"/>
        <n v="0.855855855855856"/>
        <n v="0.93793103448275905"/>
        <n v="0.25225225225225201"/>
        <n v="0.18518518518518501"/>
        <n v="0.41836734693877597"/>
        <n v="0.70370370370370405"/>
        <n v="-0.72"/>
        <n v="0.612403100775194"/>
        <n v="0.80246913580246904"/>
        <n v="0.39455782312925203"/>
        <n v="0.65277777777777801"/>
        <n v="-0.15625"/>
        <n v="0.72093023255814004"/>
        <n v="0.60674157303370801"/>
        <n v="0.83529411764705896"/>
        <n v="0.70247933884297498"/>
        <n v="0.49132947976878599"/>
        <n v="-0.31578947368421101"/>
        <n v="0.34117647058823503"/>
        <n v="0.314285714285714"/>
        <n v="0.68518518518518501"/>
        <n v="0.95541401273885396"/>
        <n v="0.78260869565217395"/>
        <n v="0.23931623931623899"/>
        <n v="-1.07692307692308"/>
        <n v="-0.26865671641791"/>
        <n v="0.84574468085106402"/>
        <n v="0.25833333333333303"/>
        <n v="0.67021276595744705"/>
        <n v="0.670886075949367"/>
        <n v="0.38938053097345099"/>
        <n v="0.67878787878787905"/>
        <n v="4.91803278688525E-2"/>
        <n v="-0.4"/>
        <n v="-1.7307692307692299"/>
        <n v="0.58490566037735903"/>
        <n v="0.19819819819819801"/>
        <n v="0.81553398058252402"/>
        <n v="0.83707865168539297"/>
        <n v="0.69444444444444398"/>
        <n v="-0.31372549019607798"/>
        <n v="0.16867469879518099"/>
        <n v="0.122448979591837"/>
        <n v="0.76530612244898"/>
        <n v="0.56741573033707904"/>
        <n v="0.54494382022471899"/>
        <n v="0.45901639344262302"/>
        <n v="0.78417266187050405"/>
        <n v="0.84023668639053295"/>
        <n v="0.80291970802919699"/>
        <n v="0.8984375"/>
        <n v="0.51818181818181797"/>
        <n v="0.98958333333333304"/>
        <n v="0.20754716981132099"/>
        <n v="-1.5151515151515201E-2"/>
        <n v="0.55681818181818199"/>
        <n v="0.72903225806451599"/>
        <n v="-0.24137931034482801"/>
        <n v="0.59"/>
        <n v="0.20792079207920799"/>
        <n v="0.49074074074074098"/>
        <n v="0.29508196721311503"/>
        <n v="0.98571428571428599"/>
        <n v="0.70535714285714302"/>
        <n v="0.93913043478260905"/>
        <n v="0.36065573770491799"/>
        <n v="0.74545454545454604"/>
        <n v="0.72972972972973005"/>
        <n v="0.55384615384615399"/>
        <n v="0.47933884297520701"/>
        <n v="0.24489795918367299"/>
        <n v="0.19178082191780799"/>
        <n v="-2"/>
        <n v="0.99009900990098998"/>
        <n v="-0.28571428571428598"/>
        <n v="0.72033898305084698"/>
        <n v="0.48809523809523803"/>
        <n v="-0.86842105263157898"/>
        <n v="0.970873786407767"/>
        <n v="0.422222222222222"/>
        <n v="8.95522388059702E-2"/>
        <n v="0.55208333333333304"/>
        <n v="7.8947368421052599E-2"/>
        <n v="0.77205882352941202"/>
        <n v="0.87068965517241403"/>
        <n v="0.99047619047619095"/>
        <n v="0.61842105263157898"/>
        <n v="0.27586206896551702"/>
        <n v="0.93043478260869605"/>
        <n v="0.449367088607595"/>
        <n v="0.488721804511278"/>
        <n v="0.46969696969697"/>
        <n v="0.488549618320611"/>
        <n v="0.57575757575757602"/>
        <n v="0.83464566929133899"/>
        <n v="0.45098039215686297"/>
        <n v="-0.214285714285714"/>
        <n v="-0.93333333333333302"/>
        <n v="0.91666666666666696"/>
        <n v="0.26041666666666702"/>
        <n v="-0.11111111111111099"/>
        <n v="0.96875"/>
        <n v="0.58181818181818201"/>
        <n v="0.94680851063829796"/>
        <n v="0.59550561797752799"/>
        <n v="0.91071428571428603"/>
        <n v="0.38524590163934402"/>
        <n v="0.35555555555555601"/>
        <n v="0.530120481927711"/>
        <n v="0.746835443037975"/>
        <n v="0.13043478260869601"/>
        <n v="0.77710843373493999"/>
        <n v="-0.33333333333333298"/>
        <n v="0.58024691358024705"/>
        <n v="0.59459459459459496"/>
        <n v="-0.144736842105263"/>
        <n v="2.1739130434782601E-2"/>
        <n v="0.57046979865771796"/>
        <n v="0.52830188679245305"/>
        <n v="-0.12962962962963001"/>
        <n v="0.63461538461538503"/>
        <n v="0.835443037974684"/>
        <n v="0.60402684563758402"/>
        <n v="0.59782608695652195"/>
        <n v="0.10958904109589"/>
        <n v="0.645569620253165"/>
        <n v="0.53153153153153199"/>
        <n v="0.73333333333333295"/>
        <n v="-0.76923076923076905"/>
        <n v="0.91428571428571404"/>
        <n v="0.60439560439560402"/>
        <n v="0.55714285714285705"/>
        <n v="0.19047619047618999"/>
        <n v="0.91954022988505801"/>
        <n v="0.33944954128440402"/>
        <n v="0.96491228070175405"/>
        <n v="0.20270270270270299"/>
        <n v="0.94805194805194803"/>
        <n v="0.27906976744186002"/>
        <n v="0.22916666666666699"/>
        <n v="0.93902439024390205"/>
        <n v="0.70329670329670302"/>
        <n v="0.80916030534351202"/>
        <n v="0.202898550724638"/>
        <n v="0.28888888888888897"/>
        <n v="-0.43548387096774199"/>
        <n v="0.79032258064516103"/>
        <n v="1.5384615384615399E-2"/>
        <n v="0.62096774193548399"/>
        <n v="0.53977272727272696"/>
        <n v="0.45689655172413801"/>
        <n v="0.96907216494845405"/>
        <n v="0.63087248322147704"/>
        <n v="0.31"/>
        <n v="0.95789473684210502"/>
        <n v="-0.3"/>
        <n v="0.84146341463414598"/>
        <n v="0.95744680851063801"/>
        <n v="-9.2105263157894704E-2"/>
        <n v="0.67716535433070901"/>
        <n v="0.63043478260869601"/>
        <n v="0.93396226415094297"/>
        <n v="0.98787878787878802"/>
        <n v="0.12903225806451599"/>
        <n v="0.60683760683760701"/>
        <n v="-0.35294117647058798"/>
        <n v="-0.5"/>
        <n v="5.4945054945054903E-2"/>
        <n v="-2.7397260273972601E-2"/>
        <n v="0.92028985507246397"/>
        <n v="0.30666666666666698"/>
        <n v="0.63302752293578002"/>
        <n v="0.97619047619047605"/>
        <n v="-0.7"/>
        <n v="-0.20895522388059701"/>
        <n v="0.66878980891719697"/>
        <n v="-0.1"/>
        <n v="5.3763440860215103E-2"/>
        <n v="0.57971014492753603"/>
        <n v="0.52941176470588203"/>
        <n v="-4"/>
        <n v="0.21052631578947401"/>
        <n v="0.30120481927710802"/>
        <n v="0.77483443708609301"/>
        <n v="0.27450980392156898"/>
        <n v="0.89403973509933798"/>
        <n v="0.53398058252427205"/>
        <n v="-0.141025641025641"/>
        <n v="-0.434782608695652"/>
        <n v="0.48"/>
        <n v="0.26495726495726502"/>
        <n v="0.74038461538461497"/>
        <n v="0.66386554621848703"/>
        <n v="-0.36363636363636398"/>
        <n v="0.84057971014492805"/>
        <n v="0.90217391304347805"/>
        <n v="0.83582089552238803"/>
        <n v="0.53448275862068995"/>
        <n v="0.17948717948717999"/>
        <n v="0.53488372093023295"/>
        <n v="0.90697674418604701"/>
        <n v="0.52564102564102599"/>
        <n v="0.84210526315789502"/>
        <n v="0.62091503267973902"/>
        <n v="0.61832061068702304"/>
        <n v="0.97794117647058798"/>
        <n v="0.66197183098591605"/>
        <n v="0.73134328358209"/>
        <n v="0.4609375"/>
        <n v="0.641891891891892"/>
        <n v="0.51086956521739102"/>
        <n v="0.53333333333333299"/>
        <n v="0.56302521008403394"/>
        <n v="0.31666666666666698"/>
        <n v="0.70103092783505205"/>
        <n v="-0.48214285714285698"/>
        <n v="0.78313253012048201"/>
        <n v="0.75862068965517204"/>
        <n v="0.578231292517007"/>
        <n v="-0.269230769230769"/>
        <n v="0.73456790123456805"/>
        <n v="0.65591397849462396"/>
        <n v="8.1967213114754106E-2"/>
        <n v="0.160714285714286"/>
        <n v="0.82222222222222197"/>
        <n v="0.218181818181818"/>
        <n v="-0.24324324324324301"/>
        <n v="0.33636363636363598"/>
        <n v="0.72340425531914898"/>
        <n v="-8.1081081081081099E-2"/>
        <n v="0.44"/>
        <n v="0.33070866141732302"/>
        <n v="0.85148514851485202"/>
        <n v="0.86440677966101698"/>
        <n v="0.66336633663366296"/>
        <n v="0.45528455284552799"/>
        <n v="0.90131578947368396"/>
        <n v="0.93805309734513298"/>
        <n v="0.18333333333333299"/>
        <n v="0.527272727272727"/>
        <n v="-0.146666666666667"/>
        <n v="0.45070422535211302"/>
        <n v="0.879120879120879"/>
        <n v="0.52747252747252804"/>
        <n v="0.51388888888888895"/>
        <n v="0.40259740259740301"/>
        <n v="0.94520547945205502"/>
        <n v="0.85234899328859104"/>
        <n v="-5"/>
        <n v="0.72857142857142898"/>
        <n v="0.81739130434782603"/>
        <n v="-0.109090909090909"/>
        <n v="0.391891891891892"/>
        <n v="0.164835164835165"/>
        <n v="0.87333333333333296"/>
        <n v="0.72727272727272696"/>
        <n v="-0.375"/>
        <n v="0.88659793814432997"/>
        <n v="0.9375"/>
        <n v="0.56097560975609795"/>
        <n v="0.34615384615384598"/>
        <n v="0.78813559322033899"/>
        <n v="0.69182389937106903"/>
        <n v="0.79166666666666696"/>
        <n v="0.957317073170732"/>
        <n v="0.91735537190082705"/>
        <n v="0.29729729729729698"/>
        <n v="0.820359281437126"/>
        <n v="0.77894736842105305"/>
        <n v="0.20338983050847501"/>
        <n v="-4.9382716049382699E-2"/>
        <n v="0.88235294117647101"/>
        <n v="0.50909090909090904"/>
        <n v="6.5573770491803296E-2"/>
        <n v="-4.7619047619047603E-2"/>
        <n v="0.75206611570247905"/>
        <n v="0.72549019607843102"/>
        <n v="0.73529411764705899"/>
        <n v="0.64171122994652396"/>
        <n v="0.265486725663717"/>
        <n v="0.53892215568862301"/>
        <n v="0.76056338028169002"/>
        <n v="0.90196078431372595"/>
        <n v="0.80625000000000002"/>
        <n v="0.341880341880342"/>
        <n v="0.84090909090909105"/>
        <n v="0.64347826086956506"/>
        <n v="0.80555555555555602"/>
        <n v="0.875"/>
        <n v="0.40384615384615402"/>
        <n v="0.77570093457943901"/>
        <n v="0.59006211180124202"/>
        <n v="0.67010309278350499"/>
        <n v="-0.317460317460317"/>
        <n v="0.58865248226950395"/>
        <n v="0.74757281553398103"/>
        <n v="0.409836065573771"/>
        <n v="0.61818181818181805"/>
        <n v="0.93939393939394"/>
        <n v="0.203125"/>
        <n v="0.31944444444444398"/>
        <n v="0.57608695652173902"/>
        <n v="0.91160220994475105"/>
        <n v="0.815217391304348"/>
        <n v="0.968354430379747"/>
        <n v="-9.5238095238095205E-2"/>
        <n v="0.31481481481481499"/>
        <n v="0.77987421383647804"/>
        <n v="0.72432432432432403"/>
        <n v="0.84756097560975596"/>
        <n v="-2.8985507246376802E-2"/>
        <n v="0.54022988505747105"/>
        <n v="0.81666666666666698"/>
        <n v="0.61931818181818199"/>
        <n v="0.38461538461538503"/>
        <n v="0.569105691056911"/>
        <n v="0.77419354838709697"/>
        <n v="0.73595505617977497"/>
        <n v="0.96551724137931005"/>
        <n v="0.67826086956521703"/>
        <n v="0.42975206611570299"/>
        <n v="0.62992125984252001"/>
        <n v="0.515625"/>
        <n v="0.78095238095238095"/>
        <n v="0.78048780487804903"/>
        <n v="0.752941176470588"/>
        <n v="0.52586206896551702"/>
        <n v="0.47794117647058798"/>
        <n v="0.72268907563025198"/>
        <n v="9.0909090909090898E-2"/>
        <n v="0.410071942446043"/>
        <n v="-0.53488372093023295"/>
        <n v="0.28571428571428598"/>
        <n v="0.36585365853658502"/>
        <n v="0.18181818181818199"/>
        <n v="0.984375"/>
        <n v="3.3333333333333298E-2"/>
        <n v="0.621848739495798"/>
        <n v="0.65137614678899103"/>
        <n v="-0.36111111111111099"/>
        <n v="0.46250000000000002"/>
        <n v="0.81118881118881103"/>
        <n v="0.50609756097560998"/>
        <n v="-1.2"/>
        <n v="0.14000000000000001"/>
        <n v="0.66055045871559603"/>
        <n v="0.164383561643836"/>
        <n v="0.46078431372549"/>
        <n v="0.78823529411764703"/>
        <n v="0.80645161290322598"/>
        <n v="1.7543859649122799E-2"/>
        <n v="0.62931034482758597"/>
        <n v="0.83606557377049195"/>
        <n v="0.845528455284553"/>
        <n v="0.597122302158273"/>
        <n v="0.63529411764705901"/>
        <n v="0.98550724637681197"/>
        <n v="-0.11267605633802801"/>
        <n v="0.71084337349397597"/>
        <n v="5.0632911392405097E-2"/>
        <n v="0.790476190476191"/>
        <n v="0.88111888111888104"/>
        <n v="0.34677419354838701"/>
        <n v="0.56790123456790098"/>
        <n v="-5.625"/>
        <n v="0.74590163934426201"/>
        <n v="0.66225165562913901"/>
        <n v="0.26373626373626402"/>
        <n v="-1.9285714285714299"/>
        <n v="0.68902439024390205"/>
        <n v="0.23749999999999999"/>
        <n v="0.265822784810127"/>
        <n v="0.70503597122302197"/>
        <n v="0.52906976744186096"/>
        <n v="-0.38095238095238099"/>
        <n v="0.85064935064935099"/>
        <n v="0.99130434782608701"/>
        <n v="0.85294117647058798"/>
        <n v="0.93846153846153901"/>
        <n v="0.67647058823529405"/>
        <n v="0.23684210526315799"/>
        <n v="0.83838383838383801"/>
        <n v="-4.7692307692307701"/>
        <n v="0.54166666666666696"/>
        <n v="0.13978494623655899"/>
        <n v="0.77777777777777801"/>
        <n v="-1.28571428571429"/>
        <n v="0.32407407407407401"/>
        <n v="0.102564102564103"/>
        <n v="-0.169491525423729"/>
        <n v="-2.6666666666666701"/>
        <n v="-0.452380952380952"/>
        <n v="0.230769230769231"/>
        <n v="0.63953488372093004"/>
        <n v="0.80672268907563005"/>
        <n v="0.52380952380952395"/>
        <n v="0.702380952380952"/>
        <n v="0.67045454545454497"/>
        <n v="0.46875"/>
        <n v="0.77862595419847302"/>
        <n v="0.94666666666666699"/>
        <n v="0.84536082474226804"/>
        <n v="0.93"/>
        <n v="0.51020408163265296"/>
        <n v="-0.93939393939394"/>
        <n v="0.11688311688311701"/>
        <n v="0.61403508771929804"/>
        <n v="0.24590163934426201"/>
        <n v="0.99371069182389904"/>
        <n v="0.74054054054054097"/>
        <n v="-4.2352941176470598"/>
        <n v="0.48993288590604001"/>
        <n v="-2.0833333333333301E-2"/>
        <n v="0.66129032258064502"/>
        <n v="0.38596491228070201"/>
        <n v="0.452380952380952"/>
        <n v="0.98314606741572996"/>
        <n v="0.45348837209302301"/>
        <n v="0.82608695652173902"/>
        <n v="0.640350877192983"/>
        <n v="-0.44827586206896602"/>
        <n v="0.80303030303030298"/>
        <n v="0.68484848484848504"/>
        <n v="4.1666666666666699E-2"/>
        <n v="0.67283950617284005"/>
        <n v="-8.6956521739130405E-2"/>
        <n v="0.73983739837398399"/>
        <n v="0.68309859154929597"/>
        <n v="0.48837209302325602"/>
        <n v="0.308823529411765"/>
        <n v="-3.4"/>
        <n v="0.65517241379310298"/>
        <n v="0.54074074074074097"/>
        <n v="0.42105263157894701"/>
        <n v="0.39310344827586202"/>
        <n v="0.40963855421686701"/>
        <n v="0.54857142857142904"/>
        <n v="0.47107438016528902"/>
        <n v="0.89552238805970197"/>
        <n v="2.5000000000000001E-2"/>
        <n v="0.356521739130435"/>
        <n v="0.98611111111111105"/>
        <n v="0.55140186915887801"/>
        <n v="0.36607142857142899"/>
        <n v="0.76687116564417201"/>
        <n v="0.870056497175141"/>
        <n v="0.85135135135135098"/>
        <n v="0.79850746268656703"/>
        <n v="0.837662337662338"/>
        <n v="-0.104166666666667"/>
        <n v="-2.1538461538461502"/>
        <n v="0.25"/>
        <n v="0.72043010752688197"/>
        <n v="0.678832116788321"/>
        <n v="-1.5454545454545501"/>
        <n v="0.64102564102564097"/>
        <n v="0.95620437956204396"/>
        <n v="0.47058823529411797"/>
        <n v="-0.54901960784313697"/>
        <n v="0.46896551724137903"/>
        <n v="0.39805825242718401"/>
        <n v="0.78723404255319196"/>
        <n v="0.90647482014388503"/>
        <n v="0.34959349593495898"/>
        <n v="0.90277777777777801"/>
        <n v="0.45783132530120502"/>
        <n v="0.64516129032258096"/>
        <n v="0.38271604938271597"/>
        <n v="0.28828828828828801"/>
        <n v="0.94488188976377996"/>
        <n v="0.56410256410256399"/>
        <n v="-5.2222222222222197"/>
        <n v="0.20388349514563101"/>
        <n v="0.62195121951219501"/>
        <n v="0.32258064516128998"/>
        <n v="0.93893129770992401"/>
        <n v="0.51162790697674398"/>
        <n v="0.89024390243902396"/>
        <n v="0.50793650793650802"/>
        <n v="0.38834951456310701"/>
        <n v="0.25555555555555598"/>
        <n v="0.383458646616541"/>
        <n v="0.57407407407407396"/>
        <n v="0.37634408602150499"/>
        <n v="0.313253012048193"/>
        <n v="0.76086956521739102"/>
        <n v="0.66981132075471705"/>
        <n v="0.79090909090909101"/>
        <n v="2.5641025641025599E-2"/>
        <n v="0.32575757575757602"/>
        <n v="0.67543859649122795"/>
        <n v="0.57746478873239404"/>
        <n v="0.37272727272727302"/>
        <n v="0.92366412213740501"/>
        <n v="0.16304347826087001"/>
        <n v="0.96212121212121204"/>
        <n v="0.13725490196078399"/>
        <n v="-0.101694915254237"/>
        <n v="0.784810126582279"/>
        <n v="-0.30434782608695699"/>
        <n v="0.45864661654135302"/>
        <n v="0.55862068965517198"/>
        <n v="0.79629629629629595"/>
        <n v="0.74"/>
        <n v="0.85185185185185197"/>
        <n v="0.58641975308642003"/>
        <n v="-0.69230769230769196"/>
        <n v="0.96385542168674698"/>
        <n v="0.61290322580645196"/>
        <n v="0.60958904109588996"/>
        <n v="0.94392523364486003"/>
        <n v="-6.8888888888888902"/>
        <n v="0.68794326241134796"/>
        <n v="0.67484662576687104"/>
        <n v="0.98148148148148195"/>
        <n v="-0.138461538461538"/>
        <n v="0.75675675675675702"/>
        <n v="0.73958333333333304"/>
        <n v="-0.88235294117647101"/>
        <n v="0.98130841121495305"/>
        <n v="0.47286821705426402"/>
        <n v="0.63106796116504904"/>
        <n v="0.52439024390243905"/>
        <n v="-0.62745098039215697"/>
        <n v="0.98305084745762705"/>
        <n v="0.84117647058823497"/>
        <n v="0.78740157480314998"/>
        <n v="4.49438202247191E-2"/>
        <n v="0.42592592592592599"/>
        <n v="7.2463768115942004E-2"/>
        <n v="0.53246753246753198"/>
        <n v="0.96629213483146104"/>
        <n v="0.273809523809524"/>
        <n v="0.97714285714285698"/>
        <n v="-2.5"/>
        <n v="0.76785714285714302"/>
        <n v="0.70114942528735602"/>
        <n v="0.89361702127659604"/>
        <n v="-1.5625E-2"/>
        <n v="2.7397260273972601E-2"/>
        <n v="0.64743589743589802"/>
        <n v="0.87425149700598803"/>
        <n v="0.93782383419689097"/>
        <n v="0.83647798742138402"/>
        <n v="-5.4054054054054099E-2"/>
        <n v="0.33653846153846201"/>
        <n v="0.41525423728813599"/>
        <n v="0.83615819209039499"/>
        <n v="-0.47058823529411797"/>
        <n v="0.96969696969696995"/>
        <n v="0.81212121212121202"/>
        <n v="-1.8333333333333299"/>
        <n v="0.116279069767442"/>
        <n v="0.84615384615384603"/>
        <n v="0.95683453237410099"/>
        <n v="0.95454545454545503"/>
        <n v="0.75182481751824803"/>
        <n v="0.54838709677419395"/>
        <n v="0.48611111111111099"/>
        <n v="0.72463768115941996"/>
        <n v="0.34"/>
        <n v="-0.266666666666667"/>
        <n v="-1.0476190476190499"/>
        <n v="0.41509433962264197"/>
        <n v="0.64615384615384597"/>
        <n v="0.94230769230769196"/>
        <n v="0.25925925925925902"/>
        <n v="-1.53125"/>
        <n v="0.61607142857142905"/>
        <n v="0.871428571428572"/>
        <n v="0.41666666666666702"/>
        <n v="0.89473684210526305"/>
        <n v="0.13541666666666699"/>
        <n v="0.34351145038167902"/>
        <n v="0.15384615384615399"/>
        <n v="-1.3214285714285701"/>
        <n v="0.811594202898551"/>
        <n v="-2.6842105263157898"/>
        <n v="0.41353383458646598"/>
        <n v="0.390625"/>
        <n v="0.84076433121019101"/>
        <n v="0.480769230769231"/>
        <n v="0.33663366336633699"/>
        <n v="0.43396226415094302"/>
        <n v="-0.42592592592592599"/>
        <n v="0.65467625899280601"/>
        <n v="0.87134502923976598"/>
        <n v="0.32967032967033"/>
        <n v="-1.1428571428571399"/>
        <n v="0.93137254901960798"/>
        <n v="-16.8"/>
        <n v="-0.63414634146341498"/>
        <n v="0.57281553398058305"/>
        <n v="0.32530120481927699"/>
        <n v="0.25423728813559299"/>
        <n v="0.766917293233083"/>
        <n v="0.43283582089552203"/>
        <n v="0.38167938931297701"/>
        <n v="0.73049645390070905"/>
        <n v="4.47761194029851E-2"/>
        <n v="0.84563758389261801"/>
        <n v="0.99173553719008301"/>
        <n v="-2.27272727272727E-2"/>
        <n v="0.49668874172185401"/>
        <n v="0.20408163265306101"/>
        <n v="0.29166666666666702"/>
        <n v="0.58585858585858597"/>
        <n v="5.31914893617021E-2"/>
        <n v="0.76923076923076905"/>
        <n v="0.16504854368932001"/>
        <n v="0.67415730337078705"/>
        <n v="0.76551724137930999"/>
        <n v="0.67889908256880704"/>
        <n v="0.38211382113821102"/>
        <n v="-8.3333333333333301E-2"/>
        <n v="0.62711864406779705"/>
        <n v="0.68181818181818199"/>
        <n v="0.772151898734177"/>
        <n v="0.76724137931034497"/>
        <n v="0.19230769230769201"/>
        <n v="0.60103626943005195"/>
        <n v="0.92929292929292895"/>
        <n v="0.37190082644628097"/>
        <n v="0.57857142857142896"/>
        <n v="0.48630136986301398"/>
        <n v="0.58156028368794299"/>
        <n v="0.47972972972972999"/>
        <n v="0.79605263157894701"/>
        <n v="-7.8125E-2"/>
        <n v="0.43820224719101097"/>
        <n v="0.38709677419354799"/>
        <n v="0.71856287425149701"/>
        <n v="0.57983193277310896"/>
        <n v="0.20512820512820501"/>
        <n v="0.34883720930232598"/>
        <n v="6.4516129032258104E-2"/>
        <n v="0.51685393258427004"/>
        <n v="0.45138888888888901"/>
        <n v="0.625"/>
        <n v="0.80487804878048796"/>
        <n v="0.23376623376623401"/>
        <n v="-0.128205128205128"/>
        <n v="0.73619631901840499"/>
        <n v="0.706806282722513"/>
        <n v="0.96"/>
        <n v="0.73148148148148195"/>
        <n v="0.952380952380952"/>
        <n v="0.30555555555555602"/>
        <n v="3.7037037037037E-2"/>
        <n v="0.72222222222222199"/>
        <n v="0.29523809523809502"/>
        <n v="0.75609756097560998"/>
        <n v="0.75555555555555598"/>
        <n v="0.45833333333333298"/>
        <n v="0.95918367346938804"/>
        <n v="0.49618320610687"/>
        <n v="0.70063694267515897"/>
        <n v="0.63768115942029002"/>
        <n v="0.70588235294117696"/>
        <n v="0.34426229508196698"/>
        <n v="0.37837837837837801"/>
        <n v="0.54794520547945202"/>
        <n v="2.0833333333333301E-2"/>
        <n v="0.53932584269662898"/>
        <n v="0.57291666666666696"/>
        <n v="0.47530864197530898"/>
        <n v="-0.64516129032258096"/>
        <n v="-0.246153846153846"/>
        <n v="0.97692307692307701"/>
        <n v="0.775193798449613"/>
        <n v="0.53"/>
        <n v="0.45161290322580599"/>
        <n v="0.48979591836734698"/>
        <n v="0.95575221238938102"/>
        <n v="-2.5238095238095202"/>
        <n v="0.68965517241379304"/>
        <n v="0.80346820809248598"/>
        <n v="0.86065573770491799"/>
        <n v="0.85858585858585901"/>
        <n v="0.20833333333333301"/>
        <n v="-0.90909090909090895"/>
        <n v="0.206349206349206"/>
        <n v="0.97777777777777797"/>
        <n v="0.657407407407408"/>
        <n v="0.73154362416107399"/>
        <n v="0.49242424242424199"/>
        <n v="0.28925619834710697"/>
        <n v="0.68817204301075297"/>
        <n v="0.88311688311688297"/>
        <n v="0.60784313725490202"/>
        <n v="0.85795454545454497"/>
        <n v="0.611464968152866"/>
        <n v="-22"/>
        <n v="0.92481203007518797"/>
        <n v="0.24561403508771901"/>
        <n v="0.80681818181818199"/>
        <n v="0.94270833333333304"/>
        <n v="0.71052631578947401"/>
        <n v="0.65771812080536896"/>
        <n v="-1.3428571428571401"/>
        <n v="0.5078125"/>
        <n v="0.54629629629629595"/>
        <n v="0.197368421052632"/>
        <n v="0.67289719626168198"/>
        <n v="0.80272108843537404"/>
        <n v="0.33"/>
        <n v="0.40845070422535201"/>
        <n v="-0.05"/>
        <n v="0.69767441860465096"/>
        <n v="0.51612903225806495"/>
        <n v="0.160377358490566"/>
        <n v="0.15853658536585399"/>
        <n v="0.81690140845070403"/>
        <n v="0.69354838709677402"/>
        <n v="0.900709219858156"/>
        <n v="-3.8461538461538498E-2"/>
        <n v="0.57541899441340805"/>
        <n v="0.39215686274509798"/>
        <n v="0.32173913043478303"/>
        <n v="-0.15909090909090901"/>
        <n v="0.62745098039215697"/>
        <n v="0.76800000000000002"/>
        <n v="0.66393442622950805"/>
        <n v="0.82795698924731198"/>
        <n v="-1.3888888888888899"/>
        <n v="-0.28888888888888897"/>
        <n v="0.5546875"/>
        <n v="0.39495798319327702"/>
        <n v="0.84269662921348298"/>
        <n v="0.214285714285714"/>
        <n v="0.92079207920792105"/>
        <n v="0.73821989528795795"/>
        <n v="0.77931034482758599"/>
        <n v="0.84848484848484895"/>
        <n v="0.63235294117647101"/>
        <n v="0.74264705882352999"/>
        <n v="6.0606060606060601E-2"/>
        <n v="0.76829268292682895"/>
        <n v="0.15686274509803899"/>
        <n v="0.74324324324324298"/>
        <n v="0.81699346405228801"/>
        <n v="-4.8666666666666698"/>
        <n v="0.32608695652173902"/>
        <n v="0.45679012345678999"/>
        <n v="0.231884057971015"/>
        <n v="0.83536585365853699"/>
        <n v="0.51079136690647498"/>
        <n v="0.32432432432432401"/>
        <n v="0.83206106870229002"/>
        <n v="0.46551724137931"/>
        <n v="0.30476190476190501"/>
        <n v="0.68098159509202505"/>
        <n v="9.8765432098765399E-2"/>
        <n v="0.52173913043478304"/>
        <n v="0.734177215189874"/>
        <n v="0.70658682634730496"/>
        <n v="-1.45"/>
        <n v="0.61271676300578004"/>
        <n v="0.59829059829059805"/>
        <n v="0.82638888888888895"/>
        <n v="-12.2"/>
        <n v="0.98529411764705899"/>
        <n v="0.6953125"/>
        <n v="0.55339805825242705"/>
        <n v="0.13592233009708701"/>
        <n v="0.27966101694915302"/>
        <n v="-1.3243243243243199"/>
        <n v="0.115384615384615"/>
        <n v="0.69642857142857095"/>
        <n v="0.31932773109243701"/>
        <n v="-0.91176470588235303"/>
        <n v="0.71590909090909105"/>
        <n v="0.75886524822695001"/>
        <n v="0.94078947368421095"/>
        <n v="3.94736842105263E-2"/>
        <n v="0.84403669724770702"/>
        <n v="0.59036144578313299"/>
        <n v="0.944827586206897"/>
        <n v="0.47499999999999998"/>
        <n v="0.32876712328767099"/>
        <n v="0.79279279279279302"/>
        <n v="0.32352941176470601"/>
        <n v="0.37037037037037002"/>
        <n v="0.99324324324324298"/>
        <n v="0.91803278688524603"/>
        <n v="-0.40909090909090901"/>
        <n v="0.78947368421052599"/>
        <n v="0.40336134453781503"/>
        <n v="0.53749999999999998"/>
        <n v="0.493670886075949"/>
        <n v="0.54385964912280704"/>
        <n v="-0.476190476190476"/>
        <n v="-1.2068965517241399"/>
        <n v="0.12871287128712899"/>
        <n v="0.63829787234042601"/>
        <n v="7.2289156626505993E-2"/>
        <n v="0.84873949579831898"/>
        <n v="0.85416666666666696"/>
        <n v="0.67901234567901203"/>
        <n v="0.69590643274853803"/>
        <n v="-2.4390243902439001E-2"/>
        <n v="0.54471544715447195"/>
        <n v="0.92567567567567599"/>
        <n v="2.2222222222222199E-2"/>
        <n v="0.61333333333333295"/>
        <n v="0.56737588652482296"/>
        <n v="0.85714285714285698"/>
        <n v="0.628571428571429"/>
        <n v="0.44578313253012097"/>
        <n v="-0.95555555555555605"/>
        <n v="0.101694915254237"/>
        <n v="0.34020618556700999"/>
        <n v="0.422764227642276"/>
        <n v="-5.1282051282051301E-2"/>
        <n v="0.68421052631579005"/>
        <n v="0.76767676767676796"/>
        <n v="0.75438596491228105"/>
        <n v="0.66242038216560495"/>
        <n v="0.116666666666667"/>
        <n v="0.96954314720812196"/>
        <n v="0.08"/>
        <n v="0.89864864864864902"/>
        <n v="3.6144578313252997E-2"/>
        <n v="0.86904761904761896"/>
        <n v="0.69620253164557"/>
        <n v="0.30769230769230799"/>
        <n v="0.70454545454545503"/>
        <n v="-2.36"/>
        <n v="0.64052287581699296"/>
        <n v="-0.18032786885245899"/>
        <n v="0.112359550561798"/>
        <n v="0.36842105263157898"/>
        <n v="0.87777777777777799"/>
        <n v="0.19565217391304399"/>
        <n v="0.17"/>
        <n v="-0.45"/>
        <n v="0.72815533980582503"/>
        <n v="0.70138888888888895"/>
        <n v="0.75280898876404501"/>
        <n v="0.58208955223880599"/>
        <n v="0.38235294117647101"/>
        <n v="0.73626373626373598"/>
        <n v="-0.38461538461538503"/>
        <n v="0.88965517241379299"/>
        <n v="0.305084745762712"/>
        <n v="0.465753424657534"/>
        <n v="0.89583333333333304"/>
        <n v="0.38043478260869601"/>
        <n v="0.51381215469613295"/>
        <n v="0.53237410071942504"/>
        <n v="0.86"/>
        <n v="0.89285714285714302"/>
        <n v="0.559782608695652"/>
        <n v="0.44961240310077499"/>
        <n v="-0.121621621621622"/>
        <n v="0.92500000000000004"/>
        <n v="0.60317460317460303"/>
        <n v="0.80808080808080796"/>
        <n v="4.8780487804878099E-2"/>
        <n v="-0.58928571428571397"/>
        <n v="0.90977443609022601"/>
        <n v="0.46825396825396798"/>
        <n v="0.26865671641791"/>
        <n v="0.12631578947368399"/>
        <n v="0.84302325581395399"/>
        <n v="-0.20270270270270299"/>
        <n v="0.73239436619718301"/>
        <n v="-0.06"/>
        <n v="0.53773584905660399"/>
        <n v="2.32558139534884E-2"/>
        <n v="0.72881355932203395"/>
        <n v="0.34862385321100903"/>
        <n v="0.69369369369369405"/>
        <n v="-0.57894736842105299"/>
        <n v="0.290697674418605"/>
        <n v="-0.42499999999999999"/>
        <n v="0.67741935483870996"/>
        <n v="0.52713178294573704"/>
        <n v="-0.29032258064516098"/>
        <n v="0.58536585365853699"/>
        <n v="0.18421052631578899"/>
        <n v="-0.35897435897435898"/>
        <n v="0.83552631578947401"/>
        <n v="0.58695652173913104"/>
        <n v="0.22891566265060201"/>
        <n v="0.97674418604651203"/>
        <n v="0.54400000000000004"/>
        <n v="0.97894736842105301"/>
        <n v="0.23711340206185599"/>
        <n v="-5.95238095238095E-2"/>
        <n v="0.269230769230769"/>
        <n v="0.96511627906976805"/>
        <n v="8.7499999999999994E-2"/>
        <n v="0.44660194174757301"/>
        <n v="-0.64814814814814803"/>
        <n v="0.672619047619048"/>
        <n v="3.3898305084745797E-2"/>
        <n v="0.11111111111111099"/>
        <n v="0.68852459016393397"/>
        <n v="0.35106382978723399"/>
        <n v="0.43373493975903599"/>
        <n v="0.86486486486486502"/>
        <n v="0.68911917098445596"/>
        <n v="0.723577235772358"/>
        <n v="0.57999999999999996"/>
        <n v="0.92913385826771699"/>
        <n v="0.50735294117647101"/>
        <n v="-0.49152542372881403"/>
        <n v="-0.16666666666666699"/>
        <n v="0.86144578313252995"/>
        <n v="0.96341463414634099"/>
        <n v="0.65693430656934304"/>
        <n v="0.108695652173913"/>
        <n v="0.98"/>
        <n v="0.78888888888888897"/>
        <n v="8.3333333333333301E-2"/>
        <n v="0.47580645161290303"/>
        <n v="0.60952380952381002"/>
        <n v="0.35245901639344301"/>
        <n v="0.40833333333333299"/>
        <n v="0.93069306930693096"/>
        <n v="0.53535353535353503"/>
        <n v="0.27956989247311798"/>
        <n v="0.82539682539682502"/>
        <n v="0.93548387096774199"/>
        <n v="0.43243243243243201"/>
        <n v="0.62068965517241403"/>
        <n v="0.83620689655172398"/>
        <n v="0.55223880597014896"/>
        <n v="-0.17808219178082199"/>
        <n v="0.844444444444445"/>
        <n v="0.68867924528301905"/>
        <n v="0.50657894736842102"/>
        <n v="0.81967213114754101"/>
        <n v="0.36619718309859201"/>
        <n v="6.6666666666666693E-2"/>
        <n v="0.75418994413407803"/>
        <n v="0.77"/>
        <n v="0.19587628865979401"/>
        <n v="-0.10606060606060599"/>
        <n v="0.92763157894736903"/>
        <n v="0.90677966101694896"/>
        <n v="-1.8"/>
        <n v="-0.43636363636363601"/>
        <n v="0.36"/>
        <n v="0.51933701657458597"/>
        <n v="0.22413793103448301"/>
        <n v="-0.52941176470588203"/>
        <n v="0.74100719424460404"/>
        <n v="0.41489361702127697"/>
        <n v="0.660377358490566"/>
        <n v="0.64432989690721698"/>
        <n v="0.337209302325581"/>
        <n v="9.6774193548387094E-2"/>
        <n v="0.60305343511450404"/>
        <n v="0.969387755102041"/>
        <n v="0.69178082191780799"/>
        <n v="0.72807017543859698"/>
        <n v="0.85245901639344301"/>
        <n v="-0.28000000000000003"/>
        <n v="0.85915492957746498"/>
        <n v="0.91338582677165403"/>
        <n v="-2.7777777777777801E-2"/>
        <n v="-0.25757575757575801"/>
        <n v="0.737179487179487"/>
        <n v="0.47014925373134298"/>
        <n v="0.96178343949044598"/>
        <n v="0.96799999999999997"/>
        <n v="0.68108108108108101"/>
        <n v="0.28985507246376802"/>
        <n v="0.72619047619047605"/>
        <n v="0.35714285714285698"/>
        <n v="0.48965517241379303"/>
        <n v="0.82051282051282104"/>
        <n v="0.67777777777777803"/>
        <n v="-8.5365853658536606E-2"/>
        <n v="0.49206349206349198"/>
        <n v="0.984615384615385"/>
        <n v="-1.8181818181818198E-2"/>
        <n v="-0.13793103448275901"/>
        <n v="0.97278911564625903"/>
        <n v="0.51648351648351698"/>
        <n v="-0.245283018867925"/>
        <n v="0.3125"/>
        <n v="0.32500000000000001"/>
        <n v="0.990291262135922"/>
        <n v="0.69411764705882395"/>
        <n v="0.4375"/>
        <n v="0.36231884057970998"/>
        <n v="0.55652173913043501"/>
        <n v="0.44827586206896602"/>
        <n v="0.68217054263565902"/>
        <n v="0.67200000000000004"/>
        <n v="-2.1052631578947398"/>
        <n v="0.59354838709677404"/>
        <n v="-2.625"/>
        <n v="0.35087719298245601"/>
        <n v="0.42045454545454602"/>
        <n v="0.60769230769230798"/>
        <n v="0.82568807339449601"/>
        <n v="0.72392638036809798"/>
        <n v="0.49473684210526298"/>
        <n v="0.19354838709677399"/>
        <n v="0.573913043478261"/>
        <n v="-0.103896103896104"/>
        <n v="0.81987577639751597"/>
        <n v="-0.88636363636363602"/>
        <n v="0.19"/>
        <n v="7.1428571428571397E-2"/>
        <n v="0.40776699029126201"/>
        <n v="0.86842105263157898"/>
        <n v="0.7"/>
        <n v="0.97452229299363102"/>
        <n v="0.495652173913044"/>
        <n v="0.73684210526315796"/>
        <n v="0.23529411764705899"/>
        <n v="0.76666666666666705"/>
        <n v="0.40939597315436199"/>
        <n v="0.30701754385964902"/>
        <n v="0.63333333333333297"/>
        <n v="0.68862275449101795"/>
        <m/>
      </sharedItems>
    </cacheField>
    <cacheField name="War_Intensity_Index" numFmtId="0">
      <sharedItems containsString="0" containsBlank="1" containsNumber="1" minValue="0.01" maxValue="1.97" count="192">
        <n v="1.1200000000000001"/>
        <n v="1.06"/>
        <n v="0.37"/>
        <n v="0.56999999999999995"/>
        <n v="0.52"/>
        <n v="1.1299999999999999"/>
        <n v="1.29"/>
        <n v="0.06"/>
        <n v="1.27"/>
        <n v="1.54"/>
        <n v="0.83"/>
        <n v="0.66"/>
        <n v="1.28"/>
        <n v="0.61"/>
        <n v="1.39"/>
        <n v="1.08"/>
        <n v="0.69"/>
        <n v="1.82"/>
        <n v="0.54"/>
        <n v="0.51"/>
        <n v="0.77"/>
        <n v="1.58"/>
        <n v="1.45"/>
        <n v="0.82"/>
        <n v="0.76"/>
        <n v="0.74"/>
        <n v="1.68"/>
        <n v="1.37"/>
        <n v="0.62"/>
        <n v="0.68"/>
        <n v="1"/>
        <n v="1.17"/>
        <n v="1.87"/>
        <n v="1.59"/>
        <n v="0.31"/>
        <n v="1.02"/>
        <n v="1.38"/>
        <n v="0.49"/>
        <n v="1.1499999999999999"/>
        <n v="1.42"/>
        <n v="0.36"/>
        <n v="0.9"/>
        <n v="0.88"/>
        <n v="1.32"/>
        <n v="0.53"/>
        <n v="0.14000000000000001"/>
        <n v="0.45"/>
        <n v="0.32"/>
        <n v="1.84"/>
        <n v="0.78"/>
        <n v="0.65"/>
        <n v="0.98"/>
        <n v="0.85"/>
        <n v="0.84"/>
        <n v="0.34"/>
        <n v="1.65"/>
        <n v="1.23"/>
        <n v="1.33"/>
        <n v="1.34"/>
        <n v="0.57999999999999996"/>
        <n v="0.64"/>
        <n v="1.18"/>
        <n v="1.1599999999999999"/>
        <n v="0.55000000000000004"/>
        <n v="0.5"/>
        <n v="1.61"/>
        <n v="0.91"/>
        <n v="0.2"/>
        <n v="1.21"/>
        <n v="1.88"/>
        <n v="1.41"/>
        <n v="1.57"/>
        <n v="0.79"/>
        <n v="1.81"/>
        <n v="0.75"/>
        <n v="1.73"/>
        <n v="1.1000000000000001"/>
        <n v="1.6"/>
        <n v="0.72"/>
        <n v="1.01"/>
        <n v="1.26"/>
        <n v="0.73"/>
        <n v="0.41"/>
        <n v="0.87"/>
        <n v="1.66"/>
        <n v="0.95"/>
        <n v="1.22"/>
        <n v="0.28999999999999998"/>
        <n v="0.86"/>
        <n v="1.74"/>
        <n v="1.69"/>
        <n v="1.43"/>
        <n v="1.51"/>
        <n v="1.0900000000000001"/>
        <n v="1.19"/>
        <n v="0.42"/>
        <n v="0.26"/>
        <n v="1.2"/>
        <n v="1.1399999999999999"/>
        <n v="1.24"/>
        <n v="1.3"/>
        <n v="0.8"/>
        <n v="0.28000000000000003"/>
        <n v="1.07"/>
        <n v="0.63"/>
        <n v="1.52"/>
        <n v="1.49"/>
        <n v="7.0000000000000007E-2"/>
        <n v="1.35"/>
        <n v="1.9"/>
        <n v="1.31"/>
        <n v="0.96"/>
        <n v="1.1100000000000001"/>
        <n v="1.36"/>
        <n v="1.86"/>
        <n v="0.47"/>
        <n v="0.92"/>
        <n v="0.7"/>
        <n v="1.03"/>
        <n v="1.5"/>
        <n v="0.81"/>
        <n v="1.67"/>
        <n v="1.92"/>
        <n v="0.67"/>
        <n v="0.89"/>
        <n v="1.55"/>
        <n v="0.6"/>
        <n v="0.39"/>
        <n v="1.56"/>
        <n v="1.53"/>
        <n v="0.24"/>
        <n v="1.8"/>
        <n v="0.93"/>
        <n v="0.56000000000000005"/>
        <n v="0.94"/>
        <n v="0.46"/>
        <n v="0.35"/>
        <n v="1.63"/>
        <n v="1.46"/>
        <n v="1.05"/>
        <n v="0.25"/>
        <n v="0.99"/>
        <n v="0.33"/>
        <n v="0.44"/>
        <n v="1.62"/>
        <n v="0.23"/>
        <n v="0.71"/>
        <n v="1.04"/>
        <n v="1.64"/>
        <n v="0.97"/>
        <n v="1.76"/>
        <n v="1.47"/>
        <n v="1.91"/>
        <n v="1.89"/>
        <n v="0.18"/>
        <n v="0.48"/>
        <n v="0.17"/>
        <n v="1.4"/>
        <n v="0.22"/>
        <n v="0.16"/>
        <n v="1.48"/>
        <n v="0.21"/>
        <n v="1.7"/>
        <n v="0.12"/>
        <n v="0.4"/>
        <n v="1.94"/>
        <n v="0.15"/>
        <n v="0.59"/>
        <n v="1.72"/>
        <n v="1.25"/>
        <n v="1.79"/>
        <n v="0.43"/>
        <n v="1.75"/>
        <n v="1.44"/>
        <n v="0.05"/>
        <n v="0.09"/>
        <n v="0.38"/>
        <n v="0.13"/>
        <n v="1.78"/>
        <n v="1.85"/>
        <n v="0.3"/>
        <n v="0.01"/>
        <n v="0.08"/>
        <n v="1.77"/>
        <n v="1.93"/>
        <n v="0.19"/>
        <n v="1.71"/>
        <n v="0.27"/>
        <n v="0.02"/>
        <n v="1.97"/>
        <n v="1.83"/>
        <m/>
      </sharedItems>
    </cacheField>
    <cacheField name="Month" numFmtId="0">
      <sharedItems containsBlank="1" count="4">
        <s v="Apr"/>
        <s v="Feb"/>
        <s v="Mar"/>
        <m/>
      </sharedItems>
    </cacheField>
    <cacheField name="Months" numFmtId="0" databaseField="0">
      <fieldGroup base="0">
        <rangePr groupBy="months" startDate="2026-02-15T00:00:00" endDate="2026-04-15T00:00:00"/>
        <groupItems count="14">
          <s v="&lt;15-02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5-04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0"/>
    <x v="1"/>
    <x v="1"/>
    <x v="1"/>
    <x v="1"/>
    <x v="1"/>
    <x v="1"/>
    <x v="1"/>
    <x v="1"/>
    <x v="1"/>
    <x v="1"/>
    <x v="1"/>
    <x v="1"/>
    <x v="1"/>
    <x v="1"/>
    <x v="1"/>
  </r>
  <r>
    <x v="2"/>
    <x v="0"/>
    <x v="2"/>
    <x v="2"/>
    <x v="2"/>
    <x v="0"/>
    <x v="2"/>
    <x v="2"/>
    <x v="2"/>
    <x v="2"/>
    <x v="2"/>
    <x v="2"/>
    <x v="2"/>
    <x v="2"/>
    <x v="2"/>
    <x v="2"/>
    <x v="2"/>
    <x v="2"/>
    <x v="2"/>
    <x v="2"/>
    <x v="2"/>
  </r>
  <r>
    <x v="3"/>
    <x v="1"/>
    <x v="0"/>
    <x v="3"/>
    <x v="3"/>
    <x v="1"/>
    <x v="3"/>
    <x v="3"/>
    <x v="3"/>
    <x v="3"/>
    <x v="3"/>
    <x v="3"/>
    <x v="3"/>
    <x v="3"/>
    <x v="3"/>
    <x v="3"/>
    <x v="3"/>
    <x v="3"/>
    <x v="3"/>
    <x v="3"/>
    <x v="0"/>
  </r>
  <r>
    <x v="4"/>
    <x v="0"/>
    <x v="3"/>
    <x v="4"/>
    <x v="4"/>
    <x v="0"/>
    <x v="4"/>
    <x v="4"/>
    <x v="4"/>
    <x v="4"/>
    <x v="4"/>
    <x v="4"/>
    <x v="4"/>
    <x v="4"/>
    <x v="4"/>
    <x v="4"/>
    <x v="4"/>
    <x v="4"/>
    <x v="4"/>
    <x v="4"/>
    <x v="1"/>
  </r>
  <r>
    <x v="5"/>
    <x v="1"/>
    <x v="0"/>
    <x v="0"/>
    <x v="5"/>
    <x v="0"/>
    <x v="5"/>
    <x v="5"/>
    <x v="5"/>
    <x v="5"/>
    <x v="5"/>
    <x v="5"/>
    <x v="5"/>
    <x v="5"/>
    <x v="5"/>
    <x v="5"/>
    <x v="5"/>
    <x v="5"/>
    <x v="5"/>
    <x v="5"/>
    <x v="2"/>
  </r>
  <r>
    <x v="6"/>
    <x v="0"/>
    <x v="4"/>
    <x v="0"/>
    <x v="3"/>
    <x v="1"/>
    <x v="6"/>
    <x v="6"/>
    <x v="6"/>
    <x v="6"/>
    <x v="6"/>
    <x v="6"/>
    <x v="6"/>
    <x v="6"/>
    <x v="6"/>
    <x v="6"/>
    <x v="6"/>
    <x v="6"/>
    <x v="6"/>
    <x v="6"/>
    <x v="2"/>
  </r>
  <r>
    <x v="7"/>
    <x v="0"/>
    <x v="5"/>
    <x v="0"/>
    <x v="5"/>
    <x v="2"/>
    <x v="7"/>
    <x v="7"/>
    <x v="7"/>
    <x v="7"/>
    <x v="7"/>
    <x v="7"/>
    <x v="7"/>
    <x v="7"/>
    <x v="7"/>
    <x v="7"/>
    <x v="7"/>
    <x v="7"/>
    <x v="7"/>
    <x v="7"/>
    <x v="2"/>
  </r>
  <r>
    <x v="8"/>
    <x v="0"/>
    <x v="4"/>
    <x v="4"/>
    <x v="4"/>
    <x v="0"/>
    <x v="8"/>
    <x v="8"/>
    <x v="8"/>
    <x v="8"/>
    <x v="8"/>
    <x v="8"/>
    <x v="8"/>
    <x v="8"/>
    <x v="8"/>
    <x v="8"/>
    <x v="8"/>
    <x v="8"/>
    <x v="8"/>
    <x v="8"/>
    <x v="2"/>
  </r>
  <r>
    <x v="9"/>
    <x v="1"/>
    <x v="4"/>
    <x v="2"/>
    <x v="4"/>
    <x v="1"/>
    <x v="9"/>
    <x v="9"/>
    <x v="9"/>
    <x v="9"/>
    <x v="9"/>
    <x v="9"/>
    <x v="9"/>
    <x v="9"/>
    <x v="9"/>
    <x v="9"/>
    <x v="9"/>
    <x v="9"/>
    <x v="9"/>
    <x v="9"/>
    <x v="0"/>
  </r>
  <r>
    <x v="10"/>
    <x v="0"/>
    <x v="6"/>
    <x v="2"/>
    <x v="6"/>
    <x v="0"/>
    <x v="10"/>
    <x v="10"/>
    <x v="10"/>
    <x v="10"/>
    <x v="10"/>
    <x v="10"/>
    <x v="10"/>
    <x v="10"/>
    <x v="10"/>
    <x v="10"/>
    <x v="10"/>
    <x v="10"/>
    <x v="10"/>
    <x v="10"/>
    <x v="2"/>
  </r>
  <r>
    <x v="6"/>
    <x v="0"/>
    <x v="7"/>
    <x v="2"/>
    <x v="3"/>
    <x v="1"/>
    <x v="11"/>
    <x v="3"/>
    <x v="11"/>
    <x v="11"/>
    <x v="11"/>
    <x v="11"/>
    <x v="11"/>
    <x v="11"/>
    <x v="11"/>
    <x v="11"/>
    <x v="11"/>
    <x v="11"/>
    <x v="11"/>
    <x v="11"/>
    <x v="2"/>
  </r>
  <r>
    <x v="11"/>
    <x v="0"/>
    <x v="7"/>
    <x v="3"/>
    <x v="5"/>
    <x v="3"/>
    <x v="12"/>
    <x v="11"/>
    <x v="12"/>
    <x v="12"/>
    <x v="12"/>
    <x v="12"/>
    <x v="12"/>
    <x v="12"/>
    <x v="12"/>
    <x v="4"/>
    <x v="11"/>
    <x v="12"/>
    <x v="12"/>
    <x v="11"/>
    <x v="1"/>
  </r>
  <r>
    <x v="2"/>
    <x v="1"/>
    <x v="8"/>
    <x v="0"/>
    <x v="3"/>
    <x v="3"/>
    <x v="13"/>
    <x v="12"/>
    <x v="13"/>
    <x v="13"/>
    <x v="13"/>
    <x v="13"/>
    <x v="13"/>
    <x v="13"/>
    <x v="13"/>
    <x v="12"/>
    <x v="12"/>
    <x v="13"/>
    <x v="13"/>
    <x v="12"/>
    <x v="2"/>
  </r>
  <r>
    <x v="12"/>
    <x v="0"/>
    <x v="8"/>
    <x v="1"/>
    <x v="4"/>
    <x v="1"/>
    <x v="3"/>
    <x v="13"/>
    <x v="14"/>
    <x v="14"/>
    <x v="14"/>
    <x v="14"/>
    <x v="14"/>
    <x v="14"/>
    <x v="14"/>
    <x v="13"/>
    <x v="13"/>
    <x v="9"/>
    <x v="14"/>
    <x v="13"/>
    <x v="0"/>
  </r>
  <r>
    <x v="13"/>
    <x v="1"/>
    <x v="7"/>
    <x v="0"/>
    <x v="0"/>
    <x v="3"/>
    <x v="14"/>
    <x v="10"/>
    <x v="15"/>
    <x v="15"/>
    <x v="15"/>
    <x v="15"/>
    <x v="15"/>
    <x v="15"/>
    <x v="15"/>
    <x v="14"/>
    <x v="14"/>
    <x v="14"/>
    <x v="15"/>
    <x v="14"/>
    <x v="2"/>
  </r>
  <r>
    <x v="14"/>
    <x v="0"/>
    <x v="2"/>
    <x v="0"/>
    <x v="4"/>
    <x v="0"/>
    <x v="15"/>
    <x v="14"/>
    <x v="16"/>
    <x v="16"/>
    <x v="16"/>
    <x v="16"/>
    <x v="16"/>
    <x v="16"/>
    <x v="16"/>
    <x v="15"/>
    <x v="15"/>
    <x v="15"/>
    <x v="16"/>
    <x v="15"/>
    <x v="2"/>
  </r>
  <r>
    <x v="11"/>
    <x v="1"/>
    <x v="5"/>
    <x v="1"/>
    <x v="6"/>
    <x v="2"/>
    <x v="16"/>
    <x v="12"/>
    <x v="17"/>
    <x v="17"/>
    <x v="17"/>
    <x v="17"/>
    <x v="17"/>
    <x v="17"/>
    <x v="17"/>
    <x v="16"/>
    <x v="1"/>
    <x v="16"/>
    <x v="17"/>
    <x v="1"/>
    <x v="1"/>
  </r>
  <r>
    <x v="7"/>
    <x v="1"/>
    <x v="3"/>
    <x v="2"/>
    <x v="3"/>
    <x v="3"/>
    <x v="17"/>
    <x v="15"/>
    <x v="1"/>
    <x v="18"/>
    <x v="18"/>
    <x v="18"/>
    <x v="18"/>
    <x v="18"/>
    <x v="18"/>
    <x v="17"/>
    <x v="0"/>
    <x v="17"/>
    <x v="18"/>
    <x v="0"/>
    <x v="2"/>
  </r>
  <r>
    <x v="15"/>
    <x v="0"/>
    <x v="3"/>
    <x v="1"/>
    <x v="4"/>
    <x v="3"/>
    <x v="18"/>
    <x v="16"/>
    <x v="18"/>
    <x v="19"/>
    <x v="19"/>
    <x v="19"/>
    <x v="19"/>
    <x v="19"/>
    <x v="19"/>
    <x v="18"/>
    <x v="16"/>
    <x v="18"/>
    <x v="19"/>
    <x v="16"/>
    <x v="2"/>
  </r>
  <r>
    <x v="1"/>
    <x v="1"/>
    <x v="0"/>
    <x v="0"/>
    <x v="3"/>
    <x v="2"/>
    <x v="19"/>
    <x v="17"/>
    <x v="19"/>
    <x v="20"/>
    <x v="20"/>
    <x v="20"/>
    <x v="20"/>
    <x v="20"/>
    <x v="20"/>
    <x v="19"/>
    <x v="16"/>
    <x v="19"/>
    <x v="20"/>
    <x v="16"/>
    <x v="1"/>
  </r>
  <r>
    <x v="16"/>
    <x v="0"/>
    <x v="3"/>
    <x v="2"/>
    <x v="6"/>
    <x v="2"/>
    <x v="20"/>
    <x v="18"/>
    <x v="20"/>
    <x v="21"/>
    <x v="21"/>
    <x v="21"/>
    <x v="21"/>
    <x v="21"/>
    <x v="21"/>
    <x v="20"/>
    <x v="8"/>
    <x v="20"/>
    <x v="21"/>
    <x v="8"/>
    <x v="0"/>
  </r>
  <r>
    <x v="17"/>
    <x v="0"/>
    <x v="5"/>
    <x v="4"/>
    <x v="5"/>
    <x v="1"/>
    <x v="21"/>
    <x v="19"/>
    <x v="3"/>
    <x v="22"/>
    <x v="22"/>
    <x v="22"/>
    <x v="22"/>
    <x v="22"/>
    <x v="22"/>
    <x v="21"/>
    <x v="17"/>
    <x v="21"/>
    <x v="22"/>
    <x v="17"/>
    <x v="1"/>
  </r>
  <r>
    <x v="18"/>
    <x v="1"/>
    <x v="0"/>
    <x v="2"/>
    <x v="6"/>
    <x v="1"/>
    <x v="22"/>
    <x v="20"/>
    <x v="21"/>
    <x v="23"/>
    <x v="23"/>
    <x v="23"/>
    <x v="23"/>
    <x v="23"/>
    <x v="23"/>
    <x v="22"/>
    <x v="16"/>
    <x v="9"/>
    <x v="23"/>
    <x v="16"/>
    <x v="2"/>
  </r>
  <r>
    <x v="19"/>
    <x v="0"/>
    <x v="5"/>
    <x v="3"/>
    <x v="4"/>
    <x v="1"/>
    <x v="23"/>
    <x v="21"/>
    <x v="1"/>
    <x v="24"/>
    <x v="24"/>
    <x v="24"/>
    <x v="24"/>
    <x v="24"/>
    <x v="24"/>
    <x v="23"/>
    <x v="18"/>
    <x v="22"/>
    <x v="24"/>
    <x v="18"/>
    <x v="1"/>
  </r>
  <r>
    <x v="20"/>
    <x v="0"/>
    <x v="8"/>
    <x v="4"/>
    <x v="4"/>
    <x v="3"/>
    <x v="24"/>
    <x v="20"/>
    <x v="0"/>
    <x v="25"/>
    <x v="18"/>
    <x v="25"/>
    <x v="25"/>
    <x v="25"/>
    <x v="25"/>
    <x v="24"/>
    <x v="19"/>
    <x v="23"/>
    <x v="25"/>
    <x v="19"/>
    <x v="1"/>
  </r>
  <r>
    <x v="21"/>
    <x v="1"/>
    <x v="5"/>
    <x v="3"/>
    <x v="3"/>
    <x v="3"/>
    <x v="25"/>
    <x v="22"/>
    <x v="22"/>
    <x v="26"/>
    <x v="25"/>
    <x v="26"/>
    <x v="26"/>
    <x v="26"/>
    <x v="26"/>
    <x v="25"/>
    <x v="20"/>
    <x v="24"/>
    <x v="26"/>
    <x v="20"/>
    <x v="0"/>
  </r>
  <r>
    <x v="22"/>
    <x v="1"/>
    <x v="9"/>
    <x v="2"/>
    <x v="5"/>
    <x v="2"/>
    <x v="17"/>
    <x v="23"/>
    <x v="23"/>
    <x v="27"/>
    <x v="26"/>
    <x v="27"/>
    <x v="27"/>
    <x v="27"/>
    <x v="27"/>
    <x v="26"/>
    <x v="21"/>
    <x v="25"/>
    <x v="27"/>
    <x v="21"/>
    <x v="0"/>
  </r>
  <r>
    <x v="23"/>
    <x v="1"/>
    <x v="6"/>
    <x v="3"/>
    <x v="3"/>
    <x v="1"/>
    <x v="26"/>
    <x v="9"/>
    <x v="24"/>
    <x v="28"/>
    <x v="21"/>
    <x v="28"/>
    <x v="28"/>
    <x v="28"/>
    <x v="28"/>
    <x v="27"/>
    <x v="22"/>
    <x v="6"/>
    <x v="28"/>
    <x v="22"/>
    <x v="1"/>
  </r>
  <r>
    <x v="5"/>
    <x v="1"/>
    <x v="7"/>
    <x v="3"/>
    <x v="3"/>
    <x v="0"/>
    <x v="27"/>
    <x v="24"/>
    <x v="25"/>
    <x v="29"/>
    <x v="27"/>
    <x v="29"/>
    <x v="29"/>
    <x v="29"/>
    <x v="29"/>
    <x v="28"/>
    <x v="23"/>
    <x v="26"/>
    <x v="29"/>
    <x v="23"/>
    <x v="2"/>
  </r>
  <r>
    <x v="18"/>
    <x v="0"/>
    <x v="0"/>
    <x v="2"/>
    <x v="2"/>
    <x v="2"/>
    <x v="28"/>
    <x v="25"/>
    <x v="26"/>
    <x v="30"/>
    <x v="28"/>
    <x v="30"/>
    <x v="30"/>
    <x v="30"/>
    <x v="30"/>
    <x v="29"/>
    <x v="24"/>
    <x v="27"/>
    <x v="30"/>
    <x v="24"/>
    <x v="2"/>
  </r>
  <r>
    <x v="24"/>
    <x v="0"/>
    <x v="0"/>
    <x v="3"/>
    <x v="6"/>
    <x v="2"/>
    <x v="29"/>
    <x v="26"/>
    <x v="9"/>
    <x v="4"/>
    <x v="29"/>
    <x v="31"/>
    <x v="31"/>
    <x v="31"/>
    <x v="31"/>
    <x v="30"/>
    <x v="1"/>
    <x v="28"/>
    <x v="31"/>
    <x v="1"/>
    <x v="1"/>
  </r>
  <r>
    <x v="25"/>
    <x v="0"/>
    <x v="7"/>
    <x v="0"/>
    <x v="4"/>
    <x v="0"/>
    <x v="6"/>
    <x v="27"/>
    <x v="27"/>
    <x v="31"/>
    <x v="30"/>
    <x v="32"/>
    <x v="32"/>
    <x v="32"/>
    <x v="32"/>
    <x v="31"/>
    <x v="25"/>
    <x v="29"/>
    <x v="32"/>
    <x v="25"/>
    <x v="0"/>
  </r>
  <r>
    <x v="26"/>
    <x v="1"/>
    <x v="9"/>
    <x v="3"/>
    <x v="4"/>
    <x v="1"/>
    <x v="30"/>
    <x v="28"/>
    <x v="28"/>
    <x v="32"/>
    <x v="28"/>
    <x v="33"/>
    <x v="33"/>
    <x v="33"/>
    <x v="33"/>
    <x v="32"/>
    <x v="26"/>
    <x v="30"/>
    <x v="33"/>
    <x v="26"/>
    <x v="2"/>
  </r>
  <r>
    <x v="21"/>
    <x v="1"/>
    <x v="0"/>
    <x v="4"/>
    <x v="5"/>
    <x v="2"/>
    <x v="22"/>
    <x v="29"/>
    <x v="29"/>
    <x v="33"/>
    <x v="15"/>
    <x v="34"/>
    <x v="34"/>
    <x v="34"/>
    <x v="34"/>
    <x v="33"/>
    <x v="27"/>
    <x v="31"/>
    <x v="34"/>
    <x v="27"/>
    <x v="0"/>
  </r>
  <r>
    <x v="27"/>
    <x v="0"/>
    <x v="5"/>
    <x v="3"/>
    <x v="2"/>
    <x v="3"/>
    <x v="31"/>
    <x v="30"/>
    <x v="30"/>
    <x v="34"/>
    <x v="31"/>
    <x v="35"/>
    <x v="35"/>
    <x v="35"/>
    <x v="35"/>
    <x v="34"/>
    <x v="28"/>
    <x v="8"/>
    <x v="35"/>
    <x v="28"/>
    <x v="0"/>
  </r>
  <r>
    <x v="16"/>
    <x v="1"/>
    <x v="0"/>
    <x v="3"/>
    <x v="0"/>
    <x v="1"/>
    <x v="2"/>
    <x v="31"/>
    <x v="31"/>
    <x v="25"/>
    <x v="32"/>
    <x v="36"/>
    <x v="36"/>
    <x v="36"/>
    <x v="36"/>
    <x v="35"/>
    <x v="29"/>
    <x v="32"/>
    <x v="36"/>
    <x v="29"/>
    <x v="0"/>
  </r>
  <r>
    <x v="28"/>
    <x v="0"/>
    <x v="0"/>
    <x v="4"/>
    <x v="0"/>
    <x v="3"/>
    <x v="32"/>
    <x v="7"/>
    <x v="14"/>
    <x v="35"/>
    <x v="33"/>
    <x v="37"/>
    <x v="37"/>
    <x v="37"/>
    <x v="37"/>
    <x v="36"/>
    <x v="30"/>
    <x v="33"/>
    <x v="37"/>
    <x v="30"/>
    <x v="0"/>
  </r>
  <r>
    <x v="19"/>
    <x v="1"/>
    <x v="2"/>
    <x v="3"/>
    <x v="6"/>
    <x v="3"/>
    <x v="33"/>
    <x v="32"/>
    <x v="32"/>
    <x v="14"/>
    <x v="34"/>
    <x v="38"/>
    <x v="38"/>
    <x v="38"/>
    <x v="38"/>
    <x v="37"/>
    <x v="31"/>
    <x v="34"/>
    <x v="38"/>
    <x v="31"/>
    <x v="1"/>
  </r>
  <r>
    <x v="29"/>
    <x v="1"/>
    <x v="2"/>
    <x v="0"/>
    <x v="2"/>
    <x v="1"/>
    <x v="34"/>
    <x v="10"/>
    <x v="33"/>
    <x v="36"/>
    <x v="35"/>
    <x v="39"/>
    <x v="39"/>
    <x v="39"/>
    <x v="39"/>
    <x v="38"/>
    <x v="32"/>
    <x v="35"/>
    <x v="39"/>
    <x v="32"/>
    <x v="2"/>
  </r>
  <r>
    <x v="25"/>
    <x v="1"/>
    <x v="7"/>
    <x v="4"/>
    <x v="6"/>
    <x v="2"/>
    <x v="9"/>
    <x v="0"/>
    <x v="34"/>
    <x v="37"/>
    <x v="32"/>
    <x v="40"/>
    <x v="40"/>
    <x v="40"/>
    <x v="40"/>
    <x v="39"/>
    <x v="33"/>
    <x v="36"/>
    <x v="40"/>
    <x v="33"/>
    <x v="0"/>
  </r>
  <r>
    <x v="30"/>
    <x v="1"/>
    <x v="2"/>
    <x v="1"/>
    <x v="0"/>
    <x v="1"/>
    <x v="27"/>
    <x v="33"/>
    <x v="11"/>
    <x v="1"/>
    <x v="36"/>
    <x v="41"/>
    <x v="41"/>
    <x v="41"/>
    <x v="41"/>
    <x v="40"/>
    <x v="34"/>
    <x v="37"/>
    <x v="41"/>
    <x v="34"/>
    <x v="1"/>
  </r>
  <r>
    <x v="10"/>
    <x v="1"/>
    <x v="4"/>
    <x v="3"/>
    <x v="4"/>
    <x v="2"/>
    <x v="16"/>
    <x v="34"/>
    <x v="35"/>
    <x v="38"/>
    <x v="37"/>
    <x v="42"/>
    <x v="42"/>
    <x v="42"/>
    <x v="42"/>
    <x v="41"/>
    <x v="35"/>
    <x v="38"/>
    <x v="42"/>
    <x v="35"/>
    <x v="2"/>
  </r>
  <r>
    <x v="15"/>
    <x v="0"/>
    <x v="5"/>
    <x v="4"/>
    <x v="3"/>
    <x v="0"/>
    <x v="35"/>
    <x v="29"/>
    <x v="36"/>
    <x v="39"/>
    <x v="38"/>
    <x v="43"/>
    <x v="43"/>
    <x v="43"/>
    <x v="43"/>
    <x v="42"/>
    <x v="36"/>
    <x v="38"/>
    <x v="43"/>
    <x v="36"/>
    <x v="2"/>
  </r>
  <r>
    <x v="1"/>
    <x v="1"/>
    <x v="7"/>
    <x v="1"/>
    <x v="6"/>
    <x v="0"/>
    <x v="36"/>
    <x v="16"/>
    <x v="37"/>
    <x v="5"/>
    <x v="39"/>
    <x v="44"/>
    <x v="44"/>
    <x v="44"/>
    <x v="44"/>
    <x v="43"/>
    <x v="6"/>
    <x v="19"/>
    <x v="44"/>
    <x v="6"/>
    <x v="1"/>
  </r>
  <r>
    <x v="12"/>
    <x v="0"/>
    <x v="7"/>
    <x v="0"/>
    <x v="4"/>
    <x v="3"/>
    <x v="37"/>
    <x v="35"/>
    <x v="35"/>
    <x v="40"/>
    <x v="40"/>
    <x v="45"/>
    <x v="45"/>
    <x v="45"/>
    <x v="45"/>
    <x v="44"/>
    <x v="37"/>
    <x v="7"/>
    <x v="45"/>
    <x v="37"/>
    <x v="0"/>
  </r>
  <r>
    <x v="30"/>
    <x v="1"/>
    <x v="0"/>
    <x v="4"/>
    <x v="2"/>
    <x v="1"/>
    <x v="38"/>
    <x v="8"/>
    <x v="7"/>
    <x v="12"/>
    <x v="41"/>
    <x v="46"/>
    <x v="46"/>
    <x v="46"/>
    <x v="46"/>
    <x v="45"/>
    <x v="38"/>
    <x v="39"/>
    <x v="46"/>
    <x v="38"/>
    <x v="1"/>
  </r>
  <r>
    <x v="6"/>
    <x v="1"/>
    <x v="9"/>
    <x v="4"/>
    <x v="4"/>
    <x v="2"/>
    <x v="15"/>
    <x v="36"/>
    <x v="38"/>
    <x v="41"/>
    <x v="42"/>
    <x v="47"/>
    <x v="47"/>
    <x v="47"/>
    <x v="47"/>
    <x v="46"/>
    <x v="39"/>
    <x v="40"/>
    <x v="47"/>
    <x v="39"/>
    <x v="2"/>
  </r>
  <r>
    <x v="31"/>
    <x v="0"/>
    <x v="7"/>
    <x v="2"/>
    <x v="4"/>
    <x v="3"/>
    <x v="39"/>
    <x v="37"/>
    <x v="17"/>
    <x v="42"/>
    <x v="41"/>
    <x v="48"/>
    <x v="48"/>
    <x v="48"/>
    <x v="48"/>
    <x v="47"/>
    <x v="40"/>
    <x v="41"/>
    <x v="48"/>
    <x v="40"/>
    <x v="2"/>
  </r>
  <r>
    <x v="4"/>
    <x v="0"/>
    <x v="9"/>
    <x v="2"/>
    <x v="2"/>
    <x v="3"/>
    <x v="40"/>
    <x v="8"/>
    <x v="39"/>
    <x v="43"/>
    <x v="43"/>
    <x v="49"/>
    <x v="49"/>
    <x v="49"/>
    <x v="49"/>
    <x v="48"/>
    <x v="41"/>
    <x v="42"/>
    <x v="49"/>
    <x v="41"/>
    <x v="1"/>
  </r>
  <r>
    <x v="11"/>
    <x v="0"/>
    <x v="3"/>
    <x v="3"/>
    <x v="6"/>
    <x v="1"/>
    <x v="1"/>
    <x v="5"/>
    <x v="40"/>
    <x v="44"/>
    <x v="44"/>
    <x v="50"/>
    <x v="50"/>
    <x v="50"/>
    <x v="50"/>
    <x v="49"/>
    <x v="42"/>
    <x v="43"/>
    <x v="50"/>
    <x v="42"/>
    <x v="1"/>
  </r>
  <r>
    <x v="5"/>
    <x v="1"/>
    <x v="6"/>
    <x v="0"/>
    <x v="1"/>
    <x v="0"/>
    <x v="41"/>
    <x v="8"/>
    <x v="41"/>
    <x v="45"/>
    <x v="45"/>
    <x v="51"/>
    <x v="51"/>
    <x v="51"/>
    <x v="51"/>
    <x v="50"/>
    <x v="43"/>
    <x v="44"/>
    <x v="51"/>
    <x v="43"/>
    <x v="2"/>
  </r>
  <r>
    <x v="16"/>
    <x v="0"/>
    <x v="7"/>
    <x v="4"/>
    <x v="0"/>
    <x v="2"/>
    <x v="42"/>
    <x v="22"/>
    <x v="42"/>
    <x v="8"/>
    <x v="46"/>
    <x v="52"/>
    <x v="52"/>
    <x v="52"/>
    <x v="52"/>
    <x v="51"/>
    <x v="36"/>
    <x v="45"/>
    <x v="52"/>
    <x v="36"/>
    <x v="0"/>
  </r>
  <r>
    <x v="32"/>
    <x v="0"/>
    <x v="9"/>
    <x v="0"/>
    <x v="2"/>
    <x v="2"/>
    <x v="43"/>
    <x v="38"/>
    <x v="43"/>
    <x v="46"/>
    <x v="47"/>
    <x v="53"/>
    <x v="53"/>
    <x v="53"/>
    <x v="53"/>
    <x v="52"/>
    <x v="44"/>
    <x v="46"/>
    <x v="53"/>
    <x v="44"/>
    <x v="1"/>
  </r>
  <r>
    <x v="19"/>
    <x v="0"/>
    <x v="7"/>
    <x v="3"/>
    <x v="5"/>
    <x v="1"/>
    <x v="40"/>
    <x v="39"/>
    <x v="44"/>
    <x v="47"/>
    <x v="48"/>
    <x v="54"/>
    <x v="54"/>
    <x v="54"/>
    <x v="54"/>
    <x v="53"/>
    <x v="45"/>
    <x v="47"/>
    <x v="54"/>
    <x v="45"/>
    <x v="1"/>
  </r>
  <r>
    <x v="33"/>
    <x v="0"/>
    <x v="9"/>
    <x v="4"/>
    <x v="4"/>
    <x v="0"/>
    <x v="20"/>
    <x v="35"/>
    <x v="45"/>
    <x v="48"/>
    <x v="49"/>
    <x v="55"/>
    <x v="55"/>
    <x v="55"/>
    <x v="55"/>
    <x v="54"/>
    <x v="15"/>
    <x v="48"/>
    <x v="55"/>
    <x v="15"/>
    <x v="2"/>
  </r>
  <r>
    <x v="3"/>
    <x v="0"/>
    <x v="6"/>
    <x v="0"/>
    <x v="4"/>
    <x v="2"/>
    <x v="44"/>
    <x v="37"/>
    <x v="46"/>
    <x v="49"/>
    <x v="50"/>
    <x v="56"/>
    <x v="56"/>
    <x v="56"/>
    <x v="56"/>
    <x v="55"/>
    <x v="25"/>
    <x v="14"/>
    <x v="56"/>
    <x v="25"/>
    <x v="0"/>
  </r>
  <r>
    <x v="34"/>
    <x v="0"/>
    <x v="9"/>
    <x v="2"/>
    <x v="4"/>
    <x v="1"/>
    <x v="45"/>
    <x v="14"/>
    <x v="3"/>
    <x v="50"/>
    <x v="51"/>
    <x v="57"/>
    <x v="57"/>
    <x v="57"/>
    <x v="57"/>
    <x v="56"/>
    <x v="46"/>
    <x v="49"/>
    <x v="57"/>
    <x v="46"/>
    <x v="2"/>
  </r>
  <r>
    <x v="35"/>
    <x v="1"/>
    <x v="2"/>
    <x v="4"/>
    <x v="2"/>
    <x v="1"/>
    <x v="46"/>
    <x v="32"/>
    <x v="41"/>
    <x v="51"/>
    <x v="52"/>
    <x v="58"/>
    <x v="58"/>
    <x v="58"/>
    <x v="58"/>
    <x v="57"/>
    <x v="47"/>
    <x v="50"/>
    <x v="58"/>
    <x v="47"/>
    <x v="2"/>
  </r>
  <r>
    <x v="18"/>
    <x v="1"/>
    <x v="4"/>
    <x v="3"/>
    <x v="4"/>
    <x v="1"/>
    <x v="42"/>
    <x v="9"/>
    <x v="24"/>
    <x v="25"/>
    <x v="53"/>
    <x v="59"/>
    <x v="59"/>
    <x v="59"/>
    <x v="59"/>
    <x v="58"/>
    <x v="48"/>
    <x v="51"/>
    <x v="59"/>
    <x v="48"/>
    <x v="2"/>
  </r>
  <r>
    <x v="8"/>
    <x v="1"/>
    <x v="4"/>
    <x v="0"/>
    <x v="4"/>
    <x v="3"/>
    <x v="47"/>
    <x v="12"/>
    <x v="47"/>
    <x v="52"/>
    <x v="54"/>
    <x v="60"/>
    <x v="60"/>
    <x v="60"/>
    <x v="60"/>
    <x v="59"/>
    <x v="19"/>
    <x v="0"/>
    <x v="60"/>
    <x v="19"/>
    <x v="2"/>
  </r>
  <r>
    <x v="17"/>
    <x v="0"/>
    <x v="3"/>
    <x v="0"/>
    <x v="1"/>
    <x v="2"/>
    <x v="48"/>
    <x v="28"/>
    <x v="20"/>
    <x v="53"/>
    <x v="5"/>
    <x v="61"/>
    <x v="61"/>
    <x v="61"/>
    <x v="61"/>
    <x v="60"/>
    <x v="49"/>
    <x v="25"/>
    <x v="61"/>
    <x v="49"/>
    <x v="1"/>
  </r>
  <r>
    <x v="6"/>
    <x v="0"/>
    <x v="2"/>
    <x v="2"/>
    <x v="1"/>
    <x v="1"/>
    <x v="49"/>
    <x v="7"/>
    <x v="24"/>
    <x v="37"/>
    <x v="55"/>
    <x v="62"/>
    <x v="62"/>
    <x v="62"/>
    <x v="62"/>
    <x v="61"/>
    <x v="50"/>
    <x v="52"/>
    <x v="62"/>
    <x v="50"/>
    <x v="2"/>
  </r>
  <r>
    <x v="36"/>
    <x v="0"/>
    <x v="5"/>
    <x v="4"/>
    <x v="2"/>
    <x v="0"/>
    <x v="27"/>
    <x v="9"/>
    <x v="24"/>
    <x v="48"/>
    <x v="56"/>
    <x v="63"/>
    <x v="63"/>
    <x v="63"/>
    <x v="63"/>
    <x v="62"/>
    <x v="51"/>
    <x v="53"/>
    <x v="63"/>
    <x v="51"/>
    <x v="1"/>
  </r>
  <r>
    <x v="37"/>
    <x v="1"/>
    <x v="9"/>
    <x v="0"/>
    <x v="0"/>
    <x v="1"/>
    <x v="18"/>
    <x v="24"/>
    <x v="48"/>
    <x v="54"/>
    <x v="57"/>
    <x v="64"/>
    <x v="64"/>
    <x v="64"/>
    <x v="64"/>
    <x v="63"/>
    <x v="52"/>
    <x v="43"/>
    <x v="64"/>
    <x v="52"/>
    <x v="2"/>
  </r>
  <r>
    <x v="31"/>
    <x v="1"/>
    <x v="0"/>
    <x v="4"/>
    <x v="0"/>
    <x v="0"/>
    <x v="50"/>
    <x v="40"/>
    <x v="22"/>
    <x v="7"/>
    <x v="58"/>
    <x v="65"/>
    <x v="65"/>
    <x v="65"/>
    <x v="65"/>
    <x v="64"/>
    <x v="52"/>
    <x v="54"/>
    <x v="65"/>
    <x v="52"/>
    <x v="2"/>
  </r>
  <r>
    <x v="19"/>
    <x v="1"/>
    <x v="7"/>
    <x v="2"/>
    <x v="3"/>
    <x v="1"/>
    <x v="51"/>
    <x v="15"/>
    <x v="29"/>
    <x v="27"/>
    <x v="59"/>
    <x v="66"/>
    <x v="66"/>
    <x v="66"/>
    <x v="66"/>
    <x v="65"/>
    <x v="53"/>
    <x v="55"/>
    <x v="66"/>
    <x v="53"/>
    <x v="1"/>
  </r>
  <r>
    <x v="17"/>
    <x v="0"/>
    <x v="7"/>
    <x v="4"/>
    <x v="6"/>
    <x v="3"/>
    <x v="37"/>
    <x v="41"/>
    <x v="49"/>
    <x v="55"/>
    <x v="60"/>
    <x v="67"/>
    <x v="67"/>
    <x v="67"/>
    <x v="67"/>
    <x v="66"/>
    <x v="54"/>
    <x v="56"/>
    <x v="67"/>
    <x v="54"/>
    <x v="1"/>
  </r>
  <r>
    <x v="6"/>
    <x v="1"/>
    <x v="2"/>
    <x v="1"/>
    <x v="4"/>
    <x v="2"/>
    <x v="52"/>
    <x v="42"/>
    <x v="36"/>
    <x v="56"/>
    <x v="53"/>
    <x v="68"/>
    <x v="68"/>
    <x v="68"/>
    <x v="68"/>
    <x v="67"/>
    <x v="55"/>
    <x v="57"/>
    <x v="68"/>
    <x v="55"/>
    <x v="2"/>
  </r>
  <r>
    <x v="8"/>
    <x v="0"/>
    <x v="6"/>
    <x v="1"/>
    <x v="6"/>
    <x v="2"/>
    <x v="53"/>
    <x v="23"/>
    <x v="50"/>
    <x v="51"/>
    <x v="61"/>
    <x v="69"/>
    <x v="69"/>
    <x v="69"/>
    <x v="69"/>
    <x v="68"/>
    <x v="56"/>
    <x v="20"/>
    <x v="69"/>
    <x v="56"/>
    <x v="2"/>
  </r>
  <r>
    <x v="21"/>
    <x v="0"/>
    <x v="4"/>
    <x v="1"/>
    <x v="4"/>
    <x v="3"/>
    <x v="14"/>
    <x v="43"/>
    <x v="46"/>
    <x v="57"/>
    <x v="62"/>
    <x v="70"/>
    <x v="70"/>
    <x v="70"/>
    <x v="70"/>
    <x v="69"/>
    <x v="57"/>
    <x v="58"/>
    <x v="70"/>
    <x v="57"/>
    <x v="0"/>
  </r>
  <r>
    <x v="38"/>
    <x v="1"/>
    <x v="9"/>
    <x v="2"/>
    <x v="5"/>
    <x v="3"/>
    <x v="26"/>
    <x v="44"/>
    <x v="30"/>
    <x v="58"/>
    <x v="63"/>
    <x v="71"/>
    <x v="71"/>
    <x v="71"/>
    <x v="71"/>
    <x v="70"/>
    <x v="58"/>
    <x v="59"/>
    <x v="71"/>
    <x v="58"/>
    <x v="2"/>
  </r>
  <r>
    <x v="39"/>
    <x v="0"/>
    <x v="6"/>
    <x v="1"/>
    <x v="2"/>
    <x v="2"/>
    <x v="25"/>
    <x v="5"/>
    <x v="51"/>
    <x v="59"/>
    <x v="64"/>
    <x v="72"/>
    <x v="72"/>
    <x v="72"/>
    <x v="72"/>
    <x v="34"/>
    <x v="59"/>
    <x v="60"/>
    <x v="72"/>
    <x v="59"/>
    <x v="2"/>
  </r>
  <r>
    <x v="40"/>
    <x v="1"/>
    <x v="0"/>
    <x v="4"/>
    <x v="1"/>
    <x v="0"/>
    <x v="53"/>
    <x v="19"/>
    <x v="3"/>
    <x v="20"/>
    <x v="65"/>
    <x v="73"/>
    <x v="73"/>
    <x v="73"/>
    <x v="73"/>
    <x v="71"/>
    <x v="27"/>
    <x v="61"/>
    <x v="73"/>
    <x v="27"/>
    <x v="2"/>
  </r>
  <r>
    <x v="31"/>
    <x v="1"/>
    <x v="1"/>
    <x v="4"/>
    <x v="5"/>
    <x v="1"/>
    <x v="23"/>
    <x v="45"/>
    <x v="5"/>
    <x v="60"/>
    <x v="66"/>
    <x v="74"/>
    <x v="74"/>
    <x v="74"/>
    <x v="74"/>
    <x v="72"/>
    <x v="60"/>
    <x v="62"/>
    <x v="74"/>
    <x v="60"/>
    <x v="2"/>
  </r>
  <r>
    <x v="41"/>
    <x v="1"/>
    <x v="3"/>
    <x v="4"/>
    <x v="2"/>
    <x v="2"/>
    <x v="44"/>
    <x v="13"/>
    <x v="25"/>
    <x v="61"/>
    <x v="67"/>
    <x v="75"/>
    <x v="75"/>
    <x v="75"/>
    <x v="75"/>
    <x v="73"/>
    <x v="38"/>
    <x v="63"/>
    <x v="75"/>
    <x v="38"/>
    <x v="2"/>
  </r>
  <r>
    <x v="4"/>
    <x v="1"/>
    <x v="7"/>
    <x v="1"/>
    <x v="0"/>
    <x v="2"/>
    <x v="54"/>
    <x v="41"/>
    <x v="32"/>
    <x v="62"/>
    <x v="68"/>
    <x v="76"/>
    <x v="76"/>
    <x v="76"/>
    <x v="76"/>
    <x v="74"/>
    <x v="61"/>
    <x v="64"/>
    <x v="76"/>
    <x v="61"/>
    <x v="1"/>
  </r>
  <r>
    <x v="28"/>
    <x v="0"/>
    <x v="3"/>
    <x v="0"/>
    <x v="1"/>
    <x v="2"/>
    <x v="55"/>
    <x v="9"/>
    <x v="37"/>
    <x v="23"/>
    <x v="69"/>
    <x v="77"/>
    <x v="77"/>
    <x v="77"/>
    <x v="77"/>
    <x v="75"/>
    <x v="31"/>
    <x v="65"/>
    <x v="77"/>
    <x v="31"/>
    <x v="0"/>
  </r>
  <r>
    <x v="42"/>
    <x v="1"/>
    <x v="1"/>
    <x v="4"/>
    <x v="4"/>
    <x v="1"/>
    <x v="56"/>
    <x v="11"/>
    <x v="27"/>
    <x v="17"/>
    <x v="70"/>
    <x v="78"/>
    <x v="78"/>
    <x v="78"/>
    <x v="78"/>
    <x v="76"/>
    <x v="62"/>
    <x v="66"/>
    <x v="78"/>
    <x v="62"/>
    <x v="2"/>
  </r>
  <r>
    <x v="41"/>
    <x v="1"/>
    <x v="8"/>
    <x v="1"/>
    <x v="1"/>
    <x v="3"/>
    <x v="55"/>
    <x v="12"/>
    <x v="39"/>
    <x v="35"/>
    <x v="71"/>
    <x v="79"/>
    <x v="79"/>
    <x v="79"/>
    <x v="79"/>
    <x v="77"/>
    <x v="63"/>
    <x v="67"/>
    <x v="79"/>
    <x v="63"/>
    <x v="2"/>
  </r>
  <r>
    <x v="5"/>
    <x v="0"/>
    <x v="6"/>
    <x v="4"/>
    <x v="4"/>
    <x v="1"/>
    <x v="57"/>
    <x v="46"/>
    <x v="48"/>
    <x v="43"/>
    <x v="72"/>
    <x v="80"/>
    <x v="80"/>
    <x v="80"/>
    <x v="80"/>
    <x v="78"/>
    <x v="27"/>
    <x v="34"/>
    <x v="80"/>
    <x v="27"/>
    <x v="2"/>
  </r>
  <r>
    <x v="42"/>
    <x v="1"/>
    <x v="1"/>
    <x v="3"/>
    <x v="5"/>
    <x v="1"/>
    <x v="27"/>
    <x v="27"/>
    <x v="52"/>
    <x v="63"/>
    <x v="73"/>
    <x v="81"/>
    <x v="81"/>
    <x v="81"/>
    <x v="81"/>
    <x v="79"/>
    <x v="64"/>
    <x v="68"/>
    <x v="81"/>
    <x v="64"/>
    <x v="2"/>
  </r>
  <r>
    <x v="1"/>
    <x v="0"/>
    <x v="0"/>
    <x v="0"/>
    <x v="3"/>
    <x v="0"/>
    <x v="58"/>
    <x v="47"/>
    <x v="24"/>
    <x v="64"/>
    <x v="74"/>
    <x v="82"/>
    <x v="82"/>
    <x v="82"/>
    <x v="82"/>
    <x v="80"/>
    <x v="65"/>
    <x v="69"/>
    <x v="82"/>
    <x v="65"/>
    <x v="1"/>
  </r>
  <r>
    <x v="5"/>
    <x v="1"/>
    <x v="7"/>
    <x v="4"/>
    <x v="3"/>
    <x v="2"/>
    <x v="59"/>
    <x v="32"/>
    <x v="16"/>
    <x v="29"/>
    <x v="75"/>
    <x v="83"/>
    <x v="83"/>
    <x v="83"/>
    <x v="83"/>
    <x v="81"/>
    <x v="66"/>
    <x v="70"/>
    <x v="83"/>
    <x v="66"/>
    <x v="2"/>
  </r>
  <r>
    <x v="41"/>
    <x v="1"/>
    <x v="6"/>
    <x v="2"/>
    <x v="1"/>
    <x v="2"/>
    <x v="3"/>
    <x v="37"/>
    <x v="53"/>
    <x v="65"/>
    <x v="76"/>
    <x v="84"/>
    <x v="84"/>
    <x v="84"/>
    <x v="84"/>
    <x v="82"/>
    <x v="67"/>
    <x v="19"/>
    <x v="49"/>
    <x v="67"/>
    <x v="2"/>
  </r>
  <r>
    <x v="28"/>
    <x v="0"/>
    <x v="0"/>
    <x v="0"/>
    <x v="0"/>
    <x v="3"/>
    <x v="54"/>
    <x v="46"/>
    <x v="54"/>
    <x v="43"/>
    <x v="77"/>
    <x v="85"/>
    <x v="85"/>
    <x v="85"/>
    <x v="85"/>
    <x v="83"/>
    <x v="68"/>
    <x v="34"/>
    <x v="84"/>
    <x v="68"/>
    <x v="0"/>
  </r>
  <r>
    <x v="43"/>
    <x v="1"/>
    <x v="5"/>
    <x v="2"/>
    <x v="5"/>
    <x v="3"/>
    <x v="57"/>
    <x v="48"/>
    <x v="55"/>
    <x v="66"/>
    <x v="78"/>
    <x v="86"/>
    <x v="86"/>
    <x v="86"/>
    <x v="86"/>
    <x v="84"/>
    <x v="69"/>
    <x v="25"/>
    <x v="85"/>
    <x v="69"/>
    <x v="2"/>
  </r>
  <r>
    <x v="9"/>
    <x v="1"/>
    <x v="8"/>
    <x v="2"/>
    <x v="5"/>
    <x v="0"/>
    <x v="19"/>
    <x v="34"/>
    <x v="47"/>
    <x v="43"/>
    <x v="79"/>
    <x v="87"/>
    <x v="87"/>
    <x v="87"/>
    <x v="87"/>
    <x v="85"/>
    <x v="40"/>
    <x v="71"/>
    <x v="86"/>
    <x v="40"/>
    <x v="0"/>
  </r>
  <r>
    <x v="44"/>
    <x v="1"/>
    <x v="8"/>
    <x v="2"/>
    <x v="3"/>
    <x v="2"/>
    <x v="28"/>
    <x v="49"/>
    <x v="55"/>
    <x v="67"/>
    <x v="80"/>
    <x v="88"/>
    <x v="88"/>
    <x v="88"/>
    <x v="88"/>
    <x v="86"/>
    <x v="15"/>
    <x v="24"/>
    <x v="87"/>
    <x v="15"/>
    <x v="2"/>
  </r>
  <r>
    <x v="30"/>
    <x v="1"/>
    <x v="3"/>
    <x v="3"/>
    <x v="6"/>
    <x v="3"/>
    <x v="17"/>
    <x v="25"/>
    <x v="33"/>
    <x v="68"/>
    <x v="81"/>
    <x v="89"/>
    <x v="89"/>
    <x v="89"/>
    <x v="89"/>
    <x v="87"/>
    <x v="70"/>
    <x v="72"/>
    <x v="88"/>
    <x v="70"/>
    <x v="1"/>
  </r>
  <r>
    <x v="35"/>
    <x v="0"/>
    <x v="8"/>
    <x v="4"/>
    <x v="0"/>
    <x v="0"/>
    <x v="59"/>
    <x v="50"/>
    <x v="56"/>
    <x v="20"/>
    <x v="82"/>
    <x v="16"/>
    <x v="90"/>
    <x v="90"/>
    <x v="90"/>
    <x v="88"/>
    <x v="38"/>
    <x v="73"/>
    <x v="89"/>
    <x v="38"/>
    <x v="2"/>
  </r>
  <r>
    <x v="45"/>
    <x v="1"/>
    <x v="5"/>
    <x v="3"/>
    <x v="0"/>
    <x v="0"/>
    <x v="44"/>
    <x v="51"/>
    <x v="57"/>
    <x v="32"/>
    <x v="83"/>
    <x v="90"/>
    <x v="91"/>
    <x v="91"/>
    <x v="91"/>
    <x v="89"/>
    <x v="51"/>
    <x v="74"/>
    <x v="90"/>
    <x v="51"/>
    <x v="2"/>
  </r>
  <r>
    <x v="34"/>
    <x v="1"/>
    <x v="5"/>
    <x v="2"/>
    <x v="1"/>
    <x v="1"/>
    <x v="60"/>
    <x v="13"/>
    <x v="58"/>
    <x v="69"/>
    <x v="84"/>
    <x v="91"/>
    <x v="92"/>
    <x v="92"/>
    <x v="92"/>
    <x v="90"/>
    <x v="31"/>
    <x v="10"/>
    <x v="91"/>
    <x v="31"/>
    <x v="2"/>
  </r>
  <r>
    <x v="46"/>
    <x v="1"/>
    <x v="9"/>
    <x v="0"/>
    <x v="5"/>
    <x v="1"/>
    <x v="33"/>
    <x v="52"/>
    <x v="37"/>
    <x v="67"/>
    <x v="61"/>
    <x v="92"/>
    <x v="93"/>
    <x v="93"/>
    <x v="93"/>
    <x v="91"/>
    <x v="71"/>
    <x v="75"/>
    <x v="92"/>
    <x v="71"/>
    <x v="1"/>
  </r>
  <r>
    <x v="5"/>
    <x v="1"/>
    <x v="2"/>
    <x v="1"/>
    <x v="3"/>
    <x v="1"/>
    <x v="35"/>
    <x v="38"/>
    <x v="19"/>
    <x v="13"/>
    <x v="85"/>
    <x v="93"/>
    <x v="94"/>
    <x v="94"/>
    <x v="94"/>
    <x v="92"/>
    <x v="72"/>
    <x v="76"/>
    <x v="93"/>
    <x v="72"/>
    <x v="2"/>
  </r>
  <r>
    <x v="47"/>
    <x v="1"/>
    <x v="2"/>
    <x v="1"/>
    <x v="3"/>
    <x v="3"/>
    <x v="61"/>
    <x v="53"/>
    <x v="15"/>
    <x v="38"/>
    <x v="86"/>
    <x v="94"/>
    <x v="95"/>
    <x v="95"/>
    <x v="95"/>
    <x v="93"/>
    <x v="73"/>
    <x v="77"/>
    <x v="94"/>
    <x v="73"/>
    <x v="0"/>
  </r>
  <r>
    <x v="48"/>
    <x v="0"/>
    <x v="5"/>
    <x v="0"/>
    <x v="5"/>
    <x v="3"/>
    <x v="62"/>
    <x v="54"/>
    <x v="22"/>
    <x v="70"/>
    <x v="87"/>
    <x v="95"/>
    <x v="96"/>
    <x v="96"/>
    <x v="96"/>
    <x v="94"/>
    <x v="68"/>
    <x v="78"/>
    <x v="95"/>
    <x v="68"/>
    <x v="2"/>
  </r>
  <r>
    <x v="39"/>
    <x v="1"/>
    <x v="4"/>
    <x v="1"/>
    <x v="6"/>
    <x v="0"/>
    <x v="63"/>
    <x v="37"/>
    <x v="38"/>
    <x v="2"/>
    <x v="88"/>
    <x v="96"/>
    <x v="97"/>
    <x v="97"/>
    <x v="97"/>
    <x v="95"/>
    <x v="23"/>
    <x v="79"/>
    <x v="96"/>
    <x v="23"/>
    <x v="2"/>
  </r>
  <r>
    <x v="21"/>
    <x v="0"/>
    <x v="8"/>
    <x v="0"/>
    <x v="3"/>
    <x v="0"/>
    <x v="64"/>
    <x v="45"/>
    <x v="44"/>
    <x v="8"/>
    <x v="89"/>
    <x v="97"/>
    <x v="98"/>
    <x v="98"/>
    <x v="98"/>
    <x v="96"/>
    <x v="74"/>
    <x v="80"/>
    <x v="97"/>
    <x v="74"/>
    <x v="0"/>
  </r>
  <r>
    <x v="4"/>
    <x v="1"/>
    <x v="7"/>
    <x v="4"/>
    <x v="6"/>
    <x v="2"/>
    <x v="61"/>
    <x v="28"/>
    <x v="22"/>
    <x v="71"/>
    <x v="90"/>
    <x v="98"/>
    <x v="99"/>
    <x v="99"/>
    <x v="99"/>
    <x v="97"/>
    <x v="75"/>
    <x v="81"/>
    <x v="98"/>
    <x v="75"/>
    <x v="1"/>
  </r>
  <r>
    <x v="20"/>
    <x v="0"/>
    <x v="7"/>
    <x v="4"/>
    <x v="3"/>
    <x v="1"/>
    <x v="8"/>
    <x v="44"/>
    <x v="0"/>
    <x v="72"/>
    <x v="91"/>
    <x v="99"/>
    <x v="100"/>
    <x v="100"/>
    <x v="100"/>
    <x v="98"/>
    <x v="76"/>
    <x v="82"/>
    <x v="99"/>
    <x v="76"/>
    <x v="1"/>
  </r>
  <r>
    <x v="22"/>
    <x v="1"/>
    <x v="6"/>
    <x v="3"/>
    <x v="3"/>
    <x v="3"/>
    <x v="65"/>
    <x v="53"/>
    <x v="53"/>
    <x v="11"/>
    <x v="92"/>
    <x v="100"/>
    <x v="101"/>
    <x v="101"/>
    <x v="101"/>
    <x v="99"/>
    <x v="77"/>
    <x v="83"/>
    <x v="100"/>
    <x v="77"/>
    <x v="0"/>
  </r>
  <r>
    <x v="0"/>
    <x v="0"/>
    <x v="4"/>
    <x v="4"/>
    <x v="5"/>
    <x v="3"/>
    <x v="57"/>
    <x v="45"/>
    <x v="12"/>
    <x v="73"/>
    <x v="4"/>
    <x v="101"/>
    <x v="102"/>
    <x v="102"/>
    <x v="102"/>
    <x v="96"/>
    <x v="22"/>
    <x v="59"/>
    <x v="101"/>
    <x v="22"/>
    <x v="0"/>
  </r>
  <r>
    <x v="33"/>
    <x v="1"/>
    <x v="4"/>
    <x v="0"/>
    <x v="1"/>
    <x v="1"/>
    <x v="66"/>
    <x v="41"/>
    <x v="6"/>
    <x v="74"/>
    <x v="7"/>
    <x v="102"/>
    <x v="103"/>
    <x v="103"/>
    <x v="103"/>
    <x v="100"/>
    <x v="42"/>
    <x v="66"/>
    <x v="102"/>
    <x v="42"/>
    <x v="2"/>
  </r>
  <r>
    <x v="49"/>
    <x v="0"/>
    <x v="8"/>
    <x v="3"/>
    <x v="3"/>
    <x v="0"/>
    <x v="67"/>
    <x v="55"/>
    <x v="13"/>
    <x v="33"/>
    <x v="11"/>
    <x v="103"/>
    <x v="104"/>
    <x v="104"/>
    <x v="104"/>
    <x v="101"/>
    <x v="75"/>
    <x v="83"/>
    <x v="103"/>
    <x v="75"/>
    <x v="1"/>
  </r>
  <r>
    <x v="35"/>
    <x v="0"/>
    <x v="2"/>
    <x v="3"/>
    <x v="4"/>
    <x v="3"/>
    <x v="31"/>
    <x v="28"/>
    <x v="48"/>
    <x v="75"/>
    <x v="93"/>
    <x v="104"/>
    <x v="105"/>
    <x v="105"/>
    <x v="105"/>
    <x v="102"/>
    <x v="78"/>
    <x v="84"/>
    <x v="104"/>
    <x v="78"/>
    <x v="2"/>
  </r>
  <r>
    <x v="50"/>
    <x v="0"/>
    <x v="2"/>
    <x v="1"/>
    <x v="4"/>
    <x v="2"/>
    <x v="0"/>
    <x v="0"/>
    <x v="59"/>
    <x v="76"/>
    <x v="94"/>
    <x v="105"/>
    <x v="106"/>
    <x v="106"/>
    <x v="106"/>
    <x v="103"/>
    <x v="0"/>
    <x v="31"/>
    <x v="105"/>
    <x v="0"/>
    <x v="2"/>
  </r>
  <r>
    <x v="37"/>
    <x v="0"/>
    <x v="5"/>
    <x v="3"/>
    <x v="3"/>
    <x v="0"/>
    <x v="47"/>
    <x v="56"/>
    <x v="0"/>
    <x v="77"/>
    <x v="7"/>
    <x v="106"/>
    <x v="107"/>
    <x v="107"/>
    <x v="107"/>
    <x v="104"/>
    <x v="79"/>
    <x v="85"/>
    <x v="106"/>
    <x v="79"/>
    <x v="2"/>
  </r>
  <r>
    <x v="30"/>
    <x v="1"/>
    <x v="3"/>
    <x v="3"/>
    <x v="1"/>
    <x v="3"/>
    <x v="41"/>
    <x v="9"/>
    <x v="38"/>
    <x v="2"/>
    <x v="95"/>
    <x v="74"/>
    <x v="108"/>
    <x v="108"/>
    <x v="108"/>
    <x v="105"/>
    <x v="80"/>
    <x v="86"/>
    <x v="107"/>
    <x v="80"/>
    <x v="1"/>
  </r>
  <r>
    <x v="49"/>
    <x v="0"/>
    <x v="8"/>
    <x v="2"/>
    <x v="5"/>
    <x v="0"/>
    <x v="68"/>
    <x v="42"/>
    <x v="60"/>
    <x v="23"/>
    <x v="96"/>
    <x v="107"/>
    <x v="109"/>
    <x v="109"/>
    <x v="109"/>
    <x v="106"/>
    <x v="81"/>
    <x v="87"/>
    <x v="108"/>
    <x v="81"/>
    <x v="1"/>
  </r>
  <r>
    <x v="4"/>
    <x v="1"/>
    <x v="9"/>
    <x v="3"/>
    <x v="2"/>
    <x v="2"/>
    <x v="69"/>
    <x v="57"/>
    <x v="61"/>
    <x v="63"/>
    <x v="97"/>
    <x v="108"/>
    <x v="110"/>
    <x v="110"/>
    <x v="110"/>
    <x v="107"/>
    <x v="82"/>
    <x v="88"/>
    <x v="109"/>
    <x v="82"/>
    <x v="1"/>
  </r>
  <r>
    <x v="12"/>
    <x v="0"/>
    <x v="7"/>
    <x v="4"/>
    <x v="5"/>
    <x v="3"/>
    <x v="70"/>
    <x v="9"/>
    <x v="1"/>
    <x v="2"/>
    <x v="98"/>
    <x v="109"/>
    <x v="111"/>
    <x v="111"/>
    <x v="111"/>
    <x v="108"/>
    <x v="21"/>
    <x v="86"/>
    <x v="110"/>
    <x v="21"/>
    <x v="0"/>
  </r>
  <r>
    <x v="10"/>
    <x v="0"/>
    <x v="8"/>
    <x v="3"/>
    <x v="5"/>
    <x v="3"/>
    <x v="14"/>
    <x v="38"/>
    <x v="55"/>
    <x v="32"/>
    <x v="99"/>
    <x v="110"/>
    <x v="112"/>
    <x v="112"/>
    <x v="112"/>
    <x v="109"/>
    <x v="83"/>
    <x v="89"/>
    <x v="111"/>
    <x v="83"/>
    <x v="2"/>
  </r>
  <r>
    <x v="51"/>
    <x v="0"/>
    <x v="0"/>
    <x v="4"/>
    <x v="0"/>
    <x v="3"/>
    <x v="39"/>
    <x v="24"/>
    <x v="33"/>
    <x v="41"/>
    <x v="100"/>
    <x v="111"/>
    <x v="113"/>
    <x v="113"/>
    <x v="113"/>
    <x v="110"/>
    <x v="72"/>
    <x v="90"/>
    <x v="112"/>
    <x v="72"/>
    <x v="2"/>
  </r>
  <r>
    <x v="27"/>
    <x v="0"/>
    <x v="5"/>
    <x v="0"/>
    <x v="0"/>
    <x v="3"/>
    <x v="71"/>
    <x v="58"/>
    <x v="21"/>
    <x v="78"/>
    <x v="101"/>
    <x v="112"/>
    <x v="114"/>
    <x v="114"/>
    <x v="114"/>
    <x v="111"/>
    <x v="15"/>
    <x v="8"/>
    <x v="113"/>
    <x v="15"/>
    <x v="0"/>
  </r>
  <r>
    <x v="52"/>
    <x v="0"/>
    <x v="8"/>
    <x v="4"/>
    <x v="6"/>
    <x v="1"/>
    <x v="67"/>
    <x v="20"/>
    <x v="9"/>
    <x v="79"/>
    <x v="102"/>
    <x v="113"/>
    <x v="115"/>
    <x v="115"/>
    <x v="115"/>
    <x v="112"/>
    <x v="31"/>
    <x v="91"/>
    <x v="114"/>
    <x v="31"/>
    <x v="2"/>
  </r>
  <r>
    <x v="28"/>
    <x v="0"/>
    <x v="3"/>
    <x v="2"/>
    <x v="4"/>
    <x v="3"/>
    <x v="72"/>
    <x v="11"/>
    <x v="62"/>
    <x v="80"/>
    <x v="53"/>
    <x v="114"/>
    <x v="116"/>
    <x v="116"/>
    <x v="116"/>
    <x v="113"/>
    <x v="84"/>
    <x v="10"/>
    <x v="115"/>
    <x v="84"/>
    <x v="0"/>
  </r>
  <r>
    <x v="31"/>
    <x v="0"/>
    <x v="0"/>
    <x v="1"/>
    <x v="0"/>
    <x v="0"/>
    <x v="3"/>
    <x v="13"/>
    <x v="35"/>
    <x v="81"/>
    <x v="103"/>
    <x v="115"/>
    <x v="117"/>
    <x v="117"/>
    <x v="117"/>
    <x v="114"/>
    <x v="13"/>
    <x v="73"/>
    <x v="116"/>
    <x v="13"/>
    <x v="2"/>
  </r>
  <r>
    <x v="16"/>
    <x v="0"/>
    <x v="3"/>
    <x v="0"/>
    <x v="1"/>
    <x v="3"/>
    <x v="73"/>
    <x v="7"/>
    <x v="2"/>
    <x v="82"/>
    <x v="104"/>
    <x v="116"/>
    <x v="118"/>
    <x v="118"/>
    <x v="118"/>
    <x v="115"/>
    <x v="42"/>
    <x v="61"/>
    <x v="117"/>
    <x v="42"/>
    <x v="0"/>
  </r>
  <r>
    <x v="1"/>
    <x v="0"/>
    <x v="4"/>
    <x v="1"/>
    <x v="0"/>
    <x v="3"/>
    <x v="74"/>
    <x v="58"/>
    <x v="63"/>
    <x v="83"/>
    <x v="105"/>
    <x v="117"/>
    <x v="119"/>
    <x v="119"/>
    <x v="119"/>
    <x v="116"/>
    <x v="85"/>
    <x v="6"/>
    <x v="118"/>
    <x v="85"/>
    <x v="1"/>
  </r>
  <r>
    <x v="50"/>
    <x v="1"/>
    <x v="1"/>
    <x v="1"/>
    <x v="3"/>
    <x v="3"/>
    <x v="64"/>
    <x v="36"/>
    <x v="24"/>
    <x v="84"/>
    <x v="106"/>
    <x v="118"/>
    <x v="120"/>
    <x v="120"/>
    <x v="120"/>
    <x v="117"/>
    <x v="86"/>
    <x v="92"/>
    <x v="119"/>
    <x v="86"/>
    <x v="2"/>
  </r>
  <r>
    <x v="11"/>
    <x v="1"/>
    <x v="9"/>
    <x v="2"/>
    <x v="6"/>
    <x v="0"/>
    <x v="19"/>
    <x v="44"/>
    <x v="64"/>
    <x v="85"/>
    <x v="107"/>
    <x v="119"/>
    <x v="121"/>
    <x v="121"/>
    <x v="121"/>
    <x v="118"/>
    <x v="66"/>
    <x v="27"/>
    <x v="120"/>
    <x v="66"/>
    <x v="1"/>
  </r>
  <r>
    <x v="14"/>
    <x v="1"/>
    <x v="3"/>
    <x v="1"/>
    <x v="6"/>
    <x v="1"/>
    <x v="57"/>
    <x v="1"/>
    <x v="32"/>
    <x v="18"/>
    <x v="108"/>
    <x v="120"/>
    <x v="122"/>
    <x v="122"/>
    <x v="122"/>
    <x v="119"/>
    <x v="39"/>
    <x v="7"/>
    <x v="121"/>
    <x v="39"/>
    <x v="2"/>
  </r>
  <r>
    <x v="22"/>
    <x v="1"/>
    <x v="4"/>
    <x v="3"/>
    <x v="2"/>
    <x v="1"/>
    <x v="75"/>
    <x v="45"/>
    <x v="65"/>
    <x v="86"/>
    <x v="109"/>
    <x v="121"/>
    <x v="123"/>
    <x v="123"/>
    <x v="123"/>
    <x v="120"/>
    <x v="87"/>
    <x v="93"/>
    <x v="122"/>
    <x v="87"/>
    <x v="0"/>
  </r>
  <r>
    <x v="3"/>
    <x v="1"/>
    <x v="1"/>
    <x v="4"/>
    <x v="3"/>
    <x v="0"/>
    <x v="6"/>
    <x v="59"/>
    <x v="66"/>
    <x v="23"/>
    <x v="110"/>
    <x v="122"/>
    <x v="124"/>
    <x v="124"/>
    <x v="124"/>
    <x v="121"/>
    <x v="88"/>
    <x v="94"/>
    <x v="123"/>
    <x v="88"/>
    <x v="0"/>
  </r>
  <r>
    <x v="50"/>
    <x v="0"/>
    <x v="9"/>
    <x v="3"/>
    <x v="6"/>
    <x v="0"/>
    <x v="42"/>
    <x v="26"/>
    <x v="32"/>
    <x v="9"/>
    <x v="111"/>
    <x v="123"/>
    <x v="125"/>
    <x v="125"/>
    <x v="125"/>
    <x v="122"/>
    <x v="89"/>
    <x v="95"/>
    <x v="124"/>
    <x v="89"/>
    <x v="2"/>
  </r>
  <r>
    <x v="0"/>
    <x v="1"/>
    <x v="2"/>
    <x v="4"/>
    <x v="4"/>
    <x v="1"/>
    <x v="42"/>
    <x v="60"/>
    <x v="67"/>
    <x v="11"/>
    <x v="112"/>
    <x v="124"/>
    <x v="126"/>
    <x v="126"/>
    <x v="126"/>
    <x v="123"/>
    <x v="80"/>
    <x v="64"/>
    <x v="125"/>
    <x v="80"/>
    <x v="0"/>
  </r>
  <r>
    <x v="6"/>
    <x v="0"/>
    <x v="0"/>
    <x v="3"/>
    <x v="3"/>
    <x v="0"/>
    <x v="72"/>
    <x v="43"/>
    <x v="67"/>
    <x v="56"/>
    <x v="35"/>
    <x v="125"/>
    <x v="127"/>
    <x v="127"/>
    <x v="127"/>
    <x v="124"/>
    <x v="90"/>
    <x v="96"/>
    <x v="126"/>
    <x v="90"/>
    <x v="2"/>
  </r>
  <r>
    <x v="53"/>
    <x v="0"/>
    <x v="9"/>
    <x v="0"/>
    <x v="4"/>
    <x v="2"/>
    <x v="36"/>
    <x v="34"/>
    <x v="68"/>
    <x v="33"/>
    <x v="113"/>
    <x v="126"/>
    <x v="128"/>
    <x v="128"/>
    <x v="128"/>
    <x v="125"/>
    <x v="85"/>
    <x v="97"/>
    <x v="127"/>
    <x v="85"/>
    <x v="1"/>
  </r>
  <r>
    <x v="47"/>
    <x v="1"/>
    <x v="3"/>
    <x v="0"/>
    <x v="2"/>
    <x v="3"/>
    <x v="76"/>
    <x v="2"/>
    <x v="67"/>
    <x v="1"/>
    <x v="13"/>
    <x v="127"/>
    <x v="129"/>
    <x v="129"/>
    <x v="129"/>
    <x v="126"/>
    <x v="78"/>
    <x v="55"/>
    <x v="128"/>
    <x v="78"/>
    <x v="0"/>
  </r>
  <r>
    <x v="7"/>
    <x v="1"/>
    <x v="6"/>
    <x v="2"/>
    <x v="4"/>
    <x v="2"/>
    <x v="60"/>
    <x v="29"/>
    <x v="30"/>
    <x v="67"/>
    <x v="114"/>
    <x v="128"/>
    <x v="130"/>
    <x v="130"/>
    <x v="130"/>
    <x v="82"/>
    <x v="91"/>
    <x v="55"/>
    <x v="129"/>
    <x v="91"/>
    <x v="2"/>
  </r>
  <r>
    <x v="4"/>
    <x v="0"/>
    <x v="2"/>
    <x v="1"/>
    <x v="4"/>
    <x v="3"/>
    <x v="34"/>
    <x v="61"/>
    <x v="50"/>
    <x v="87"/>
    <x v="74"/>
    <x v="129"/>
    <x v="131"/>
    <x v="131"/>
    <x v="131"/>
    <x v="127"/>
    <x v="27"/>
    <x v="57"/>
    <x v="130"/>
    <x v="27"/>
    <x v="1"/>
  </r>
  <r>
    <x v="35"/>
    <x v="1"/>
    <x v="7"/>
    <x v="2"/>
    <x v="1"/>
    <x v="0"/>
    <x v="77"/>
    <x v="16"/>
    <x v="52"/>
    <x v="48"/>
    <x v="115"/>
    <x v="130"/>
    <x v="132"/>
    <x v="132"/>
    <x v="132"/>
    <x v="128"/>
    <x v="42"/>
    <x v="98"/>
    <x v="131"/>
    <x v="42"/>
    <x v="2"/>
  </r>
  <r>
    <x v="49"/>
    <x v="1"/>
    <x v="1"/>
    <x v="0"/>
    <x v="3"/>
    <x v="1"/>
    <x v="21"/>
    <x v="25"/>
    <x v="69"/>
    <x v="14"/>
    <x v="116"/>
    <x v="131"/>
    <x v="133"/>
    <x v="133"/>
    <x v="133"/>
    <x v="129"/>
    <x v="92"/>
    <x v="24"/>
    <x v="132"/>
    <x v="92"/>
    <x v="1"/>
  </r>
  <r>
    <x v="49"/>
    <x v="1"/>
    <x v="7"/>
    <x v="4"/>
    <x v="5"/>
    <x v="3"/>
    <x v="78"/>
    <x v="23"/>
    <x v="70"/>
    <x v="48"/>
    <x v="117"/>
    <x v="132"/>
    <x v="134"/>
    <x v="134"/>
    <x v="134"/>
    <x v="130"/>
    <x v="58"/>
    <x v="43"/>
    <x v="133"/>
    <x v="58"/>
    <x v="1"/>
  </r>
  <r>
    <x v="52"/>
    <x v="1"/>
    <x v="5"/>
    <x v="3"/>
    <x v="3"/>
    <x v="0"/>
    <x v="79"/>
    <x v="41"/>
    <x v="40"/>
    <x v="78"/>
    <x v="25"/>
    <x v="133"/>
    <x v="135"/>
    <x v="135"/>
    <x v="135"/>
    <x v="131"/>
    <x v="93"/>
    <x v="24"/>
    <x v="134"/>
    <x v="93"/>
    <x v="2"/>
  </r>
  <r>
    <x v="35"/>
    <x v="1"/>
    <x v="8"/>
    <x v="4"/>
    <x v="4"/>
    <x v="1"/>
    <x v="78"/>
    <x v="34"/>
    <x v="24"/>
    <x v="88"/>
    <x v="53"/>
    <x v="134"/>
    <x v="136"/>
    <x v="136"/>
    <x v="136"/>
    <x v="132"/>
    <x v="52"/>
    <x v="99"/>
    <x v="135"/>
    <x v="52"/>
    <x v="2"/>
  </r>
  <r>
    <x v="11"/>
    <x v="1"/>
    <x v="9"/>
    <x v="1"/>
    <x v="2"/>
    <x v="1"/>
    <x v="80"/>
    <x v="25"/>
    <x v="3"/>
    <x v="89"/>
    <x v="118"/>
    <x v="135"/>
    <x v="137"/>
    <x v="137"/>
    <x v="137"/>
    <x v="123"/>
    <x v="49"/>
    <x v="21"/>
    <x v="38"/>
    <x v="49"/>
    <x v="1"/>
  </r>
  <r>
    <x v="3"/>
    <x v="1"/>
    <x v="1"/>
    <x v="4"/>
    <x v="6"/>
    <x v="1"/>
    <x v="61"/>
    <x v="21"/>
    <x v="24"/>
    <x v="10"/>
    <x v="119"/>
    <x v="136"/>
    <x v="138"/>
    <x v="138"/>
    <x v="138"/>
    <x v="133"/>
    <x v="57"/>
    <x v="20"/>
    <x v="136"/>
    <x v="57"/>
    <x v="0"/>
  </r>
  <r>
    <x v="15"/>
    <x v="0"/>
    <x v="1"/>
    <x v="2"/>
    <x v="0"/>
    <x v="0"/>
    <x v="81"/>
    <x v="60"/>
    <x v="71"/>
    <x v="90"/>
    <x v="117"/>
    <x v="137"/>
    <x v="139"/>
    <x v="139"/>
    <x v="139"/>
    <x v="134"/>
    <x v="68"/>
    <x v="36"/>
    <x v="137"/>
    <x v="68"/>
    <x v="2"/>
  </r>
  <r>
    <x v="27"/>
    <x v="0"/>
    <x v="3"/>
    <x v="4"/>
    <x v="5"/>
    <x v="2"/>
    <x v="51"/>
    <x v="43"/>
    <x v="6"/>
    <x v="91"/>
    <x v="24"/>
    <x v="138"/>
    <x v="140"/>
    <x v="140"/>
    <x v="140"/>
    <x v="135"/>
    <x v="39"/>
    <x v="6"/>
    <x v="138"/>
    <x v="39"/>
    <x v="0"/>
  </r>
  <r>
    <x v="23"/>
    <x v="1"/>
    <x v="0"/>
    <x v="4"/>
    <x v="4"/>
    <x v="0"/>
    <x v="44"/>
    <x v="28"/>
    <x v="50"/>
    <x v="92"/>
    <x v="120"/>
    <x v="139"/>
    <x v="141"/>
    <x v="141"/>
    <x v="141"/>
    <x v="136"/>
    <x v="94"/>
    <x v="100"/>
    <x v="139"/>
    <x v="94"/>
    <x v="1"/>
  </r>
  <r>
    <x v="39"/>
    <x v="0"/>
    <x v="5"/>
    <x v="1"/>
    <x v="2"/>
    <x v="0"/>
    <x v="82"/>
    <x v="60"/>
    <x v="44"/>
    <x v="93"/>
    <x v="121"/>
    <x v="140"/>
    <x v="142"/>
    <x v="142"/>
    <x v="142"/>
    <x v="137"/>
    <x v="95"/>
    <x v="10"/>
    <x v="140"/>
    <x v="95"/>
    <x v="2"/>
  </r>
  <r>
    <x v="18"/>
    <x v="1"/>
    <x v="5"/>
    <x v="3"/>
    <x v="1"/>
    <x v="3"/>
    <x v="80"/>
    <x v="62"/>
    <x v="7"/>
    <x v="51"/>
    <x v="122"/>
    <x v="141"/>
    <x v="143"/>
    <x v="143"/>
    <x v="143"/>
    <x v="138"/>
    <x v="63"/>
    <x v="101"/>
    <x v="101"/>
    <x v="63"/>
    <x v="2"/>
  </r>
  <r>
    <x v="42"/>
    <x v="0"/>
    <x v="0"/>
    <x v="1"/>
    <x v="6"/>
    <x v="1"/>
    <x v="83"/>
    <x v="40"/>
    <x v="47"/>
    <x v="94"/>
    <x v="123"/>
    <x v="142"/>
    <x v="144"/>
    <x v="144"/>
    <x v="144"/>
    <x v="139"/>
    <x v="96"/>
    <x v="76"/>
    <x v="48"/>
    <x v="96"/>
    <x v="2"/>
  </r>
  <r>
    <x v="17"/>
    <x v="1"/>
    <x v="6"/>
    <x v="2"/>
    <x v="5"/>
    <x v="2"/>
    <x v="79"/>
    <x v="45"/>
    <x v="50"/>
    <x v="95"/>
    <x v="124"/>
    <x v="143"/>
    <x v="145"/>
    <x v="145"/>
    <x v="145"/>
    <x v="140"/>
    <x v="97"/>
    <x v="102"/>
    <x v="141"/>
    <x v="97"/>
    <x v="1"/>
  </r>
  <r>
    <x v="45"/>
    <x v="1"/>
    <x v="6"/>
    <x v="0"/>
    <x v="6"/>
    <x v="3"/>
    <x v="41"/>
    <x v="24"/>
    <x v="16"/>
    <x v="42"/>
    <x v="125"/>
    <x v="144"/>
    <x v="146"/>
    <x v="146"/>
    <x v="146"/>
    <x v="141"/>
    <x v="76"/>
    <x v="103"/>
    <x v="101"/>
    <x v="76"/>
    <x v="2"/>
  </r>
  <r>
    <x v="13"/>
    <x v="0"/>
    <x v="2"/>
    <x v="3"/>
    <x v="3"/>
    <x v="3"/>
    <x v="54"/>
    <x v="55"/>
    <x v="15"/>
    <x v="96"/>
    <x v="126"/>
    <x v="145"/>
    <x v="147"/>
    <x v="147"/>
    <x v="147"/>
    <x v="142"/>
    <x v="90"/>
    <x v="104"/>
    <x v="142"/>
    <x v="90"/>
    <x v="2"/>
  </r>
  <r>
    <x v="0"/>
    <x v="0"/>
    <x v="2"/>
    <x v="3"/>
    <x v="3"/>
    <x v="0"/>
    <x v="7"/>
    <x v="22"/>
    <x v="48"/>
    <x v="97"/>
    <x v="127"/>
    <x v="146"/>
    <x v="148"/>
    <x v="148"/>
    <x v="148"/>
    <x v="143"/>
    <x v="34"/>
    <x v="105"/>
    <x v="143"/>
    <x v="34"/>
    <x v="0"/>
  </r>
  <r>
    <x v="24"/>
    <x v="0"/>
    <x v="6"/>
    <x v="2"/>
    <x v="1"/>
    <x v="0"/>
    <x v="39"/>
    <x v="60"/>
    <x v="32"/>
    <x v="92"/>
    <x v="128"/>
    <x v="147"/>
    <x v="149"/>
    <x v="149"/>
    <x v="149"/>
    <x v="144"/>
    <x v="2"/>
    <x v="94"/>
    <x v="144"/>
    <x v="2"/>
    <x v="1"/>
  </r>
  <r>
    <x v="40"/>
    <x v="0"/>
    <x v="7"/>
    <x v="2"/>
    <x v="6"/>
    <x v="1"/>
    <x v="50"/>
    <x v="63"/>
    <x v="31"/>
    <x v="98"/>
    <x v="118"/>
    <x v="148"/>
    <x v="150"/>
    <x v="150"/>
    <x v="150"/>
    <x v="145"/>
    <x v="1"/>
    <x v="0"/>
    <x v="145"/>
    <x v="1"/>
    <x v="2"/>
  </r>
  <r>
    <x v="54"/>
    <x v="1"/>
    <x v="5"/>
    <x v="2"/>
    <x v="1"/>
    <x v="3"/>
    <x v="22"/>
    <x v="64"/>
    <x v="0"/>
    <x v="79"/>
    <x v="129"/>
    <x v="149"/>
    <x v="151"/>
    <x v="151"/>
    <x v="151"/>
    <x v="146"/>
    <x v="98"/>
    <x v="106"/>
    <x v="146"/>
    <x v="98"/>
    <x v="0"/>
  </r>
  <r>
    <x v="37"/>
    <x v="1"/>
    <x v="7"/>
    <x v="4"/>
    <x v="3"/>
    <x v="0"/>
    <x v="66"/>
    <x v="65"/>
    <x v="56"/>
    <x v="57"/>
    <x v="130"/>
    <x v="150"/>
    <x v="152"/>
    <x v="152"/>
    <x v="152"/>
    <x v="147"/>
    <x v="38"/>
    <x v="107"/>
    <x v="89"/>
    <x v="38"/>
    <x v="2"/>
  </r>
  <r>
    <x v="37"/>
    <x v="0"/>
    <x v="7"/>
    <x v="2"/>
    <x v="5"/>
    <x v="1"/>
    <x v="14"/>
    <x v="18"/>
    <x v="72"/>
    <x v="99"/>
    <x v="5"/>
    <x v="151"/>
    <x v="153"/>
    <x v="153"/>
    <x v="153"/>
    <x v="148"/>
    <x v="31"/>
    <x v="108"/>
    <x v="147"/>
    <x v="31"/>
    <x v="2"/>
  </r>
  <r>
    <x v="35"/>
    <x v="1"/>
    <x v="7"/>
    <x v="3"/>
    <x v="6"/>
    <x v="0"/>
    <x v="38"/>
    <x v="46"/>
    <x v="40"/>
    <x v="75"/>
    <x v="131"/>
    <x v="152"/>
    <x v="154"/>
    <x v="154"/>
    <x v="154"/>
    <x v="149"/>
    <x v="3"/>
    <x v="56"/>
    <x v="148"/>
    <x v="3"/>
    <x v="2"/>
  </r>
  <r>
    <x v="14"/>
    <x v="0"/>
    <x v="7"/>
    <x v="1"/>
    <x v="3"/>
    <x v="0"/>
    <x v="71"/>
    <x v="47"/>
    <x v="18"/>
    <x v="100"/>
    <x v="75"/>
    <x v="153"/>
    <x v="155"/>
    <x v="155"/>
    <x v="155"/>
    <x v="150"/>
    <x v="75"/>
    <x v="109"/>
    <x v="149"/>
    <x v="75"/>
    <x v="2"/>
  </r>
  <r>
    <x v="19"/>
    <x v="1"/>
    <x v="6"/>
    <x v="0"/>
    <x v="5"/>
    <x v="3"/>
    <x v="76"/>
    <x v="55"/>
    <x v="21"/>
    <x v="38"/>
    <x v="132"/>
    <x v="154"/>
    <x v="156"/>
    <x v="156"/>
    <x v="156"/>
    <x v="151"/>
    <x v="99"/>
    <x v="110"/>
    <x v="150"/>
    <x v="99"/>
    <x v="1"/>
  </r>
  <r>
    <x v="55"/>
    <x v="0"/>
    <x v="8"/>
    <x v="3"/>
    <x v="1"/>
    <x v="2"/>
    <x v="49"/>
    <x v="52"/>
    <x v="56"/>
    <x v="39"/>
    <x v="14"/>
    <x v="155"/>
    <x v="157"/>
    <x v="157"/>
    <x v="157"/>
    <x v="152"/>
    <x v="56"/>
    <x v="111"/>
    <x v="151"/>
    <x v="56"/>
    <x v="2"/>
  </r>
  <r>
    <x v="29"/>
    <x v="1"/>
    <x v="7"/>
    <x v="1"/>
    <x v="1"/>
    <x v="0"/>
    <x v="36"/>
    <x v="50"/>
    <x v="59"/>
    <x v="58"/>
    <x v="131"/>
    <x v="156"/>
    <x v="158"/>
    <x v="158"/>
    <x v="158"/>
    <x v="153"/>
    <x v="43"/>
    <x v="56"/>
    <x v="152"/>
    <x v="43"/>
    <x v="2"/>
  </r>
  <r>
    <x v="49"/>
    <x v="0"/>
    <x v="3"/>
    <x v="1"/>
    <x v="1"/>
    <x v="0"/>
    <x v="84"/>
    <x v="32"/>
    <x v="49"/>
    <x v="45"/>
    <x v="0"/>
    <x v="157"/>
    <x v="159"/>
    <x v="159"/>
    <x v="159"/>
    <x v="154"/>
    <x v="100"/>
    <x v="32"/>
    <x v="153"/>
    <x v="100"/>
    <x v="1"/>
  </r>
  <r>
    <x v="23"/>
    <x v="0"/>
    <x v="7"/>
    <x v="2"/>
    <x v="5"/>
    <x v="0"/>
    <x v="24"/>
    <x v="14"/>
    <x v="73"/>
    <x v="37"/>
    <x v="133"/>
    <x v="158"/>
    <x v="160"/>
    <x v="160"/>
    <x v="160"/>
    <x v="155"/>
    <x v="101"/>
    <x v="63"/>
    <x v="154"/>
    <x v="101"/>
    <x v="1"/>
  </r>
  <r>
    <x v="56"/>
    <x v="1"/>
    <x v="5"/>
    <x v="0"/>
    <x v="3"/>
    <x v="1"/>
    <x v="75"/>
    <x v="66"/>
    <x v="52"/>
    <x v="46"/>
    <x v="46"/>
    <x v="159"/>
    <x v="161"/>
    <x v="161"/>
    <x v="161"/>
    <x v="156"/>
    <x v="102"/>
    <x v="109"/>
    <x v="155"/>
    <x v="102"/>
    <x v="2"/>
  </r>
  <r>
    <x v="29"/>
    <x v="0"/>
    <x v="4"/>
    <x v="1"/>
    <x v="1"/>
    <x v="2"/>
    <x v="85"/>
    <x v="45"/>
    <x v="17"/>
    <x v="82"/>
    <x v="134"/>
    <x v="160"/>
    <x v="162"/>
    <x v="162"/>
    <x v="162"/>
    <x v="157"/>
    <x v="40"/>
    <x v="1"/>
    <x v="48"/>
    <x v="40"/>
    <x v="2"/>
  </r>
  <r>
    <x v="28"/>
    <x v="1"/>
    <x v="5"/>
    <x v="2"/>
    <x v="2"/>
    <x v="0"/>
    <x v="86"/>
    <x v="29"/>
    <x v="48"/>
    <x v="101"/>
    <x v="135"/>
    <x v="161"/>
    <x v="163"/>
    <x v="163"/>
    <x v="163"/>
    <x v="158"/>
    <x v="57"/>
    <x v="57"/>
    <x v="156"/>
    <x v="57"/>
    <x v="0"/>
  </r>
  <r>
    <x v="13"/>
    <x v="0"/>
    <x v="7"/>
    <x v="2"/>
    <x v="4"/>
    <x v="3"/>
    <x v="87"/>
    <x v="31"/>
    <x v="74"/>
    <x v="3"/>
    <x v="79"/>
    <x v="162"/>
    <x v="164"/>
    <x v="164"/>
    <x v="164"/>
    <x v="159"/>
    <x v="103"/>
    <x v="107"/>
    <x v="157"/>
    <x v="103"/>
    <x v="2"/>
  </r>
  <r>
    <x v="12"/>
    <x v="0"/>
    <x v="7"/>
    <x v="2"/>
    <x v="2"/>
    <x v="1"/>
    <x v="82"/>
    <x v="57"/>
    <x v="69"/>
    <x v="89"/>
    <x v="136"/>
    <x v="163"/>
    <x v="165"/>
    <x v="165"/>
    <x v="165"/>
    <x v="160"/>
    <x v="104"/>
    <x v="112"/>
    <x v="158"/>
    <x v="104"/>
    <x v="0"/>
  </r>
  <r>
    <x v="54"/>
    <x v="1"/>
    <x v="7"/>
    <x v="4"/>
    <x v="4"/>
    <x v="1"/>
    <x v="59"/>
    <x v="29"/>
    <x v="22"/>
    <x v="49"/>
    <x v="11"/>
    <x v="164"/>
    <x v="166"/>
    <x v="166"/>
    <x v="166"/>
    <x v="161"/>
    <x v="105"/>
    <x v="113"/>
    <x v="159"/>
    <x v="105"/>
    <x v="0"/>
  </r>
  <r>
    <x v="57"/>
    <x v="0"/>
    <x v="8"/>
    <x v="4"/>
    <x v="6"/>
    <x v="2"/>
    <x v="25"/>
    <x v="65"/>
    <x v="75"/>
    <x v="93"/>
    <x v="137"/>
    <x v="165"/>
    <x v="167"/>
    <x v="167"/>
    <x v="167"/>
    <x v="162"/>
    <x v="85"/>
    <x v="114"/>
    <x v="160"/>
    <x v="85"/>
    <x v="0"/>
  </r>
  <r>
    <x v="35"/>
    <x v="1"/>
    <x v="4"/>
    <x v="0"/>
    <x v="6"/>
    <x v="2"/>
    <x v="86"/>
    <x v="67"/>
    <x v="40"/>
    <x v="102"/>
    <x v="138"/>
    <x v="166"/>
    <x v="168"/>
    <x v="168"/>
    <x v="168"/>
    <x v="163"/>
    <x v="61"/>
    <x v="115"/>
    <x v="161"/>
    <x v="61"/>
    <x v="2"/>
  </r>
  <r>
    <x v="15"/>
    <x v="0"/>
    <x v="5"/>
    <x v="2"/>
    <x v="1"/>
    <x v="3"/>
    <x v="8"/>
    <x v="43"/>
    <x v="36"/>
    <x v="2"/>
    <x v="139"/>
    <x v="167"/>
    <x v="169"/>
    <x v="169"/>
    <x v="169"/>
    <x v="164"/>
    <x v="62"/>
    <x v="72"/>
    <x v="162"/>
    <x v="62"/>
    <x v="2"/>
  </r>
  <r>
    <x v="13"/>
    <x v="0"/>
    <x v="3"/>
    <x v="2"/>
    <x v="1"/>
    <x v="2"/>
    <x v="1"/>
    <x v="55"/>
    <x v="76"/>
    <x v="2"/>
    <x v="140"/>
    <x v="168"/>
    <x v="170"/>
    <x v="170"/>
    <x v="170"/>
    <x v="165"/>
    <x v="106"/>
    <x v="65"/>
    <x v="163"/>
    <x v="106"/>
    <x v="2"/>
  </r>
  <r>
    <x v="45"/>
    <x v="0"/>
    <x v="0"/>
    <x v="3"/>
    <x v="5"/>
    <x v="1"/>
    <x v="63"/>
    <x v="52"/>
    <x v="37"/>
    <x v="77"/>
    <x v="141"/>
    <x v="169"/>
    <x v="171"/>
    <x v="171"/>
    <x v="171"/>
    <x v="166"/>
    <x v="12"/>
    <x v="116"/>
    <x v="164"/>
    <x v="12"/>
    <x v="2"/>
  </r>
  <r>
    <x v="24"/>
    <x v="0"/>
    <x v="2"/>
    <x v="1"/>
    <x v="4"/>
    <x v="2"/>
    <x v="7"/>
    <x v="39"/>
    <x v="77"/>
    <x v="13"/>
    <x v="42"/>
    <x v="170"/>
    <x v="172"/>
    <x v="172"/>
    <x v="172"/>
    <x v="167"/>
    <x v="107"/>
    <x v="117"/>
    <x v="165"/>
    <x v="107"/>
    <x v="1"/>
  </r>
  <r>
    <x v="52"/>
    <x v="0"/>
    <x v="6"/>
    <x v="1"/>
    <x v="2"/>
    <x v="2"/>
    <x v="88"/>
    <x v="68"/>
    <x v="42"/>
    <x v="103"/>
    <x v="142"/>
    <x v="171"/>
    <x v="173"/>
    <x v="173"/>
    <x v="173"/>
    <x v="168"/>
    <x v="38"/>
    <x v="40"/>
    <x v="166"/>
    <x v="38"/>
    <x v="2"/>
  </r>
  <r>
    <x v="57"/>
    <x v="0"/>
    <x v="6"/>
    <x v="4"/>
    <x v="0"/>
    <x v="0"/>
    <x v="89"/>
    <x v="37"/>
    <x v="78"/>
    <x v="100"/>
    <x v="143"/>
    <x v="172"/>
    <x v="174"/>
    <x v="174"/>
    <x v="174"/>
    <x v="169"/>
    <x v="102"/>
    <x v="82"/>
    <x v="167"/>
    <x v="102"/>
    <x v="0"/>
  </r>
  <r>
    <x v="3"/>
    <x v="1"/>
    <x v="9"/>
    <x v="1"/>
    <x v="1"/>
    <x v="3"/>
    <x v="70"/>
    <x v="42"/>
    <x v="39"/>
    <x v="12"/>
    <x v="144"/>
    <x v="173"/>
    <x v="175"/>
    <x v="175"/>
    <x v="175"/>
    <x v="170"/>
    <x v="108"/>
    <x v="118"/>
    <x v="168"/>
    <x v="108"/>
    <x v="0"/>
  </r>
  <r>
    <x v="49"/>
    <x v="1"/>
    <x v="5"/>
    <x v="4"/>
    <x v="1"/>
    <x v="0"/>
    <x v="90"/>
    <x v="4"/>
    <x v="56"/>
    <x v="104"/>
    <x v="145"/>
    <x v="174"/>
    <x v="176"/>
    <x v="176"/>
    <x v="176"/>
    <x v="171"/>
    <x v="100"/>
    <x v="77"/>
    <x v="169"/>
    <x v="100"/>
    <x v="1"/>
  </r>
  <r>
    <x v="37"/>
    <x v="1"/>
    <x v="2"/>
    <x v="1"/>
    <x v="6"/>
    <x v="1"/>
    <x v="16"/>
    <x v="17"/>
    <x v="39"/>
    <x v="82"/>
    <x v="51"/>
    <x v="175"/>
    <x v="177"/>
    <x v="177"/>
    <x v="177"/>
    <x v="172"/>
    <x v="108"/>
    <x v="57"/>
    <x v="168"/>
    <x v="108"/>
    <x v="2"/>
  </r>
  <r>
    <x v="56"/>
    <x v="0"/>
    <x v="0"/>
    <x v="2"/>
    <x v="1"/>
    <x v="2"/>
    <x v="32"/>
    <x v="56"/>
    <x v="61"/>
    <x v="35"/>
    <x v="146"/>
    <x v="176"/>
    <x v="178"/>
    <x v="178"/>
    <x v="178"/>
    <x v="173"/>
    <x v="33"/>
    <x v="68"/>
    <x v="170"/>
    <x v="33"/>
    <x v="2"/>
  </r>
  <r>
    <x v="8"/>
    <x v="0"/>
    <x v="8"/>
    <x v="1"/>
    <x v="1"/>
    <x v="2"/>
    <x v="57"/>
    <x v="10"/>
    <x v="20"/>
    <x v="51"/>
    <x v="147"/>
    <x v="177"/>
    <x v="179"/>
    <x v="179"/>
    <x v="179"/>
    <x v="174"/>
    <x v="109"/>
    <x v="119"/>
    <x v="171"/>
    <x v="109"/>
    <x v="2"/>
  </r>
  <r>
    <x v="3"/>
    <x v="0"/>
    <x v="4"/>
    <x v="2"/>
    <x v="1"/>
    <x v="0"/>
    <x v="1"/>
    <x v="45"/>
    <x v="36"/>
    <x v="105"/>
    <x v="148"/>
    <x v="178"/>
    <x v="180"/>
    <x v="180"/>
    <x v="180"/>
    <x v="175"/>
    <x v="93"/>
    <x v="120"/>
    <x v="172"/>
    <x v="93"/>
    <x v="0"/>
  </r>
  <r>
    <x v="0"/>
    <x v="0"/>
    <x v="1"/>
    <x v="1"/>
    <x v="5"/>
    <x v="2"/>
    <x v="70"/>
    <x v="69"/>
    <x v="50"/>
    <x v="103"/>
    <x v="149"/>
    <x v="179"/>
    <x v="181"/>
    <x v="181"/>
    <x v="181"/>
    <x v="176"/>
    <x v="110"/>
    <x v="53"/>
    <x v="173"/>
    <x v="110"/>
    <x v="0"/>
  </r>
  <r>
    <x v="44"/>
    <x v="0"/>
    <x v="1"/>
    <x v="0"/>
    <x v="4"/>
    <x v="1"/>
    <x v="25"/>
    <x v="70"/>
    <x v="66"/>
    <x v="106"/>
    <x v="150"/>
    <x v="180"/>
    <x v="182"/>
    <x v="182"/>
    <x v="182"/>
    <x v="177"/>
    <x v="18"/>
    <x v="1"/>
    <x v="174"/>
    <x v="18"/>
    <x v="2"/>
  </r>
  <r>
    <x v="30"/>
    <x v="0"/>
    <x v="5"/>
    <x v="2"/>
    <x v="1"/>
    <x v="3"/>
    <x v="42"/>
    <x v="54"/>
    <x v="6"/>
    <x v="26"/>
    <x v="151"/>
    <x v="181"/>
    <x v="183"/>
    <x v="183"/>
    <x v="183"/>
    <x v="178"/>
    <x v="91"/>
    <x v="119"/>
    <x v="175"/>
    <x v="91"/>
    <x v="1"/>
  </r>
  <r>
    <x v="6"/>
    <x v="0"/>
    <x v="0"/>
    <x v="1"/>
    <x v="1"/>
    <x v="2"/>
    <x v="39"/>
    <x v="60"/>
    <x v="61"/>
    <x v="107"/>
    <x v="152"/>
    <x v="182"/>
    <x v="184"/>
    <x v="184"/>
    <x v="184"/>
    <x v="179"/>
    <x v="2"/>
    <x v="121"/>
    <x v="176"/>
    <x v="2"/>
    <x v="2"/>
  </r>
  <r>
    <x v="39"/>
    <x v="0"/>
    <x v="7"/>
    <x v="2"/>
    <x v="5"/>
    <x v="3"/>
    <x v="0"/>
    <x v="7"/>
    <x v="45"/>
    <x v="30"/>
    <x v="46"/>
    <x v="183"/>
    <x v="185"/>
    <x v="140"/>
    <x v="185"/>
    <x v="180"/>
    <x v="40"/>
    <x v="69"/>
    <x v="177"/>
    <x v="40"/>
    <x v="2"/>
  </r>
  <r>
    <x v="1"/>
    <x v="0"/>
    <x v="4"/>
    <x v="0"/>
    <x v="3"/>
    <x v="2"/>
    <x v="66"/>
    <x v="71"/>
    <x v="25"/>
    <x v="58"/>
    <x v="153"/>
    <x v="184"/>
    <x v="186"/>
    <x v="185"/>
    <x v="186"/>
    <x v="181"/>
    <x v="74"/>
    <x v="122"/>
    <x v="178"/>
    <x v="74"/>
    <x v="1"/>
  </r>
  <r>
    <x v="42"/>
    <x v="1"/>
    <x v="1"/>
    <x v="0"/>
    <x v="2"/>
    <x v="0"/>
    <x v="87"/>
    <x v="57"/>
    <x v="30"/>
    <x v="108"/>
    <x v="83"/>
    <x v="185"/>
    <x v="187"/>
    <x v="111"/>
    <x v="187"/>
    <x v="182"/>
    <x v="85"/>
    <x v="123"/>
    <x v="179"/>
    <x v="85"/>
    <x v="2"/>
  </r>
  <r>
    <x v="49"/>
    <x v="0"/>
    <x v="0"/>
    <x v="0"/>
    <x v="1"/>
    <x v="3"/>
    <x v="60"/>
    <x v="72"/>
    <x v="5"/>
    <x v="99"/>
    <x v="154"/>
    <x v="186"/>
    <x v="188"/>
    <x v="186"/>
    <x v="188"/>
    <x v="129"/>
    <x v="111"/>
    <x v="72"/>
    <x v="180"/>
    <x v="111"/>
    <x v="1"/>
  </r>
  <r>
    <x v="37"/>
    <x v="0"/>
    <x v="9"/>
    <x v="2"/>
    <x v="1"/>
    <x v="1"/>
    <x v="78"/>
    <x v="35"/>
    <x v="79"/>
    <x v="46"/>
    <x v="155"/>
    <x v="187"/>
    <x v="189"/>
    <x v="187"/>
    <x v="189"/>
    <x v="183"/>
    <x v="112"/>
    <x v="65"/>
    <x v="181"/>
    <x v="112"/>
    <x v="2"/>
  </r>
  <r>
    <x v="20"/>
    <x v="0"/>
    <x v="0"/>
    <x v="4"/>
    <x v="2"/>
    <x v="2"/>
    <x v="45"/>
    <x v="12"/>
    <x v="76"/>
    <x v="64"/>
    <x v="156"/>
    <x v="188"/>
    <x v="190"/>
    <x v="188"/>
    <x v="190"/>
    <x v="184"/>
    <x v="45"/>
    <x v="8"/>
    <x v="48"/>
    <x v="45"/>
    <x v="1"/>
  </r>
  <r>
    <x v="23"/>
    <x v="1"/>
    <x v="2"/>
    <x v="3"/>
    <x v="2"/>
    <x v="0"/>
    <x v="50"/>
    <x v="52"/>
    <x v="49"/>
    <x v="109"/>
    <x v="157"/>
    <x v="189"/>
    <x v="191"/>
    <x v="189"/>
    <x v="191"/>
    <x v="185"/>
    <x v="113"/>
    <x v="124"/>
    <x v="182"/>
    <x v="113"/>
    <x v="1"/>
  </r>
  <r>
    <x v="25"/>
    <x v="1"/>
    <x v="5"/>
    <x v="2"/>
    <x v="0"/>
    <x v="2"/>
    <x v="42"/>
    <x v="73"/>
    <x v="69"/>
    <x v="110"/>
    <x v="63"/>
    <x v="190"/>
    <x v="192"/>
    <x v="190"/>
    <x v="192"/>
    <x v="186"/>
    <x v="114"/>
    <x v="125"/>
    <x v="183"/>
    <x v="114"/>
    <x v="0"/>
  </r>
  <r>
    <x v="41"/>
    <x v="1"/>
    <x v="5"/>
    <x v="1"/>
    <x v="0"/>
    <x v="1"/>
    <x v="7"/>
    <x v="74"/>
    <x v="80"/>
    <x v="35"/>
    <x v="158"/>
    <x v="191"/>
    <x v="193"/>
    <x v="191"/>
    <x v="193"/>
    <x v="177"/>
    <x v="115"/>
    <x v="126"/>
    <x v="184"/>
    <x v="115"/>
    <x v="2"/>
  </r>
  <r>
    <x v="39"/>
    <x v="0"/>
    <x v="8"/>
    <x v="0"/>
    <x v="6"/>
    <x v="1"/>
    <x v="89"/>
    <x v="75"/>
    <x v="60"/>
    <x v="37"/>
    <x v="144"/>
    <x v="192"/>
    <x v="194"/>
    <x v="192"/>
    <x v="194"/>
    <x v="187"/>
    <x v="37"/>
    <x v="83"/>
    <x v="185"/>
    <x v="37"/>
    <x v="2"/>
  </r>
  <r>
    <x v="39"/>
    <x v="0"/>
    <x v="9"/>
    <x v="0"/>
    <x v="2"/>
    <x v="3"/>
    <x v="55"/>
    <x v="31"/>
    <x v="36"/>
    <x v="56"/>
    <x v="159"/>
    <x v="193"/>
    <x v="195"/>
    <x v="193"/>
    <x v="195"/>
    <x v="188"/>
    <x v="116"/>
    <x v="33"/>
    <x v="186"/>
    <x v="116"/>
    <x v="2"/>
  </r>
  <r>
    <x v="43"/>
    <x v="0"/>
    <x v="1"/>
    <x v="2"/>
    <x v="0"/>
    <x v="1"/>
    <x v="27"/>
    <x v="27"/>
    <x v="9"/>
    <x v="111"/>
    <x v="123"/>
    <x v="194"/>
    <x v="196"/>
    <x v="194"/>
    <x v="196"/>
    <x v="189"/>
    <x v="64"/>
    <x v="127"/>
    <x v="187"/>
    <x v="64"/>
    <x v="2"/>
  </r>
  <r>
    <x v="50"/>
    <x v="0"/>
    <x v="3"/>
    <x v="2"/>
    <x v="1"/>
    <x v="3"/>
    <x v="91"/>
    <x v="58"/>
    <x v="69"/>
    <x v="112"/>
    <x v="160"/>
    <x v="195"/>
    <x v="197"/>
    <x v="195"/>
    <x v="197"/>
    <x v="190"/>
    <x v="117"/>
    <x v="36"/>
    <x v="188"/>
    <x v="117"/>
    <x v="2"/>
  </r>
  <r>
    <x v="8"/>
    <x v="1"/>
    <x v="3"/>
    <x v="0"/>
    <x v="1"/>
    <x v="3"/>
    <x v="55"/>
    <x v="39"/>
    <x v="70"/>
    <x v="78"/>
    <x v="161"/>
    <x v="54"/>
    <x v="198"/>
    <x v="196"/>
    <x v="198"/>
    <x v="191"/>
    <x v="115"/>
    <x v="30"/>
    <x v="85"/>
    <x v="115"/>
    <x v="2"/>
  </r>
  <r>
    <x v="25"/>
    <x v="1"/>
    <x v="7"/>
    <x v="0"/>
    <x v="2"/>
    <x v="0"/>
    <x v="92"/>
    <x v="29"/>
    <x v="45"/>
    <x v="55"/>
    <x v="162"/>
    <x v="196"/>
    <x v="199"/>
    <x v="197"/>
    <x v="199"/>
    <x v="192"/>
    <x v="98"/>
    <x v="79"/>
    <x v="189"/>
    <x v="98"/>
    <x v="0"/>
  </r>
  <r>
    <x v="58"/>
    <x v="1"/>
    <x v="4"/>
    <x v="4"/>
    <x v="0"/>
    <x v="1"/>
    <x v="16"/>
    <x v="5"/>
    <x v="67"/>
    <x v="113"/>
    <x v="163"/>
    <x v="197"/>
    <x v="200"/>
    <x v="198"/>
    <x v="200"/>
    <x v="193"/>
    <x v="118"/>
    <x v="36"/>
    <x v="190"/>
    <x v="118"/>
    <x v="0"/>
  </r>
  <r>
    <x v="21"/>
    <x v="1"/>
    <x v="1"/>
    <x v="4"/>
    <x v="4"/>
    <x v="1"/>
    <x v="54"/>
    <x v="42"/>
    <x v="45"/>
    <x v="69"/>
    <x v="164"/>
    <x v="198"/>
    <x v="201"/>
    <x v="199"/>
    <x v="201"/>
    <x v="127"/>
    <x v="119"/>
    <x v="67"/>
    <x v="191"/>
    <x v="119"/>
    <x v="0"/>
  </r>
  <r>
    <x v="21"/>
    <x v="1"/>
    <x v="8"/>
    <x v="4"/>
    <x v="0"/>
    <x v="3"/>
    <x v="93"/>
    <x v="53"/>
    <x v="81"/>
    <x v="6"/>
    <x v="165"/>
    <x v="199"/>
    <x v="202"/>
    <x v="200"/>
    <x v="202"/>
    <x v="194"/>
    <x v="106"/>
    <x v="39"/>
    <x v="192"/>
    <x v="106"/>
    <x v="0"/>
  </r>
  <r>
    <x v="9"/>
    <x v="0"/>
    <x v="4"/>
    <x v="3"/>
    <x v="5"/>
    <x v="1"/>
    <x v="94"/>
    <x v="57"/>
    <x v="82"/>
    <x v="82"/>
    <x v="78"/>
    <x v="200"/>
    <x v="203"/>
    <x v="201"/>
    <x v="203"/>
    <x v="195"/>
    <x v="120"/>
    <x v="111"/>
    <x v="193"/>
    <x v="120"/>
    <x v="0"/>
  </r>
  <r>
    <x v="49"/>
    <x v="1"/>
    <x v="3"/>
    <x v="1"/>
    <x v="5"/>
    <x v="0"/>
    <x v="46"/>
    <x v="48"/>
    <x v="9"/>
    <x v="114"/>
    <x v="143"/>
    <x v="201"/>
    <x v="204"/>
    <x v="202"/>
    <x v="204"/>
    <x v="196"/>
    <x v="53"/>
    <x v="128"/>
    <x v="194"/>
    <x v="53"/>
    <x v="1"/>
  </r>
  <r>
    <x v="49"/>
    <x v="1"/>
    <x v="9"/>
    <x v="2"/>
    <x v="3"/>
    <x v="2"/>
    <x v="66"/>
    <x v="12"/>
    <x v="6"/>
    <x v="115"/>
    <x v="147"/>
    <x v="202"/>
    <x v="205"/>
    <x v="203"/>
    <x v="205"/>
    <x v="22"/>
    <x v="120"/>
    <x v="129"/>
    <x v="195"/>
    <x v="120"/>
    <x v="1"/>
  </r>
  <r>
    <x v="59"/>
    <x v="0"/>
    <x v="4"/>
    <x v="2"/>
    <x v="6"/>
    <x v="3"/>
    <x v="21"/>
    <x v="13"/>
    <x v="53"/>
    <x v="77"/>
    <x v="1"/>
    <x v="203"/>
    <x v="206"/>
    <x v="204"/>
    <x v="206"/>
    <x v="197"/>
    <x v="121"/>
    <x v="130"/>
    <x v="196"/>
    <x v="121"/>
    <x v="0"/>
  </r>
  <r>
    <x v="40"/>
    <x v="1"/>
    <x v="9"/>
    <x v="0"/>
    <x v="4"/>
    <x v="1"/>
    <x v="37"/>
    <x v="28"/>
    <x v="30"/>
    <x v="82"/>
    <x v="150"/>
    <x v="204"/>
    <x v="207"/>
    <x v="205"/>
    <x v="207"/>
    <x v="198"/>
    <x v="74"/>
    <x v="131"/>
    <x v="197"/>
    <x v="74"/>
    <x v="2"/>
  </r>
  <r>
    <x v="17"/>
    <x v="1"/>
    <x v="6"/>
    <x v="1"/>
    <x v="6"/>
    <x v="3"/>
    <x v="94"/>
    <x v="55"/>
    <x v="72"/>
    <x v="114"/>
    <x v="93"/>
    <x v="205"/>
    <x v="208"/>
    <x v="206"/>
    <x v="208"/>
    <x v="199"/>
    <x v="98"/>
    <x v="132"/>
    <x v="198"/>
    <x v="98"/>
    <x v="1"/>
  </r>
  <r>
    <x v="39"/>
    <x v="1"/>
    <x v="8"/>
    <x v="0"/>
    <x v="6"/>
    <x v="1"/>
    <x v="90"/>
    <x v="40"/>
    <x v="48"/>
    <x v="116"/>
    <x v="35"/>
    <x v="206"/>
    <x v="209"/>
    <x v="207"/>
    <x v="209"/>
    <x v="200"/>
    <x v="88"/>
    <x v="32"/>
    <x v="199"/>
    <x v="88"/>
    <x v="2"/>
  </r>
  <r>
    <x v="22"/>
    <x v="0"/>
    <x v="3"/>
    <x v="0"/>
    <x v="4"/>
    <x v="1"/>
    <x v="13"/>
    <x v="73"/>
    <x v="1"/>
    <x v="89"/>
    <x v="166"/>
    <x v="207"/>
    <x v="210"/>
    <x v="208"/>
    <x v="210"/>
    <x v="201"/>
    <x v="122"/>
    <x v="109"/>
    <x v="200"/>
    <x v="122"/>
    <x v="0"/>
  </r>
  <r>
    <x v="37"/>
    <x v="0"/>
    <x v="0"/>
    <x v="1"/>
    <x v="1"/>
    <x v="1"/>
    <x v="85"/>
    <x v="52"/>
    <x v="73"/>
    <x v="102"/>
    <x v="159"/>
    <x v="208"/>
    <x v="211"/>
    <x v="209"/>
    <x v="211"/>
    <x v="202"/>
    <x v="123"/>
    <x v="88"/>
    <x v="201"/>
    <x v="123"/>
    <x v="2"/>
  </r>
  <r>
    <x v="15"/>
    <x v="0"/>
    <x v="6"/>
    <x v="3"/>
    <x v="1"/>
    <x v="0"/>
    <x v="78"/>
    <x v="12"/>
    <x v="16"/>
    <x v="117"/>
    <x v="162"/>
    <x v="209"/>
    <x v="212"/>
    <x v="210"/>
    <x v="212"/>
    <x v="203"/>
    <x v="124"/>
    <x v="57"/>
    <x v="202"/>
    <x v="124"/>
    <x v="2"/>
  </r>
  <r>
    <x v="52"/>
    <x v="0"/>
    <x v="9"/>
    <x v="1"/>
    <x v="6"/>
    <x v="0"/>
    <x v="46"/>
    <x v="23"/>
    <x v="72"/>
    <x v="118"/>
    <x v="12"/>
    <x v="210"/>
    <x v="213"/>
    <x v="211"/>
    <x v="213"/>
    <x v="204"/>
    <x v="29"/>
    <x v="65"/>
    <x v="203"/>
    <x v="29"/>
    <x v="2"/>
  </r>
  <r>
    <x v="50"/>
    <x v="0"/>
    <x v="3"/>
    <x v="2"/>
    <x v="0"/>
    <x v="2"/>
    <x v="42"/>
    <x v="50"/>
    <x v="54"/>
    <x v="55"/>
    <x v="9"/>
    <x v="211"/>
    <x v="214"/>
    <x v="212"/>
    <x v="214"/>
    <x v="126"/>
    <x v="125"/>
    <x v="93"/>
    <x v="204"/>
    <x v="125"/>
    <x v="2"/>
  </r>
  <r>
    <x v="28"/>
    <x v="0"/>
    <x v="5"/>
    <x v="1"/>
    <x v="4"/>
    <x v="2"/>
    <x v="59"/>
    <x v="76"/>
    <x v="15"/>
    <x v="14"/>
    <x v="167"/>
    <x v="212"/>
    <x v="215"/>
    <x v="213"/>
    <x v="215"/>
    <x v="205"/>
    <x v="108"/>
    <x v="133"/>
    <x v="205"/>
    <x v="108"/>
    <x v="0"/>
  </r>
  <r>
    <x v="48"/>
    <x v="0"/>
    <x v="1"/>
    <x v="4"/>
    <x v="0"/>
    <x v="3"/>
    <x v="94"/>
    <x v="60"/>
    <x v="5"/>
    <x v="109"/>
    <x v="40"/>
    <x v="213"/>
    <x v="216"/>
    <x v="214"/>
    <x v="216"/>
    <x v="206"/>
    <x v="126"/>
    <x v="131"/>
    <x v="206"/>
    <x v="126"/>
    <x v="2"/>
  </r>
  <r>
    <x v="8"/>
    <x v="1"/>
    <x v="7"/>
    <x v="1"/>
    <x v="5"/>
    <x v="1"/>
    <x v="39"/>
    <x v="42"/>
    <x v="46"/>
    <x v="119"/>
    <x v="72"/>
    <x v="214"/>
    <x v="217"/>
    <x v="215"/>
    <x v="217"/>
    <x v="207"/>
    <x v="78"/>
    <x v="134"/>
    <x v="207"/>
    <x v="78"/>
    <x v="2"/>
  </r>
  <r>
    <x v="33"/>
    <x v="0"/>
    <x v="2"/>
    <x v="4"/>
    <x v="0"/>
    <x v="3"/>
    <x v="23"/>
    <x v="69"/>
    <x v="50"/>
    <x v="1"/>
    <x v="168"/>
    <x v="215"/>
    <x v="218"/>
    <x v="216"/>
    <x v="218"/>
    <x v="208"/>
    <x v="120"/>
    <x v="42"/>
    <x v="208"/>
    <x v="120"/>
    <x v="2"/>
  </r>
  <r>
    <x v="24"/>
    <x v="0"/>
    <x v="5"/>
    <x v="4"/>
    <x v="5"/>
    <x v="1"/>
    <x v="87"/>
    <x v="27"/>
    <x v="57"/>
    <x v="120"/>
    <x v="169"/>
    <x v="216"/>
    <x v="219"/>
    <x v="217"/>
    <x v="219"/>
    <x v="209"/>
    <x v="53"/>
    <x v="24"/>
    <x v="209"/>
    <x v="53"/>
    <x v="1"/>
  </r>
  <r>
    <x v="31"/>
    <x v="0"/>
    <x v="3"/>
    <x v="2"/>
    <x v="6"/>
    <x v="0"/>
    <x v="79"/>
    <x v="1"/>
    <x v="11"/>
    <x v="121"/>
    <x v="89"/>
    <x v="217"/>
    <x v="220"/>
    <x v="218"/>
    <x v="220"/>
    <x v="210"/>
    <x v="31"/>
    <x v="135"/>
    <x v="210"/>
    <x v="31"/>
    <x v="2"/>
  </r>
  <r>
    <x v="53"/>
    <x v="0"/>
    <x v="7"/>
    <x v="4"/>
    <x v="6"/>
    <x v="1"/>
    <x v="0"/>
    <x v="46"/>
    <x v="41"/>
    <x v="59"/>
    <x v="167"/>
    <x v="218"/>
    <x v="221"/>
    <x v="219"/>
    <x v="221"/>
    <x v="211"/>
    <x v="63"/>
    <x v="136"/>
    <x v="211"/>
    <x v="63"/>
    <x v="1"/>
  </r>
  <r>
    <x v="38"/>
    <x v="1"/>
    <x v="7"/>
    <x v="2"/>
    <x v="0"/>
    <x v="2"/>
    <x v="37"/>
    <x v="68"/>
    <x v="34"/>
    <x v="100"/>
    <x v="170"/>
    <x v="219"/>
    <x v="222"/>
    <x v="220"/>
    <x v="222"/>
    <x v="212"/>
    <x v="127"/>
    <x v="137"/>
    <x v="212"/>
    <x v="127"/>
    <x v="2"/>
  </r>
  <r>
    <x v="27"/>
    <x v="0"/>
    <x v="5"/>
    <x v="3"/>
    <x v="5"/>
    <x v="3"/>
    <x v="10"/>
    <x v="77"/>
    <x v="28"/>
    <x v="47"/>
    <x v="171"/>
    <x v="220"/>
    <x v="223"/>
    <x v="221"/>
    <x v="223"/>
    <x v="213"/>
    <x v="104"/>
    <x v="138"/>
    <x v="213"/>
    <x v="104"/>
    <x v="0"/>
  </r>
  <r>
    <x v="6"/>
    <x v="1"/>
    <x v="2"/>
    <x v="2"/>
    <x v="4"/>
    <x v="2"/>
    <x v="0"/>
    <x v="35"/>
    <x v="83"/>
    <x v="112"/>
    <x v="172"/>
    <x v="221"/>
    <x v="224"/>
    <x v="222"/>
    <x v="224"/>
    <x v="214"/>
    <x v="123"/>
    <x v="139"/>
    <x v="214"/>
    <x v="123"/>
    <x v="2"/>
  </r>
  <r>
    <x v="34"/>
    <x v="0"/>
    <x v="4"/>
    <x v="3"/>
    <x v="6"/>
    <x v="2"/>
    <x v="53"/>
    <x v="30"/>
    <x v="52"/>
    <x v="51"/>
    <x v="154"/>
    <x v="222"/>
    <x v="225"/>
    <x v="223"/>
    <x v="225"/>
    <x v="215"/>
    <x v="62"/>
    <x v="140"/>
    <x v="215"/>
    <x v="62"/>
    <x v="2"/>
  </r>
  <r>
    <x v="41"/>
    <x v="0"/>
    <x v="1"/>
    <x v="3"/>
    <x v="6"/>
    <x v="3"/>
    <x v="95"/>
    <x v="4"/>
    <x v="46"/>
    <x v="26"/>
    <x v="173"/>
    <x v="223"/>
    <x v="226"/>
    <x v="224"/>
    <x v="226"/>
    <x v="216"/>
    <x v="128"/>
    <x v="111"/>
    <x v="216"/>
    <x v="128"/>
    <x v="2"/>
  </r>
  <r>
    <x v="59"/>
    <x v="1"/>
    <x v="9"/>
    <x v="4"/>
    <x v="3"/>
    <x v="2"/>
    <x v="2"/>
    <x v="31"/>
    <x v="23"/>
    <x v="89"/>
    <x v="174"/>
    <x v="224"/>
    <x v="227"/>
    <x v="225"/>
    <x v="227"/>
    <x v="109"/>
    <x v="29"/>
    <x v="141"/>
    <x v="217"/>
    <x v="29"/>
    <x v="0"/>
  </r>
  <r>
    <x v="56"/>
    <x v="1"/>
    <x v="0"/>
    <x v="2"/>
    <x v="0"/>
    <x v="2"/>
    <x v="4"/>
    <x v="60"/>
    <x v="51"/>
    <x v="52"/>
    <x v="175"/>
    <x v="225"/>
    <x v="228"/>
    <x v="226"/>
    <x v="228"/>
    <x v="217"/>
    <x v="45"/>
    <x v="95"/>
    <x v="218"/>
    <x v="45"/>
    <x v="2"/>
  </r>
  <r>
    <x v="54"/>
    <x v="0"/>
    <x v="3"/>
    <x v="2"/>
    <x v="2"/>
    <x v="2"/>
    <x v="87"/>
    <x v="44"/>
    <x v="65"/>
    <x v="26"/>
    <x v="176"/>
    <x v="41"/>
    <x v="229"/>
    <x v="227"/>
    <x v="229"/>
    <x v="218"/>
    <x v="68"/>
    <x v="21"/>
    <x v="219"/>
    <x v="68"/>
    <x v="0"/>
  </r>
  <r>
    <x v="42"/>
    <x v="1"/>
    <x v="6"/>
    <x v="3"/>
    <x v="4"/>
    <x v="3"/>
    <x v="96"/>
    <x v="28"/>
    <x v="75"/>
    <x v="65"/>
    <x v="177"/>
    <x v="226"/>
    <x v="230"/>
    <x v="228"/>
    <x v="230"/>
    <x v="219"/>
    <x v="129"/>
    <x v="123"/>
    <x v="220"/>
    <x v="129"/>
    <x v="2"/>
  </r>
  <r>
    <x v="10"/>
    <x v="1"/>
    <x v="8"/>
    <x v="1"/>
    <x v="5"/>
    <x v="2"/>
    <x v="44"/>
    <x v="53"/>
    <x v="21"/>
    <x v="19"/>
    <x v="17"/>
    <x v="227"/>
    <x v="231"/>
    <x v="229"/>
    <x v="231"/>
    <x v="220"/>
    <x v="8"/>
    <x v="142"/>
    <x v="221"/>
    <x v="8"/>
    <x v="2"/>
  </r>
  <r>
    <x v="59"/>
    <x v="1"/>
    <x v="0"/>
    <x v="1"/>
    <x v="5"/>
    <x v="3"/>
    <x v="89"/>
    <x v="15"/>
    <x v="56"/>
    <x v="90"/>
    <x v="178"/>
    <x v="228"/>
    <x v="232"/>
    <x v="230"/>
    <x v="232"/>
    <x v="194"/>
    <x v="130"/>
    <x v="2"/>
    <x v="222"/>
    <x v="130"/>
    <x v="0"/>
  </r>
  <r>
    <x v="37"/>
    <x v="1"/>
    <x v="9"/>
    <x v="0"/>
    <x v="2"/>
    <x v="0"/>
    <x v="58"/>
    <x v="51"/>
    <x v="45"/>
    <x v="100"/>
    <x v="179"/>
    <x v="229"/>
    <x v="233"/>
    <x v="231"/>
    <x v="233"/>
    <x v="221"/>
    <x v="86"/>
    <x v="112"/>
    <x v="223"/>
    <x v="86"/>
    <x v="2"/>
  </r>
  <r>
    <x v="13"/>
    <x v="0"/>
    <x v="3"/>
    <x v="4"/>
    <x v="5"/>
    <x v="3"/>
    <x v="30"/>
    <x v="49"/>
    <x v="73"/>
    <x v="88"/>
    <x v="180"/>
    <x v="230"/>
    <x v="234"/>
    <x v="232"/>
    <x v="234"/>
    <x v="222"/>
    <x v="131"/>
    <x v="143"/>
    <x v="224"/>
    <x v="131"/>
    <x v="2"/>
  </r>
  <r>
    <x v="38"/>
    <x v="0"/>
    <x v="6"/>
    <x v="2"/>
    <x v="5"/>
    <x v="2"/>
    <x v="20"/>
    <x v="18"/>
    <x v="22"/>
    <x v="99"/>
    <x v="162"/>
    <x v="231"/>
    <x v="235"/>
    <x v="233"/>
    <x v="235"/>
    <x v="223"/>
    <x v="8"/>
    <x v="108"/>
    <x v="225"/>
    <x v="8"/>
    <x v="2"/>
  </r>
  <r>
    <x v="29"/>
    <x v="0"/>
    <x v="4"/>
    <x v="3"/>
    <x v="4"/>
    <x v="3"/>
    <x v="93"/>
    <x v="78"/>
    <x v="39"/>
    <x v="18"/>
    <x v="82"/>
    <x v="232"/>
    <x v="236"/>
    <x v="234"/>
    <x v="236"/>
    <x v="224"/>
    <x v="6"/>
    <x v="66"/>
    <x v="226"/>
    <x v="6"/>
    <x v="2"/>
  </r>
  <r>
    <x v="34"/>
    <x v="0"/>
    <x v="2"/>
    <x v="2"/>
    <x v="2"/>
    <x v="0"/>
    <x v="36"/>
    <x v="71"/>
    <x v="62"/>
    <x v="111"/>
    <x v="181"/>
    <x v="233"/>
    <x v="237"/>
    <x v="235"/>
    <x v="237"/>
    <x v="225"/>
    <x v="132"/>
    <x v="43"/>
    <x v="227"/>
    <x v="132"/>
    <x v="2"/>
  </r>
  <r>
    <x v="16"/>
    <x v="1"/>
    <x v="0"/>
    <x v="3"/>
    <x v="6"/>
    <x v="1"/>
    <x v="84"/>
    <x v="47"/>
    <x v="36"/>
    <x v="68"/>
    <x v="113"/>
    <x v="234"/>
    <x v="238"/>
    <x v="236"/>
    <x v="238"/>
    <x v="226"/>
    <x v="32"/>
    <x v="144"/>
    <x v="228"/>
    <x v="32"/>
    <x v="0"/>
  </r>
  <r>
    <x v="21"/>
    <x v="1"/>
    <x v="4"/>
    <x v="1"/>
    <x v="0"/>
    <x v="3"/>
    <x v="45"/>
    <x v="52"/>
    <x v="24"/>
    <x v="122"/>
    <x v="182"/>
    <x v="235"/>
    <x v="239"/>
    <x v="237"/>
    <x v="239"/>
    <x v="227"/>
    <x v="104"/>
    <x v="145"/>
    <x v="229"/>
    <x v="104"/>
    <x v="0"/>
  </r>
  <r>
    <x v="15"/>
    <x v="1"/>
    <x v="4"/>
    <x v="4"/>
    <x v="2"/>
    <x v="0"/>
    <x v="23"/>
    <x v="46"/>
    <x v="15"/>
    <x v="123"/>
    <x v="170"/>
    <x v="236"/>
    <x v="240"/>
    <x v="238"/>
    <x v="240"/>
    <x v="228"/>
    <x v="133"/>
    <x v="146"/>
    <x v="105"/>
    <x v="133"/>
    <x v="2"/>
  </r>
  <r>
    <x v="48"/>
    <x v="0"/>
    <x v="9"/>
    <x v="2"/>
    <x v="0"/>
    <x v="1"/>
    <x v="97"/>
    <x v="7"/>
    <x v="53"/>
    <x v="37"/>
    <x v="183"/>
    <x v="237"/>
    <x v="241"/>
    <x v="239"/>
    <x v="241"/>
    <x v="229"/>
    <x v="133"/>
    <x v="52"/>
    <x v="230"/>
    <x v="133"/>
    <x v="2"/>
  </r>
  <r>
    <x v="30"/>
    <x v="1"/>
    <x v="5"/>
    <x v="4"/>
    <x v="1"/>
    <x v="3"/>
    <x v="72"/>
    <x v="46"/>
    <x v="69"/>
    <x v="63"/>
    <x v="126"/>
    <x v="238"/>
    <x v="242"/>
    <x v="240"/>
    <x v="242"/>
    <x v="230"/>
    <x v="86"/>
    <x v="85"/>
    <x v="231"/>
    <x v="86"/>
    <x v="1"/>
  </r>
  <r>
    <x v="30"/>
    <x v="1"/>
    <x v="6"/>
    <x v="4"/>
    <x v="2"/>
    <x v="0"/>
    <x v="74"/>
    <x v="12"/>
    <x v="39"/>
    <x v="49"/>
    <x v="179"/>
    <x v="239"/>
    <x v="243"/>
    <x v="241"/>
    <x v="243"/>
    <x v="93"/>
    <x v="134"/>
    <x v="147"/>
    <x v="232"/>
    <x v="134"/>
    <x v="1"/>
  </r>
  <r>
    <x v="53"/>
    <x v="1"/>
    <x v="3"/>
    <x v="3"/>
    <x v="5"/>
    <x v="1"/>
    <x v="12"/>
    <x v="20"/>
    <x v="66"/>
    <x v="117"/>
    <x v="18"/>
    <x v="240"/>
    <x v="244"/>
    <x v="242"/>
    <x v="244"/>
    <x v="231"/>
    <x v="45"/>
    <x v="112"/>
    <x v="233"/>
    <x v="45"/>
    <x v="1"/>
  </r>
  <r>
    <x v="39"/>
    <x v="1"/>
    <x v="4"/>
    <x v="4"/>
    <x v="1"/>
    <x v="1"/>
    <x v="59"/>
    <x v="31"/>
    <x v="73"/>
    <x v="83"/>
    <x v="184"/>
    <x v="241"/>
    <x v="245"/>
    <x v="243"/>
    <x v="245"/>
    <x v="232"/>
    <x v="94"/>
    <x v="148"/>
    <x v="234"/>
    <x v="94"/>
    <x v="2"/>
  </r>
  <r>
    <x v="50"/>
    <x v="1"/>
    <x v="9"/>
    <x v="3"/>
    <x v="2"/>
    <x v="1"/>
    <x v="36"/>
    <x v="56"/>
    <x v="32"/>
    <x v="14"/>
    <x v="185"/>
    <x v="242"/>
    <x v="246"/>
    <x v="244"/>
    <x v="246"/>
    <x v="233"/>
    <x v="106"/>
    <x v="13"/>
    <x v="235"/>
    <x v="106"/>
    <x v="2"/>
  </r>
  <r>
    <x v="32"/>
    <x v="0"/>
    <x v="5"/>
    <x v="3"/>
    <x v="2"/>
    <x v="3"/>
    <x v="51"/>
    <x v="45"/>
    <x v="54"/>
    <x v="14"/>
    <x v="186"/>
    <x v="243"/>
    <x v="247"/>
    <x v="245"/>
    <x v="247"/>
    <x v="234"/>
    <x v="118"/>
    <x v="135"/>
    <x v="236"/>
    <x v="118"/>
    <x v="1"/>
  </r>
  <r>
    <x v="34"/>
    <x v="1"/>
    <x v="9"/>
    <x v="3"/>
    <x v="1"/>
    <x v="1"/>
    <x v="47"/>
    <x v="33"/>
    <x v="82"/>
    <x v="124"/>
    <x v="122"/>
    <x v="244"/>
    <x v="248"/>
    <x v="246"/>
    <x v="248"/>
    <x v="235"/>
    <x v="135"/>
    <x v="149"/>
    <x v="237"/>
    <x v="135"/>
    <x v="2"/>
  </r>
  <r>
    <x v="10"/>
    <x v="0"/>
    <x v="9"/>
    <x v="3"/>
    <x v="5"/>
    <x v="3"/>
    <x v="11"/>
    <x v="13"/>
    <x v="2"/>
    <x v="116"/>
    <x v="180"/>
    <x v="245"/>
    <x v="249"/>
    <x v="247"/>
    <x v="249"/>
    <x v="236"/>
    <x v="117"/>
    <x v="150"/>
    <x v="238"/>
    <x v="117"/>
    <x v="2"/>
  </r>
  <r>
    <x v="33"/>
    <x v="1"/>
    <x v="2"/>
    <x v="2"/>
    <x v="2"/>
    <x v="3"/>
    <x v="59"/>
    <x v="26"/>
    <x v="19"/>
    <x v="22"/>
    <x v="85"/>
    <x v="246"/>
    <x v="250"/>
    <x v="248"/>
    <x v="250"/>
    <x v="237"/>
    <x v="58"/>
    <x v="33"/>
    <x v="239"/>
    <x v="58"/>
    <x v="2"/>
  </r>
  <r>
    <x v="16"/>
    <x v="1"/>
    <x v="3"/>
    <x v="2"/>
    <x v="3"/>
    <x v="3"/>
    <x v="31"/>
    <x v="38"/>
    <x v="18"/>
    <x v="107"/>
    <x v="41"/>
    <x v="247"/>
    <x v="251"/>
    <x v="249"/>
    <x v="251"/>
    <x v="174"/>
    <x v="136"/>
    <x v="151"/>
    <x v="240"/>
    <x v="136"/>
    <x v="0"/>
  </r>
  <r>
    <x v="2"/>
    <x v="0"/>
    <x v="4"/>
    <x v="0"/>
    <x v="1"/>
    <x v="0"/>
    <x v="5"/>
    <x v="64"/>
    <x v="30"/>
    <x v="119"/>
    <x v="187"/>
    <x v="248"/>
    <x v="252"/>
    <x v="250"/>
    <x v="252"/>
    <x v="238"/>
    <x v="137"/>
    <x v="152"/>
    <x v="241"/>
    <x v="137"/>
    <x v="2"/>
  </r>
  <r>
    <x v="57"/>
    <x v="0"/>
    <x v="4"/>
    <x v="3"/>
    <x v="3"/>
    <x v="2"/>
    <x v="15"/>
    <x v="6"/>
    <x v="63"/>
    <x v="85"/>
    <x v="122"/>
    <x v="249"/>
    <x v="253"/>
    <x v="251"/>
    <x v="253"/>
    <x v="239"/>
    <x v="138"/>
    <x v="153"/>
    <x v="242"/>
    <x v="138"/>
    <x v="0"/>
  </r>
  <r>
    <x v="12"/>
    <x v="1"/>
    <x v="5"/>
    <x v="1"/>
    <x v="6"/>
    <x v="0"/>
    <x v="59"/>
    <x v="26"/>
    <x v="28"/>
    <x v="63"/>
    <x v="82"/>
    <x v="250"/>
    <x v="254"/>
    <x v="252"/>
    <x v="254"/>
    <x v="240"/>
    <x v="58"/>
    <x v="44"/>
    <x v="243"/>
    <x v="58"/>
    <x v="0"/>
  </r>
  <r>
    <x v="41"/>
    <x v="1"/>
    <x v="4"/>
    <x v="4"/>
    <x v="0"/>
    <x v="2"/>
    <x v="88"/>
    <x v="69"/>
    <x v="52"/>
    <x v="24"/>
    <x v="188"/>
    <x v="111"/>
    <x v="255"/>
    <x v="253"/>
    <x v="255"/>
    <x v="241"/>
    <x v="36"/>
    <x v="38"/>
    <x v="244"/>
    <x v="36"/>
    <x v="2"/>
  </r>
  <r>
    <x v="39"/>
    <x v="0"/>
    <x v="1"/>
    <x v="1"/>
    <x v="5"/>
    <x v="2"/>
    <x v="91"/>
    <x v="47"/>
    <x v="19"/>
    <x v="33"/>
    <x v="45"/>
    <x v="251"/>
    <x v="256"/>
    <x v="254"/>
    <x v="256"/>
    <x v="242"/>
    <x v="108"/>
    <x v="8"/>
    <x v="245"/>
    <x v="108"/>
    <x v="2"/>
  </r>
  <r>
    <x v="5"/>
    <x v="0"/>
    <x v="0"/>
    <x v="0"/>
    <x v="3"/>
    <x v="0"/>
    <x v="88"/>
    <x v="15"/>
    <x v="9"/>
    <x v="106"/>
    <x v="189"/>
    <x v="252"/>
    <x v="257"/>
    <x v="255"/>
    <x v="257"/>
    <x v="243"/>
    <x v="35"/>
    <x v="133"/>
    <x v="246"/>
    <x v="35"/>
    <x v="2"/>
  </r>
  <r>
    <x v="48"/>
    <x v="0"/>
    <x v="3"/>
    <x v="0"/>
    <x v="6"/>
    <x v="3"/>
    <x v="9"/>
    <x v="61"/>
    <x v="35"/>
    <x v="120"/>
    <x v="190"/>
    <x v="253"/>
    <x v="258"/>
    <x v="256"/>
    <x v="258"/>
    <x v="244"/>
    <x v="139"/>
    <x v="37"/>
    <x v="247"/>
    <x v="139"/>
    <x v="2"/>
  </r>
  <r>
    <x v="19"/>
    <x v="1"/>
    <x v="2"/>
    <x v="3"/>
    <x v="0"/>
    <x v="1"/>
    <x v="27"/>
    <x v="42"/>
    <x v="60"/>
    <x v="92"/>
    <x v="13"/>
    <x v="254"/>
    <x v="259"/>
    <x v="257"/>
    <x v="259"/>
    <x v="245"/>
    <x v="74"/>
    <x v="72"/>
    <x v="248"/>
    <x v="74"/>
    <x v="1"/>
  </r>
  <r>
    <x v="53"/>
    <x v="0"/>
    <x v="5"/>
    <x v="0"/>
    <x v="4"/>
    <x v="2"/>
    <x v="33"/>
    <x v="21"/>
    <x v="56"/>
    <x v="24"/>
    <x v="191"/>
    <x v="255"/>
    <x v="260"/>
    <x v="258"/>
    <x v="260"/>
    <x v="246"/>
    <x v="62"/>
    <x v="22"/>
    <x v="249"/>
    <x v="62"/>
    <x v="1"/>
  </r>
  <r>
    <x v="22"/>
    <x v="0"/>
    <x v="8"/>
    <x v="4"/>
    <x v="3"/>
    <x v="2"/>
    <x v="98"/>
    <x v="44"/>
    <x v="24"/>
    <x v="125"/>
    <x v="188"/>
    <x v="256"/>
    <x v="261"/>
    <x v="259"/>
    <x v="261"/>
    <x v="247"/>
    <x v="60"/>
    <x v="109"/>
    <x v="250"/>
    <x v="60"/>
    <x v="0"/>
  </r>
  <r>
    <x v="36"/>
    <x v="1"/>
    <x v="7"/>
    <x v="2"/>
    <x v="5"/>
    <x v="0"/>
    <x v="75"/>
    <x v="64"/>
    <x v="38"/>
    <x v="101"/>
    <x v="192"/>
    <x v="257"/>
    <x v="262"/>
    <x v="260"/>
    <x v="262"/>
    <x v="248"/>
    <x v="59"/>
    <x v="123"/>
    <x v="251"/>
    <x v="59"/>
    <x v="1"/>
  </r>
  <r>
    <x v="54"/>
    <x v="0"/>
    <x v="0"/>
    <x v="0"/>
    <x v="0"/>
    <x v="1"/>
    <x v="66"/>
    <x v="51"/>
    <x v="74"/>
    <x v="31"/>
    <x v="95"/>
    <x v="258"/>
    <x v="263"/>
    <x v="261"/>
    <x v="263"/>
    <x v="170"/>
    <x v="15"/>
    <x v="151"/>
    <x v="252"/>
    <x v="15"/>
    <x v="0"/>
  </r>
  <r>
    <x v="22"/>
    <x v="0"/>
    <x v="0"/>
    <x v="3"/>
    <x v="3"/>
    <x v="0"/>
    <x v="74"/>
    <x v="74"/>
    <x v="75"/>
    <x v="53"/>
    <x v="193"/>
    <x v="259"/>
    <x v="264"/>
    <x v="262"/>
    <x v="264"/>
    <x v="249"/>
    <x v="80"/>
    <x v="94"/>
    <x v="253"/>
    <x v="80"/>
    <x v="0"/>
  </r>
  <r>
    <x v="42"/>
    <x v="1"/>
    <x v="3"/>
    <x v="4"/>
    <x v="5"/>
    <x v="0"/>
    <x v="64"/>
    <x v="25"/>
    <x v="58"/>
    <x v="126"/>
    <x v="194"/>
    <x v="260"/>
    <x v="265"/>
    <x v="263"/>
    <x v="265"/>
    <x v="250"/>
    <x v="52"/>
    <x v="65"/>
    <x v="91"/>
    <x v="52"/>
    <x v="2"/>
  </r>
  <r>
    <x v="8"/>
    <x v="1"/>
    <x v="2"/>
    <x v="1"/>
    <x v="0"/>
    <x v="2"/>
    <x v="20"/>
    <x v="62"/>
    <x v="82"/>
    <x v="114"/>
    <x v="195"/>
    <x v="261"/>
    <x v="266"/>
    <x v="264"/>
    <x v="266"/>
    <x v="251"/>
    <x v="66"/>
    <x v="89"/>
    <x v="254"/>
    <x v="66"/>
    <x v="2"/>
  </r>
  <r>
    <x v="11"/>
    <x v="0"/>
    <x v="1"/>
    <x v="2"/>
    <x v="1"/>
    <x v="2"/>
    <x v="26"/>
    <x v="35"/>
    <x v="66"/>
    <x v="76"/>
    <x v="126"/>
    <x v="262"/>
    <x v="267"/>
    <x v="265"/>
    <x v="267"/>
    <x v="27"/>
    <x v="139"/>
    <x v="52"/>
    <x v="255"/>
    <x v="139"/>
    <x v="1"/>
  </r>
  <r>
    <x v="21"/>
    <x v="0"/>
    <x v="6"/>
    <x v="0"/>
    <x v="2"/>
    <x v="3"/>
    <x v="99"/>
    <x v="29"/>
    <x v="74"/>
    <x v="28"/>
    <x v="196"/>
    <x v="263"/>
    <x v="268"/>
    <x v="266"/>
    <x v="268"/>
    <x v="252"/>
    <x v="86"/>
    <x v="154"/>
    <x v="256"/>
    <x v="86"/>
    <x v="0"/>
  </r>
  <r>
    <x v="41"/>
    <x v="1"/>
    <x v="2"/>
    <x v="0"/>
    <x v="5"/>
    <x v="3"/>
    <x v="99"/>
    <x v="11"/>
    <x v="72"/>
    <x v="38"/>
    <x v="185"/>
    <x v="264"/>
    <x v="269"/>
    <x v="267"/>
    <x v="269"/>
    <x v="253"/>
    <x v="1"/>
    <x v="155"/>
    <x v="257"/>
    <x v="1"/>
    <x v="2"/>
  </r>
  <r>
    <x v="40"/>
    <x v="1"/>
    <x v="1"/>
    <x v="1"/>
    <x v="0"/>
    <x v="2"/>
    <x v="89"/>
    <x v="66"/>
    <x v="31"/>
    <x v="26"/>
    <x v="197"/>
    <x v="265"/>
    <x v="270"/>
    <x v="268"/>
    <x v="270"/>
    <x v="83"/>
    <x v="95"/>
    <x v="132"/>
    <x v="156"/>
    <x v="95"/>
    <x v="2"/>
  </r>
  <r>
    <x v="2"/>
    <x v="0"/>
    <x v="9"/>
    <x v="0"/>
    <x v="0"/>
    <x v="3"/>
    <x v="100"/>
    <x v="69"/>
    <x v="61"/>
    <x v="99"/>
    <x v="198"/>
    <x v="266"/>
    <x v="271"/>
    <x v="269"/>
    <x v="271"/>
    <x v="254"/>
    <x v="117"/>
    <x v="68"/>
    <x v="258"/>
    <x v="117"/>
    <x v="2"/>
  </r>
  <r>
    <x v="18"/>
    <x v="1"/>
    <x v="8"/>
    <x v="3"/>
    <x v="6"/>
    <x v="2"/>
    <x v="45"/>
    <x v="38"/>
    <x v="82"/>
    <x v="1"/>
    <x v="199"/>
    <x v="267"/>
    <x v="272"/>
    <x v="270"/>
    <x v="272"/>
    <x v="255"/>
    <x v="140"/>
    <x v="70"/>
    <x v="259"/>
    <x v="140"/>
    <x v="2"/>
  </r>
  <r>
    <x v="58"/>
    <x v="1"/>
    <x v="8"/>
    <x v="1"/>
    <x v="2"/>
    <x v="1"/>
    <x v="56"/>
    <x v="26"/>
    <x v="69"/>
    <x v="127"/>
    <x v="200"/>
    <x v="268"/>
    <x v="273"/>
    <x v="271"/>
    <x v="273"/>
    <x v="256"/>
    <x v="98"/>
    <x v="124"/>
    <x v="260"/>
    <x v="98"/>
    <x v="0"/>
  </r>
  <r>
    <x v="3"/>
    <x v="0"/>
    <x v="3"/>
    <x v="2"/>
    <x v="6"/>
    <x v="3"/>
    <x v="26"/>
    <x v="28"/>
    <x v="83"/>
    <x v="128"/>
    <x v="201"/>
    <x v="203"/>
    <x v="274"/>
    <x v="272"/>
    <x v="274"/>
    <x v="257"/>
    <x v="110"/>
    <x v="67"/>
    <x v="261"/>
    <x v="110"/>
    <x v="0"/>
  </r>
  <r>
    <x v="13"/>
    <x v="0"/>
    <x v="5"/>
    <x v="3"/>
    <x v="1"/>
    <x v="2"/>
    <x v="48"/>
    <x v="57"/>
    <x v="31"/>
    <x v="78"/>
    <x v="202"/>
    <x v="269"/>
    <x v="275"/>
    <x v="273"/>
    <x v="275"/>
    <x v="258"/>
    <x v="63"/>
    <x v="156"/>
    <x v="262"/>
    <x v="63"/>
    <x v="2"/>
  </r>
  <r>
    <x v="8"/>
    <x v="1"/>
    <x v="6"/>
    <x v="2"/>
    <x v="0"/>
    <x v="2"/>
    <x v="65"/>
    <x v="46"/>
    <x v="14"/>
    <x v="93"/>
    <x v="203"/>
    <x v="270"/>
    <x v="276"/>
    <x v="274"/>
    <x v="276"/>
    <x v="259"/>
    <x v="98"/>
    <x v="96"/>
    <x v="263"/>
    <x v="98"/>
    <x v="2"/>
  </r>
  <r>
    <x v="17"/>
    <x v="0"/>
    <x v="4"/>
    <x v="3"/>
    <x v="1"/>
    <x v="0"/>
    <x v="14"/>
    <x v="72"/>
    <x v="65"/>
    <x v="45"/>
    <x v="202"/>
    <x v="271"/>
    <x v="277"/>
    <x v="275"/>
    <x v="277"/>
    <x v="260"/>
    <x v="141"/>
    <x v="86"/>
    <x v="264"/>
    <x v="141"/>
    <x v="1"/>
  </r>
  <r>
    <x v="57"/>
    <x v="0"/>
    <x v="0"/>
    <x v="2"/>
    <x v="3"/>
    <x v="3"/>
    <x v="33"/>
    <x v="45"/>
    <x v="34"/>
    <x v="127"/>
    <x v="149"/>
    <x v="272"/>
    <x v="278"/>
    <x v="276"/>
    <x v="278"/>
    <x v="261"/>
    <x v="80"/>
    <x v="69"/>
    <x v="265"/>
    <x v="80"/>
    <x v="0"/>
  </r>
  <r>
    <x v="52"/>
    <x v="1"/>
    <x v="5"/>
    <x v="1"/>
    <x v="0"/>
    <x v="3"/>
    <x v="45"/>
    <x v="47"/>
    <x v="15"/>
    <x v="87"/>
    <x v="204"/>
    <x v="273"/>
    <x v="279"/>
    <x v="277"/>
    <x v="279"/>
    <x v="262"/>
    <x v="101"/>
    <x v="85"/>
    <x v="75"/>
    <x v="101"/>
    <x v="2"/>
  </r>
  <r>
    <x v="19"/>
    <x v="1"/>
    <x v="4"/>
    <x v="0"/>
    <x v="0"/>
    <x v="3"/>
    <x v="76"/>
    <x v="53"/>
    <x v="76"/>
    <x v="129"/>
    <x v="105"/>
    <x v="274"/>
    <x v="280"/>
    <x v="278"/>
    <x v="280"/>
    <x v="263"/>
    <x v="86"/>
    <x v="157"/>
    <x v="266"/>
    <x v="86"/>
    <x v="1"/>
  </r>
  <r>
    <x v="48"/>
    <x v="0"/>
    <x v="3"/>
    <x v="4"/>
    <x v="6"/>
    <x v="0"/>
    <x v="0"/>
    <x v="6"/>
    <x v="14"/>
    <x v="130"/>
    <x v="34"/>
    <x v="275"/>
    <x v="281"/>
    <x v="279"/>
    <x v="281"/>
    <x v="264"/>
    <x v="98"/>
    <x v="158"/>
    <x v="263"/>
    <x v="98"/>
    <x v="2"/>
  </r>
  <r>
    <x v="7"/>
    <x v="1"/>
    <x v="4"/>
    <x v="3"/>
    <x v="3"/>
    <x v="3"/>
    <x v="59"/>
    <x v="33"/>
    <x v="60"/>
    <x v="0"/>
    <x v="205"/>
    <x v="276"/>
    <x v="282"/>
    <x v="280"/>
    <x v="282"/>
    <x v="157"/>
    <x v="20"/>
    <x v="159"/>
    <x v="267"/>
    <x v="20"/>
    <x v="2"/>
  </r>
  <r>
    <x v="18"/>
    <x v="0"/>
    <x v="7"/>
    <x v="4"/>
    <x v="4"/>
    <x v="1"/>
    <x v="101"/>
    <x v="24"/>
    <x v="34"/>
    <x v="131"/>
    <x v="128"/>
    <x v="277"/>
    <x v="283"/>
    <x v="281"/>
    <x v="283"/>
    <x v="265"/>
    <x v="74"/>
    <x v="147"/>
    <x v="268"/>
    <x v="74"/>
    <x v="2"/>
  </r>
  <r>
    <x v="16"/>
    <x v="0"/>
    <x v="5"/>
    <x v="3"/>
    <x v="5"/>
    <x v="3"/>
    <x v="18"/>
    <x v="66"/>
    <x v="76"/>
    <x v="87"/>
    <x v="34"/>
    <x v="278"/>
    <x v="284"/>
    <x v="282"/>
    <x v="284"/>
    <x v="266"/>
    <x v="133"/>
    <x v="160"/>
    <x v="269"/>
    <x v="133"/>
    <x v="0"/>
  </r>
  <r>
    <x v="19"/>
    <x v="1"/>
    <x v="1"/>
    <x v="2"/>
    <x v="4"/>
    <x v="0"/>
    <x v="8"/>
    <x v="3"/>
    <x v="77"/>
    <x v="104"/>
    <x v="153"/>
    <x v="279"/>
    <x v="285"/>
    <x v="283"/>
    <x v="285"/>
    <x v="267"/>
    <x v="141"/>
    <x v="155"/>
    <x v="270"/>
    <x v="141"/>
    <x v="1"/>
  </r>
  <r>
    <x v="18"/>
    <x v="0"/>
    <x v="1"/>
    <x v="1"/>
    <x v="4"/>
    <x v="0"/>
    <x v="11"/>
    <x v="51"/>
    <x v="6"/>
    <x v="16"/>
    <x v="206"/>
    <x v="280"/>
    <x v="286"/>
    <x v="284"/>
    <x v="286"/>
    <x v="268"/>
    <x v="44"/>
    <x v="136"/>
    <x v="271"/>
    <x v="44"/>
    <x v="2"/>
  </r>
  <r>
    <x v="30"/>
    <x v="0"/>
    <x v="9"/>
    <x v="4"/>
    <x v="0"/>
    <x v="2"/>
    <x v="1"/>
    <x v="29"/>
    <x v="73"/>
    <x v="6"/>
    <x v="165"/>
    <x v="281"/>
    <x v="287"/>
    <x v="285"/>
    <x v="287"/>
    <x v="269"/>
    <x v="65"/>
    <x v="40"/>
    <x v="272"/>
    <x v="65"/>
    <x v="1"/>
  </r>
  <r>
    <x v="12"/>
    <x v="1"/>
    <x v="5"/>
    <x v="1"/>
    <x v="0"/>
    <x v="2"/>
    <x v="75"/>
    <x v="53"/>
    <x v="68"/>
    <x v="3"/>
    <x v="123"/>
    <x v="282"/>
    <x v="288"/>
    <x v="286"/>
    <x v="288"/>
    <x v="270"/>
    <x v="123"/>
    <x v="153"/>
    <x v="273"/>
    <x v="123"/>
    <x v="0"/>
  </r>
  <r>
    <x v="25"/>
    <x v="1"/>
    <x v="4"/>
    <x v="2"/>
    <x v="2"/>
    <x v="1"/>
    <x v="85"/>
    <x v="56"/>
    <x v="27"/>
    <x v="132"/>
    <x v="102"/>
    <x v="283"/>
    <x v="289"/>
    <x v="287"/>
    <x v="289"/>
    <x v="271"/>
    <x v="29"/>
    <x v="14"/>
    <x v="117"/>
    <x v="29"/>
    <x v="0"/>
  </r>
  <r>
    <x v="29"/>
    <x v="1"/>
    <x v="4"/>
    <x v="1"/>
    <x v="4"/>
    <x v="1"/>
    <x v="98"/>
    <x v="79"/>
    <x v="68"/>
    <x v="104"/>
    <x v="145"/>
    <x v="284"/>
    <x v="290"/>
    <x v="288"/>
    <x v="290"/>
    <x v="272"/>
    <x v="142"/>
    <x v="18"/>
    <x v="274"/>
    <x v="142"/>
    <x v="2"/>
  </r>
  <r>
    <x v="16"/>
    <x v="1"/>
    <x v="7"/>
    <x v="3"/>
    <x v="2"/>
    <x v="3"/>
    <x v="102"/>
    <x v="67"/>
    <x v="9"/>
    <x v="129"/>
    <x v="207"/>
    <x v="285"/>
    <x v="291"/>
    <x v="289"/>
    <x v="291"/>
    <x v="180"/>
    <x v="60"/>
    <x v="153"/>
    <x v="275"/>
    <x v="60"/>
    <x v="0"/>
  </r>
  <r>
    <x v="50"/>
    <x v="0"/>
    <x v="5"/>
    <x v="1"/>
    <x v="6"/>
    <x v="3"/>
    <x v="89"/>
    <x v="63"/>
    <x v="57"/>
    <x v="37"/>
    <x v="208"/>
    <x v="286"/>
    <x v="292"/>
    <x v="290"/>
    <x v="292"/>
    <x v="273"/>
    <x v="143"/>
    <x v="34"/>
    <x v="219"/>
    <x v="143"/>
    <x v="2"/>
  </r>
  <r>
    <x v="24"/>
    <x v="1"/>
    <x v="8"/>
    <x v="2"/>
    <x v="1"/>
    <x v="1"/>
    <x v="76"/>
    <x v="5"/>
    <x v="40"/>
    <x v="13"/>
    <x v="209"/>
    <x v="287"/>
    <x v="293"/>
    <x v="291"/>
    <x v="293"/>
    <x v="274"/>
    <x v="104"/>
    <x v="1"/>
    <x v="276"/>
    <x v="104"/>
    <x v="1"/>
  </r>
  <r>
    <x v="39"/>
    <x v="1"/>
    <x v="7"/>
    <x v="0"/>
    <x v="0"/>
    <x v="0"/>
    <x v="103"/>
    <x v="41"/>
    <x v="62"/>
    <x v="1"/>
    <x v="4"/>
    <x v="288"/>
    <x v="294"/>
    <x v="292"/>
    <x v="294"/>
    <x v="14"/>
    <x v="139"/>
    <x v="161"/>
    <x v="57"/>
    <x v="139"/>
    <x v="2"/>
  </r>
  <r>
    <x v="33"/>
    <x v="1"/>
    <x v="8"/>
    <x v="1"/>
    <x v="1"/>
    <x v="3"/>
    <x v="56"/>
    <x v="3"/>
    <x v="72"/>
    <x v="39"/>
    <x v="1"/>
    <x v="289"/>
    <x v="295"/>
    <x v="293"/>
    <x v="295"/>
    <x v="275"/>
    <x v="35"/>
    <x v="137"/>
    <x v="277"/>
    <x v="35"/>
    <x v="2"/>
  </r>
  <r>
    <x v="37"/>
    <x v="1"/>
    <x v="5"/>
    <x v="0"/>
    <x v="2"/>
    <x v="0"/>
    <x v="17"/>
    <x v="70"/>
    <x v="81"/>
    <x v="74"/>
    <x v="25"/>
    <x v="290"/>
    <x v="296"/>
    <x v="294"/>
    <x v="296"/>
    <x v="276"/>
    <x v="1"/>
    <x v="54"/>
    <x v="278"/>
    <x v="1"/>
    <x v="2"/>
  </r>
  <r>
    <x v="20"/>
    <x v="1"/>
    <x v="6"/>
    <x v="0"/>
    <x v="3"/>
    <x v="3"/>
    <x v="86"/>
    <x v="24"/>
    <x v="36"/>
    <x v="133"/>
    <x v="24"/>
    <x v="291"/>
    <x v="297"/>
    <x v="295"/>
    <x v="297"/>
    <x v="277"/>
    <x v="93"/>
    <x v="162"/>
    <x v="172"/>
    <x v="93"/>
    <x v="1"/>
  </r>
  <r>
    <x v="13"/>
    <x v="0"/>
    <x v="2"/>
    <x v="2"/>
    <x v="4"/>
    <x v="1"/>
    <x v="61"/>
    <x v="77"/>
    <x v="84"/>
    <x v="9"/>
    <x v="210"/>
    <x v="292"/>
    <x v="298"/>
    <x v="296"/>
    <x v="298"/>
    <x v="278"/>
    <x v="26"/>
    <x v="163"/>
    <x v="279"/>
    <x v="26"/>
    <x v="2"/>
  </r>
  <r>
    <x v="38"/>
    <x v="0"/>
    <x v="0"/>
    <x v="4"/>
    <x v="6"/>
    <x v="0"/>
    <x v="71"/>
    <x v="67"/>
    <x v="79"/>
    <x v="50"/>
    <x v="35"/>
    <x v="92"/>
    <x v="299"/>
    <x v="297"/>
    <x v="299"/>
    <x v="279"/>
    <x v="144"/>
    <x v="59"/>
    <x v="280"/>
    <x v="144"/>
    <x v="2"/>
  </r>
  <r>
    <x v="56"/>
    <x v="0"/>
    <x v="6"/>
    <x v="4"/>
    <x v="2"/>
    <x v="0"/>
    <x v="75"/>
    <x v="0"/>
    <x v="37"/>
    <x v="4"/>
    <x v="211"/>
    <x v="293"/>
    <x v="300"/>
    <x v="298"/>
    <x v="300"/>
    <x v="280"/>
    <x v="49"/>
    <x v="164"/>
    <x v="281"/>
    <x v="49"/>
    <x v="2"/>
  </r>
  <r>
    <x v="40"/>
    <x v="1"/>
    <x v="4"/>
    <x v="0"/>
    <x v="0"/>
    <x v="3"/>
    <x v="42"/>
    <x v="69"/>
    <x v="63"/>
    <x v="28"/>
    <x v="212"/>
    <x v="294"/>
    <x v="301"/>
    <x v="211"/>
    <x v="301"/>
    <x v="281"/>
    <x v="71"/>
    <x v="12"/>
    <x v="282"/>
    <x v="71"/>
    <x v="2"/>
  </r>
  <r>
    <x v="24"/>
    <x v="0"/>
    <x v="5"/>
    <x v="0"/>
    <x v="2"/>
    <x v="0"/>
    <x v="7"/>
    <x v="17"/>
    <x v="20"/>
    <x v="126"/>
    <x v="62"/>
    <x v="295"/>
    <x v="302"/>
    <x v="299"/>
    <x v="302"/>
    <x v="282"/>
    <x v="143"/>
    <x v="130"/>
    <x v="283"/>
    <x v="143"/>
    <x v="1"/>
  </r>
  <r>
    <x v="8"/>
    <x v="0"/>
    <x v="7"/>
    <x v="0"/>
    <x v="5"/>
    <x v="3"/>
    <x v="28"/>
    <x v="55"/>
    <x v="58"/>
    <x v="5"/>
    <x v="213"/>
    <x v="296"/>
    <x v="303"/>
    <x v="300"/>
    <x v="303"/>
    <x v="283"/>
    <x v="1"/>
    <x v="135"/>
    <x v="91"/>
    <x v="1"/>
    <x v="2"/>
  </r>
  <r>
    <x v="50"/>
    <x v="0"/>
    <x v="9"/>
    <x v="0"/>
    <x v="5"/>
    <x v="2"/>
    <x v="1"/>
    <x v="19"/>
    <x v="27"/>
    <x v="67"/>
    <x v="214"/>
    <x v="297"/>
    <x v="304"/>
    <x v="301"/>
    <x v="304"/>
    <x v="284"/>
    <x v="119"/>
    <x v="37"/>
    <x v="284"/>
    <x v="119"/>
    <x v="2"/>
  </r>
  <r>
    <x v="35"/>
    <x v="1"/>
    <x v="7"/>
    <x v="0"/>
    <x v="4"/>
    <x v="0"/>
    <x v="70"/>
    <x v="39"/>
    <x v="31"/>
    <x v="59"/>
    <x v="215"/>
    <x v="298"/>
    <x v="305"/>
    <x v="302"/>
    <x v="305"/>
    <x v="285"/>
    <x v="42"/>
    <x v="165"/>
    <x v="285"/>
    <x v="42"/>
    <x v="2"/>
  </r>
  <r>
    <x v="57"/>
    <x v="0"/>
    <x v="6"/>
    <x v="3"/>
    <x v="5"/>
    <x v="0"/>
    <x v="63"/>
    <x v="9"/>
    <x v="11"/>
    <x v="104"/>
    <x v="216"/>
    <x v="299"/>
    <x v="306"/>
    <x v="303"/>
    <x v="306"/>
    <x v="286"/>
    <x v="70"/>
    <x v="125"/>
    <x v="286"/>
    <x v="70"/>
    <x v="0"/>
  </r>
  <r>
    <x v="12"/>
    <x v="1"/>
    <x v="8"/>
    <x v="3"/>
    <x v="5"/>
    <x v="3"/>
    <x v="93"/>
    <x v="66"/>
    <x v="31"/>
    <x v="58"/>
    <x v="37"/>
    <x v="300"/>
    <x v="307"/>
    <x v="304"/>
    <x v="307"/>
    <x v="287"/>
    <x v="76"/>
    <x v="45"/>
    <x v="287"/>
    <x v="76"/>
    <x v="0"/>
  </r>
  <r>
    <x v="13"/>
    <x v="0"/>
    <x v="4"/>
    <x v="2"/>
    <x v="1"/>
    <x v="2"/>
    <x v="45"/>
    <x v="32"/>
    <x v="2"/>
    <x v="85"/>
    <x v="110"/>
    <x v="301"/>
    <x v="308"/>
    <x v="305"/>
    <x v="308"/>
    <x v="288"/>
    <x v="145"/>
    <x v="40"/>
    <x v="288"/>
    <x v="145"/>
    <x v="2"/>
  </r>
  <r>
    <x v="54"/>
    <x v="1"/>
    <x v="9"/>
    <x v="4"/>
    <x v="5"/>
    <x v="3"/>
    <x v="35"/>
    <x v="11"/>
    <x v="78"/>
    <x v="75"/>
    <x v="178"/>
    <x v="302"/>
    <x v="309"/>
    <x v="306"/>
    <x v="309"/>
    <x v="289"/>
    <x v="86"/>
    <x v="0"/>
    <x v="289"/>
    <x v="86"/>
    <x v="0"/>
  </r>
  <r>
    <x v="16"/>
    <x v="0"/>
    <x v="0"/>
    <x v="3"/>
    <x v="0"/>
    <x v="0"/>
    <x v="11"/>
    <x v="8"/>
    <x v="29"/>
    <x v="48"/>
    <x v="173"/>
    <x v="303"/>
    <x v="310"/>
    <x v="307"/>
    <x v="310"/>
    <x v="290"/>
    <x v="134"/>
    <x v="100"/>
    <x v="290"/>
    <x v="134"/>
    <x v="0"/>
  </r>
  <r>
    <x v="34"/>
    <x v="1"/>
    <x v="4"/>
    <x v="2"/>
    <x v="6"/>
    <x v="2"/>
    <x v="87"/>
    <x v="58"/>
    <x v="25"/>
    <x v="113"/>
    <x v="217"/>
    <x v="304"/>
    <x v="311"/>
    <x v="308"/>
    <x v="311"/>
    <x v="291"/>
    <x v="146"/>
    <x v="76"/>
    <x v="291"/>
    <x v="146"/>
    <x v="2"/>
  </r>
  <r>
    <x v="17"/>
    <x v="1"/>
    <x v="3"/>
    <x v="2"/>
    <x v="0"/>
    <x v="1"/>
    <x v="3"/>
    <x v="21"/>
    <x v="41"/>
    <x v="134"/>
    <x v="218"/>
    <x v="305"/>
    <x v="312"/>
    <x v="309"/>
    <x v="312"/>
    <x v="292"/>
    <x v="140"/>
    <x v="38"/>
    <x v="292"/>
    <x v="140"/>
    <x v="1"/>
  </r>
  <r>
    <x v="8"/>
    <x v="1"/>
    <x v="1"/>
    <x v="0"/>
    <x v="4"/>
    <x v="3"/>
    <x v="56"/>
    <x v="53"/>
    <x v="82"/>
    <x v="135"/>
    <x v="219"/>
    <x v="306"/>
    <x v="313"/>
    <x v="310"/>
    <x v="313"/>
    <x v="293"/>
    <x v="61"/>
    <x v="28"/>
    <x v="293"/>
    <x v="61"/>
    <x v="2"/>
  </r>
  <r>
    <x v="0"/>
    <x v="0"/>
    <x v="4"/>
    <x v="2"/>
    <x v="5"/>
    <x v="3"/>
    <x v="71"/>
    <x v="38"/>
    <x v="14"/>
    <x v="35"/>
    <x v="62"/>
    <x v="307"/>
    <x v="314"/>
    <x v="311"/>
    <x v="314"/>
    <x v="173"/>
    <x v="61"/>
    <x v="96"/>
    <x v="294"/>
    <x v="61"/>
    <x v="0"/>
  </r>
  <r>
    <x v="22"/>
    <x v="0"/>
    <x v="4"/>
    <x v="2"/>
    <x v="5"/>
    <x v="1"/>
    <x v="63"/>
    <x v="43"/>
    <x v="26"/>
    <x v="136"/>
    <x v="54"/>
    <x v="308"/>
    <x v="315"/>
    <x v="312"/>
    <x v="315"/>
    <x v="294"/>
    <x v="113"/>
    <x v="21"/>
    <x v="295"/>
    <x v="113"/>
    <x v="0"/>
  </r>
  <r>
    <x v="47"/>
    <x v="1"/>
    <x v="3"/>
    <x v="3"/>
    <x v="0"/>
    <x v="1"/>
    <x v="69"/>
    <x v="68"/>
    <x v="7"/>
    <x v="114"/>
    <x v="220"/>
    <x v="309"/>
    <x v="316"/>
    <x v="313"/>
    <x v="316"/>
    <x v="295"/>
    <x v="102"/>
    <x v="166"/>
    <x v="296"/>
    <x v="102"/>
    <x v="0"/>
  </r>
  <r>
    <x v="16"/>
    <x v="1"/>
    <x v="3"/>
    <x v="4"/>
    <x v="3"/>
    <x v="2"/>
    <x v="21"/>
    <x v="77"/>
    <x v="43"/>
    <x v="26"/>
    <x v="114"/>
    <x v="310"/>
    <x v="317"/>
    <x v="314"/>
    <x v="317"/>
    <x v="296"/>
    <x v="84"/>
    <x v="12"/>
    <x v="297"/>
    <x v="84"/>
    <x v="0"/>
  </r>
  <r>
    <x v="10"/>
    <x v="0"/>
    <x v="6"/>
    <x v="4"/>
    <x v="3"/>
    <x v="3"/>
    <x v="104"/>
    <x v="71"/>
    <x v="70"/>
    <x v="133"/>
    <x v="70"/>
    <x v="42"/>
    <x v="318"/>
    <x v="315"/>
    <x v="318"/>
    <x v="297"/>
    <x v="147"/>
    <x v="160"/>
    <x v="298"/>
    <x v="147"/>
    <x v="2"/>
  </r>
  <r>
    <x v="0"/>
    <x v="1"/>
    <x v="2"/>
    <x v="3"/>
    <x v="4"/>
    <x v="1"/>
    <x v="47"/>
    <x v="46"/>
    <x v="67"/>
    <x v="24"/>
    <x v="120"/>
    <x v="311"/>
    <x v="319"/>
    <x v="316"/>
    <x v="319"/>
    <x v="298"/>
    <x v="13"/>
    <x v="13"/>
    <x v="256"/>
    <x v="13"/>
    <x v="0"/>
  </r>
  <r>
    <x v="53"/>
    <x v="0"/>
    <x v="0"/>
    <x v="0"/>
    <x v="4"/>
    <x v="3"/>
    <x v="21"/>
    <x v="51"/>
    <x v="74"/>
    <x v="137"/>
    <x v="84"/>
    <x v="312"/>
    <x v="320"/>
    <x v="317"/>
    <x v="320"/>
    <x v="299"/>
    <x v="119"/>
    <x v="167"/>
    <x v="299"/>
    <x v="119"/>
    <x v="1"/>
  </r>
  <r>
    <x v="5"/>
    <x v="1"/>
    <x v="6"/>
    <x v="0"/>
    <x v="0"/>
    <x v="1"/>
    <x v="105"/>
    <x v="23"/>
    <x v="26"/>
    <x v="64"/>
    <x v="221"/>
    <x v="313"/>
    <x v="321"/>
    <x v="318"/>
    <x v="321"/>
    <x v="300"/>
    <x v="148"/>
    <x v="42"/>
    <x v="300"/>
    <x v="148"/>
    <x v="2"/>
  </r>
  <r>
    <x v="37"/>
    <x v="1"/>
    <x v="0"/>
    <x v="1"/>
    <x v="6"/>
    <x v="3"/>
    <x v="68"/>
    <x v="10"/>
    <x v="75"/>
    <x v="8"/>
    <x v="10"/>
    <x v="314"/>
    <x v="322"/>
    <x v="319"/>
    <x v="322"/>
    <x v="301"/>
    <x v="149"/>
    <x v="75"/>
    <x v="301"/>
    <x v="149"/>
    <x v="2"/>
  </r>
  <r>
    <x v="53"/>
    <x v="0"/>
    <x v="5"/>
    <x v="4"/>
    <x v="6"/>
    <x v="2"/>
    <x v="79"/>
    <x v="76"/>
    <x v="51"/>
    <x v="71"/>
    <x v="222"/>
    <x v="315"/>
    <x v="323"/>
    <x v="320"/>
    <x v="323"/>
    <x v="302"/>
    <x v="125"/>
    <x v="124"/>
    <x v="75"/>
    <x v="125"/>
    <x v="1"/>
  </r>
  <r>
    <x v="26"/>
    <x v="1"/>
    <x v="3"/>
    <x v="0"/>
    <x v="6"/>
    <x v="2"/>
    <x v="57"/>
    <x v="52"/>
    <x v="15"/>
    <x v="31"/>
    <x v="223"/>
    <x v="316"/>
    <x v="324"/>
    <x v="321"/>
    <x v="324"/>
    <x v="303"/>
    <x v="150"/>
    <x v="8"/>
    <x v="302"/>
    <x v="150"/>
    <x v="2"/>
  </r>
  <r>
    <x v="4"/>
    <x v="1"/>
    <x v="7"/>
    <x v="3"/>
    <x v="5"/>
    <x v="2"/>
    <x v="36"/>
    <x v="22"/>
    <x v="56"/>
    <x v="32"/>
    <x v="77"/>
    <x v="317"/>
    <x v="325"/>
    <x v="322"/>
    <x v="325"/>
    <x v="304"/>
    <x v="38"/>
    <x v="52"/>
    <x v="89"/>
    <x v="38"/>
    <x v="1"/>
  </r>
  <r>
    <x v="17"/>
    <x v="1"/>
    <x v="1"/>
    <x v="0"/>
    <x v="6"/>
    <x v="2"/>
    <x v="21"/>
    <x v="19"/>
    <x v="79"/>
    <x v="60"/>
    <x v="224"/>
    <x v="318"/>
    <x v="326"/>
    <x v="323"/>
    <x v="326"/>
    <x v="305"/>
    <x v="17"/>
    <x v="60"/>
    <x v="303"/>
    <x v="17"/>
    <x v="1"/>
  </r>
  <r>
    <x v="57"/>
    <x v="0"/>
    <x v="1"/>
    <x v="0"/>
    <x v="3"/>
    <x v="0"/>
    <x v="69"/>
    <x v="57"/>
    <x v="62"/>
    <x v="128"/>
    <x v="225"/>
    <x v="319"/>
    <x v="327"/>
    <x v="324"/>
    <x v="327"/>
    <x v="306"/>
    <x v="82"/>
    <x v="117"/>
    <x v="304"/>
    <x v="82"/>
    <x v="0"/>
  </r>
  <r>
    <x v="13"/>
    <x v="0"/>
    <x v="3"/>
    <x v="3"/>
    <x v="1"/>
    <x v="3"/>
    <x v="51"/>
    <x v="37"/>
    <x v="81"/>
    <x v="22"/>
    <x v="211"/>
    <x v="320"/>
    <x v="328"/>
    <x v="325"/>
    <x v="328"/>
    <x v="307"/>
    <x v="42"/>
    <x v="168"/>
    <x v="305"/>
    <x v="42"/>
    <x v="2"/>
  </r>
  <r>
    <x v="38"/>
    <x v="1"/>
    <x v="6"/>
    <x v="0"/>
    <x v="1"/>
    <x v="1"/>
    <x v="85"/>
    <x v="26"/>
    <x v="33"/>
    <x v="138"/>
    <x v="226"/>
    <x v="321"/>
    <x v="329"/>
    <x v="326"/>
    <x v="329"/>
    <x v="308"/>
    <x v="117"/>
    <x v="43"/>
    <x v="306"/>
    <x v="117"/>
    <x v="2"/>
  </r>
  <r>
    <x v="41"/>
    <x v="0"/>
    <x v="3"/>
    <x v="4"/>
    <x v="1"/>
    <x v="2"/>
    <x v="20"/>
    <x v="23"/>
    <x v="28"/>
    <x v="98"/>
    <x v="227"/>
    <x v="322"/>
    <x v="330"/>
    <x v="327"/>
    <x v="330"/>
    <x v="309"/>
    <x v="110"/>
    <x v="33"/>
    <x v="307"/>
    <x v="110"/>
    <x v="2"/>
  </r>
  <r>
    <x v="20"/>
    <x v="0"/>
    <x v="7"/>
    <x v="4"/>
    <x v="1"/>
    <x v="0"/>
    <x v="54"/>
    <x v="78"/>
    <x v="40"/>
    <x v="49"/>
    <x v="228"/>
    <x v="323"/>
    <x v="331"/>
    <x v="328"/>
    <x v="331"/>
    <x v="310"/>
    <x v="151"/>
    <x v="169"/>
    <x v="308"/>
    <x v="151"/>
    <x v="1"/>
  </r>
  <r>
    <x v="42"/>
    <x v="0"/>
    <x v="8"/>
    <x v="1"/>
    <x v="1"/>
    <x v="3"/>
    <x v="12"/>
    <x v="61"/>
    <x v="11"/>
    <x v="111"/>
    <x v="41"/>
    <x v="324"/>
    <x v="332"/>
    <x v="329"/>
    <x v="332"/>
    <x v="311"/>
    <x v="140"/>
    <x v="86"/>
    <x v="309"/>
    <x v="140"/>
    <x v="2"/>
  </r>
  <r>
    <x v="1"/>
    <x v="0"/>
    <x v="9"/>
    <x v="1"/>
    <x v="2"/>
    <x v="0"/>
    <x v="29"/>
    <x v="4"/>
    <x v="64"/>
    <x v="109"/>
    <x v="185"/>
    <x v="325"/>
    <x v="333"/>
    <x v="330"/>
    <x v="333"/>
    <x v="312"/>
    <x v="111"/>
    <x v="68"/>
    <x v="310"/>
    <x v="111"/>
    <x v="1"/>
  </r>
  <r>
    <x v="15"/>
    <x v="0"/>
    <x v="7"/>
    <x v="2"/>
    <x v="3"/>
    <x v="0"/>
    <x v="3"/>
    <x v="44"/>
    <x v="22"/>
    <x v="35"/>
    <x v="229"/>
    <x v="326"/>
    <x v="334"/>
    <x v="331"/>
    <x v="334"/>
    <x v="313"/>
    <x v="29"/>
    <x v="158"/>
    <x v="311"/>
    <x v="29"/>
    <x v="2"/>
  </r>
  <r>
    <x v="34"/>
    <x v="0"/>
    <x v="9"/>
    <x v="0"/>
    <x v="6"/>
    <x v="3"/>
    <x v="34"/>
    <x v="0"/>
    <x v="33"/>
    <x v="58"/>
    <x v="136"/>
    <x v="327"/>
    <x v="335"/>
    <x v="332"/>
    <x v="335"/>
    <x v="71"/>
    <x v="152"/>
    <x v="61"/>
    <x v="312"/>
    <x v="152"/>
    <x v="2"/>
  </r>
  <r>
    <x v="28"/>
    <x v="0"/>
    <x v="3"/>
    <x v="1"/>
    <x v="4"/>
    <x v="1"/>
    <x v="13"/>
    <x v="48"/>
    <x v="63"/>
    <x v="139"/>
    <x v="230"/>
    <x v="75"/>
    <x v="336"/>
    <x v="333"/>
    <x v="336"/>
    <x v="188"/>
    <x v="153"/>
    <x v="170"/>
    <x v="313"/>
    <x v="153"/>
    <x v="0"/>
  </r>
  <r>
    <x v="57"/>
    <x v="1"/>
    <x v="4"/>
    <x v="0"/>
    <x v="4"/>
    <x v="1"/>
    <x v="94"/>
    <x v="45"/>
    <x v="73"/>
    <x v="74"/>
    <x v="231"/>
    <x v="51"/>
    <x v="337"/>
    <x v="334"/>
    <x v="337"/>
    <x v="314"/>
    <x v="25"/>
    <x v="171"/>
    <x v="314"/>
    <x v="25"/>
    <x v="0"/>
  </r>
  <r>
    <x v="43"/>
    <x v="0"/>
    <x v="9"/>
    <x v="3"/>
    <x v="0"/>
    <x v="1"/>
    <x v="46"/>
    <x v="67"/>
    <x v="7"/>
    <x v="81"/>
    <x v="149"/>
    <x v="328"/>
    <x v="338"/>
    <x v="335"/>
    <x v="338"/>
    <x v="315"/>
    <x v="49"/>
    <x v="66"/>
    <x v="315"/>
    <x v="49"/>
    <x v="2"/>
  </r>
  <r>
    <x v="10"/>
    <x v="0"/>
    <x v="0"/>
    <x v="3"/>
    <x v="5"/>
    <x v="0"/>
    <x v="19"/>
    <x v="57"/>
    <x v="23"/>
    <x v="97"/>
    <x v="232"/>
    <x v="186"/>
    <x v="339"/>
    <x v="336"/>
    <x v="339"/>
    <x v="316"/>
    <x v="50"/>
    <x v="61"/>
    <x v="316"/>
    <x v="50"/>
    <x v="2"/>
  </r>
  <r>
    <x v="18"/>
    <x v="1"/>
    <x v="3"/>
    <x v="3"/>
    <x v="5"/>
    <x v="0"/>
    <x v="37"/>
    <x v="7"/>
    <x v="83"/>
    <x v="75"/>
    <x v="233"/>
    <x v="329"/>
    <x v="340"/>
    <x v="337"/>
    <x v="340"/>
    <x v="317"/>
    <x v="154"/>
    <x v="172"/>
    <x v="317"/>
    <x v="154"/>
    <x v="2"/>
  </r>
  <r>
    <x v="50"/>
    <x v="1"/>
    <x v="8"/>
    <x v="2"/>
    <x v="1"/>
    <x v="1"/>
    <x v="64"/>
    <x v="7"/>
    <x v="38"/>
    <x v="79"/>
    <x v="131"/>
    <x v="330"/>
    <x v="341"/>
    <x v="338"/>
    <x v="341"/>
    <x v="280"/>
    <x v="155"/>
    <x v="118"/>
    <x v="318"/>
    <x v="155"/>
    <x v="2"/>
  </r>
  <r>
    <x v="49"/>
    <x v="1"/>
    <x v="1"/>
    <x v="0"/>
    <x v="2"/>
    <x v="0"/>
    <x v="106"/>
    <x v="71"/>
    <x v="40"/>
    <x v="100"/>
    <x v="234"/>
    <x v="331"/>
    <x v="342"/>
    <x v="339"/>
    <x v="342"/>
    <x v="318"/>
    <x v="136"/>
    <x v="37"/>
    <x v="319"/>
    <x v="136"/>
    <x v="1"/>
  </r>
  <r>
    <x v="33"/>
    <x v="1"/>
    <x v="7"/>
    <x v="2"/>
    <x v="0"/>
    <x v="2"/>
    <x v="106"/>
    <x v="72"/>
    <x v="37"/>
    <x v="140"/>
    <x v="235"/>
    <x v="332"/>
    <x v="343"/>
    <x v="340"/>
    <x v="343"/>
    <x v="319"/>
    <x v="60"/>
    <x v="29"/>
    <x v="320"/>
    <x v="60"/>
    <x v="2"/>
  </r>
  <r>
    <x v="57"/>
    <x v="0"/>
    <x v="5"/>
    <x v="0"/>
    <x v="4"/>
    <x v="3"/>
    <x v="92"/>
    <x v="74"/>
    <x v="27"/>
    <x v="33"/>
    <x v="221"/>
    <x v="333"/>
    <x v="344"/>
    <x v="341"/>
    <x v="344"/>
    <x v="320"/>
    <x v="24"/>
    <x v="173"/>
    <x v="321"/>
    <x v="24"/>
    <x v="0"/>
  </r>
  <r>
    <x v="22"/>
    <x v="0"/>
    <x v="6"/>
    <x v="2"/>
    <x v="4"/>
    <x v="0"/>
    <x v="69"/>
    <x v="58"/>
    <x v="71"/>
    <x v="31"/>
    <x v="224"/>
    <x v="334"/>
    <x v="345"/>
    <x v="342"/>
    <x v="345"/>
    <x v="321"/>
    <x v="156"/>
    <x v="174"/>
    <x v="322"/>
    <x v="156"/>
    <x v="0"/>
  </r>
  <r>
    <x v="14"/>
    <x v="0"/>
    <x v="7"/>
    <x v="0"/>
    <x v="4"/>
    <x v="1"/>
    <x v="48"/>
    <x v="60"/>
    <x v="37"/>
    <x v="77"/>
    <x v="236"/>
    <x v="335"/>
    <x v="346"/>
    <x v="343"/>
    <x v="346"/>
    <x v="322"/>
    <x v="54"/>
    <x v="67"/>
    <x v="323"/>
    <x v="54"/>
    <x v="2"/>
  </r>
  <r>
    <x v="38"/>
    <x v="1"/>
    <x v="4"/>
    <x v="0"/>
    <x v="2"/>
    <x v="0"/>
    <x v="104"/>
    <x v="16"/>
    <x v="65"/>
    <x v="18"/>
    <x v="49"/>
    <x v="336"/>
    <x v="347"/>
    <x v="344"/>
    <x v="347"/>
    <x v="68"/>
    <x v="157"/>
    <x v="175"/>
    <x v="324"/>
    <x v="157"/>
    <x v="2"/>
  </r>
  <r>
    <x v="50"/>
    <x v="1"/>
    <x v="0"/>
    <x v="1"/>
    <x v="4"/>
    <x v="0"/>
    <x v="54"/>
    <x v="5"/>
    <x v="68"/>
    <x v="141"/>
    <x v="212"/>
    <x v="337"/>
    <x v="348"/>
    <x v="345"/>
    <x v="348"/>
    <x v="323"/>
    <x v="15"/>
    <x v="38"/>
    <x v="325"/>
    <x v="15"/>
    <x v="2"/>
  </r>
  <r>
    <x v="41"/>
    <x v="0"/>
    <x v="7"/>
    <x v="0"/>
    <x v="1"/>
    <x v="2"/>
    <x v="33"/>
    <x v="32"/>
    <x v="48"/>
    <x v="60"/>
    <x v="237"/>
    <x v="338"/>
    <x v="349"/>
    <x v="346"/>
    <x v="349"/>
    <x v="324"/>
    <x v="31"/>
    <x v="176"/>
    <x v="326"/>
    <x v="31"/>
    <x v="2"/>
  </r>
  <r>
    <x v="11"/>
    <x v="0"/>
    <x v="7"/>
    <x v="3"/>
    <x v="1"/>
    <x v="0"/>
    <x v="39"/>
    <x v="18"/>
    <x v="77"/>
    <x v="106"/>
    <x v="129"/>
    <x v="339"/>
    <x v="350"/>
    <x v="347"/>
    <x v="350"/>
    <x v="325"/>
    <x v="25"/>
    <x v="177"/>
    <x v="327"/>
    <x v="25"/>
    <x v="1"/>
  </r>
  <r>
    <x v="54"/>
    <x v="1"/>
    <x v="6"/>
    <x v="1"/>
    <x v="2"/>
    <x v="0"/>
    <x v="47"/>
    <x v="2"/>
    <x v="15"/>
    <x v="131"/>
    <x v="114"/>
    <x v="340"/>
    <x v="351"/>
    <x v="348"/>
    <x v="351"/>
    <x v="326"/>
    <x v="3"/>
    <x v="57"/>
    <x v="328"/>
    <x v="3"/>
    <x v="0"/>
  </r>
  <r>
    <x v="43"/>
    <x v="1"/>
    <x v="8"/>
    <x v="3"/>
    <x v="3"/>
    <x v="1"/>
    <x v="53"/>
    <x v="67"/>
    <x v="57"/>
    <x v="6"/>
    <x v="155"/>
    <x v="341"/>
    <x v="352"/>
    <x v="349"/>
    <x v="352"/>
    <x v="178"/>
    <x v="57"/>
    <x v="94"/>
    <x v="329"/>
    <x v="57"/>
    <x v="2"/>
  </r>
  <r>
    <x v="41"/>
    <x v="1"/>
    <x v="5"/>
    <x v="4"/>
    <x v="4"/>
    <x v="3"/>
    <x v="12"/>
    <x v="46"/>
    <x v="25"/>
    <x v="53"/>
    <x v="186"/>
    <x v="342"/>
    <x v="353"/>
    <x v="350"/>
    <x v="353"/>
    <x v="327"/>
    <x v="158"/>
    <x v="156"/>
    <x v="330"/>
    <x v="158"/>
    <x v="2"/>
  </r>
  <r>
    <x v="52"/>
    <x v="0"/>
    <x v="6"/>
    <x v="1"/>
    <x v="2"/>
    <x v="1"/>
    <x v="24"/>
    <x v="24"/>
    <x v="69"/>
    <x v="30"/>
    <x v="111"/>
    <x v="343"/>
    <x v="354"/>
    <x v="351"/>
    <x v="354"/>
    <x v="328"/>
    <x v="85"/>
    <x v="153"/>
    <x v="331"/>
    <x v="85"/>
    <x v="2"/>
  </r>
  <r>
    <x v="55"/>
    <x v="0"/>
    <x v="0"/>
    <x v="1"/>
    <x v="1"/>
    <x v="0"/>
    <x v="102"/>
    <x v="41"/>
    <x v="63"/>
    <x v="3"/>
    <x v="84"/>
    <x v="344"/>
    <x v="355"/>
    <x v="352"/>
    <x v="355"/>
    <x v="329"/>
    <x v="159"/>
    <x v="32"/>
    <x v="332"/>
    <x v="159"/>
    <x v="2"/>
  </r>
  <r>
    <x v="25"/>
    <x v="0"/>
    <x v="3"/>
    <x v="1"/>
    <x v="4"/>
    <x v="0"/>
    <x v="106"/>
    <x v="19"/>
    <x v="51"/>
    <x v="89"/>
    <x v="197"/>
    <x v="345"/>
    <x v="356"/>
    <x v="353"/>
    <x v="356"/>
    <x v="330"/>
    <x v="30"/>
    <x v="32"/>
    <x v="333"/>
    <x v="30"/>
    <x v="0"/>
  </r>
  <r>
    <x v="27"/>
    <x v="0"/>
    <x v="2"/>
    <x v="1"/>
    <x v="6"/>
    <x v="0"/>
    <x v="89"/>
    <x v="35"/>
    <x v="38"/>
    <x v="9"/>
    <x v="213"/>
    <x v="346"/>
    <x v="357"/>
    <x v="354"/>
    <x v="357"/>
    <x v="331"/>
    <x v="115"/>
    <x v="59"/>
    <x v="334"/>
    <x v="115"/>
    <x v="0"/>
  </r>
  <r>
    <x v="29"/>
    <x v="1"/>
    <x v="6"/>
    <x v="2"/>
    <x v="1"/>
    <x v="2"/>
    <x v="84"/>
    <x v="51"/>
    <x v="85"/>
    <x v="66"/>
    <x v="56"/>
    <x v="347"/>
    <x v="358"/>
    <x v="355"/>
    <x v="358"/>
    <x v="332"/>
    <x v="160"/>
    <x v="13"/>
    <x v="335"/>
    <x v="160"/>
    <x v="2"/>
  </r>
  <r>
    <x v="49"/>
    <x v="1"/>
    <x v="0"/>
    <x v="1"/>
    <x v="6"/>
    <x v="1"/>
    <x v="58"/>
    <x v="38"/>
    <x v="11"/>
    <x v="116"/>
    <x v="169"/>
    <x v="348"/>
    <x v="359"/>
    <x v="356"/>
    <x v="359"/>
    <x v="333"/>
    <x v="1"/>
    <x v="178"/>
    <x v="336"/>
    <x v="1"/>
    <x v="1"/>
  </r>
  <r>
    <x v="1"/>
    <x v="1"/>
    <x v="0"/>
    <x v="4"/>
    <x v="1"/>
    <x v="3"/>
    <x v="35"/>
    <x v="13"/>
    <x v="75"/>
    <x v="79"/>
    <x v="238"/>
    <x v="349"/>
    <x v="360"/>
    <x v="357"/>
    <x v="360"/>
    <x v="164"/>
    <x v="0"/>
    <x v="46"/>
    <x v="337"/>
    <x v="0"/>
    <x v="1"/>
  </r>
  <r>
    <x v="18"/>
    <x v="0"/>
    <x v="8"/>
    <x v="3"/>
    <x v="2"/>
    <x v="1"/>
    <x v="107"/>
    <x v="20"/>
    <x v="77"/>
    <x v="91"/>
    <x v="239"/>
    <x v="350"/>
    <x v="361"/>
    <x v="358"/>
    <x v="361"/>
    <x v="334"/>
    <x v="161"/>
    <x v="37"/>
    <x v="338"/>
    <x v="161"/>
    <x v="2"/>
  </r>
  <r>
    <x v="21"/>
    <x v="1"/>
    <x v="8"/>
    <x v="3"/>
    <x v="3"/>
    <x v="3"/>
    <x v="72"/>
    <x v="59"/>
    <x v="72"/>
    <x v="3"/>
    <x v="240"/>
    <x v="351"/>
    <x v="362"/>
    <x v="359"/>
    <x v="362"/>
    <x v="335"/>
    <x v="36"/>
    <x v="18"/>
    <x v="339"/>
    <x v="36"/>
    <x v="0"/>
  </r>
  <r>
    <x v="51"/>
    <x v="1"/>
    <x v="0"/>
    <x v="3"/>
    <x v="3"/>
    <x v="1"/>
    <x v="93"/>
    <x v="4"/>
    <x v="64"/>
    <x v="142"/>
    <x v="105"/>
    <x v="352"/>
    <x v="363"/>
    <x v="360"/>
    <x v="363"/>
    <x v="336"/>
    <x v="108"/>
    <x v="162"/>
    <x v="264"/>
    <x v="108"/>
    <x v="2"/>
  </r>
  <r>
    <x v="50"/>
    <x v="0"/>
    <x v="6"/>
    <x v="4"/>
    <x v="5"/>
    <x v="2"/>
    <x v="59"/>
    <x v="48"/>
    <x v="57"/>
    <x v="84"/>
    <x v="104"/>
    <x v="353"/>
    <x v="364"/>
    <x v="361"/>
    <x v="364"/>
    <x v="337"/>
    <x v="91"/>
    <x v="58"/>
    <x v="340"/>
    <x v="91"/>
    <x v="2"/>
  </r>
  <r>
    <x v="57"/>
    <x v="0"/>
    <x v="5"/>
    <x v="3"/>
    <x v="6"/>
    <x v="2"/>
    <x v="76"/>
    <x v="48"/>
    <x v="49"/>
    <x v="9"/>
    <x v="35"/>
    <x v="354"/>
    <x v="365"/>
    <x v="362"/>
    <x v="365"/>
    <x v="172"/>
    <x v="8"/>
    <x v="70"/>
    <x v="341"/>
    <x v="8"/>
    <x v="0"/>
  </r>
  <r>
    <x v="48"/>
    <x v="0"/>
    <x v="8"/>
    <x v="3"/>
    <x v="4"/>
    <x v="2"/>
    <x v="87"/>
    <x v="8"/>
    <x v="24"/>
    <x v="37"/>
    <x v="42"/>
    <x v="102"/>
    <x v="366"/>
    <x v="363"/>
    <x v="366"/>
    <x v="247"/>
    <x v="36"/>
    <x v="57"/>
    <x v="342"/>
    <x v="36"/>
    <x v="2"/>
  </r>
  <r>
    <x v="25"/>
    <x v="0"/>
    <x v="2"/>
    <x v="3"/>
    <x v="5"/>
    <x v="3"/>
    <x v="5"/>
    <x v="45"/>
    <x v="6"/>
    <x v="26"/>
    <x v="113"/>
    <x v="355"/>
    <x v="367"/>
    <x v="364"/>
    <x v="367"/>
    <x v="338"/>
    <x v="58"/>
    <x v="0"/>
    <x v="343"/>
    <x v="58"/>
    <x v="0"/>
  </r>
  <r>
    <x v="39"/>
    <x v="0"/>
    <x v="6"/>
    <x v="3"/>
    <x v="3"/>
    <x v="0"/>
    <x v="86"/>
    <x v="4"/>
    <x v="21"/>
    <x v="6"/>
    <x v="241"/>
    <x v="356"/>
    <x v="368"/>
    <x v="365"/>
    <x v="368"/>
    <x v="195"/>
    <x v="139"/>
    <x v="12"/>
    <x v="344"/>
    <x v="139"/>
    <x v="2"/>
  </r>
  <r>
    <x v="47"/>
    <x v="0"/>
    <x v="3"/>
    <x v="3"/>
    <x v="2"/>
    <x v="3"/>
    <x v="24"/>
    <x v="70"/>
    <x v="20"/>
    <x v="143"/>
    <x v="242"/>
    <x v="357"/>
    <x v="369"/>
    <x v="366"/>
    <x v="369"/>
    <x v="161"/>
    <x v="95"/>
    <x v="179"/>
    <x v="345"/>
    <x v="95"/>
    <x v="0"/>
  </r>
  <r>
    <x v="9"/>
    <x v="0"/>
    <x v="2"/>
    <x v="1"/>
    <x v="1"/>
    <x v="3"/>
    <x v="22"/>
    <x v="74"/>
    <x v="19"/>
    <x v="135"/>
    <x v="243"/>
    <x v="358"/>
    <x v="370"/>
    <x v="367"/>
    <x v="370"/>
    <x v="339"/>
    <x v="141"/>
    <x v="115"/>
    <x v="346"/>
    <x v="141"/>
    <x v="0"/>
  </r>
  <r>
    <x v="55"/>
    <x v="0"/>
    <x v="4"/>
    <x v="3"/>
    <x v="5"/>
    <x v="0"/>
    <x v="26"/>
    <x v="7"/>
    <x v="17"/>
    <x v="80"/>
    <x v="244"/>
    <x v="359"/>
    <x v="371"/>
    <x v="368"/>
    <x v="371"/>
    <x v="340"/>
    <x v="25"/>
    <x v="168"/>
    <x v="144"/>
    <x v="25"/>
    <x v="2"/>
  </r>
  <r>
    <x v="48"/>
    <x v="1"/>
    <x v="3"/>
    <x v="0"/>
    <x v="1"/>
    <x v="3"/>
    <x v="59"/>
    <x v="72"/>
    <x v="36"/>
    <x v="132"/>
    <x v="245"/>
    <x v="360"/>
    <x v="372"/>
    <x v="369"/>
    <x v="372"/>
    <x v="341"/>
    <x v="139"/>
    <x v="98"/>
    <x v="347"/>
    <x v="139"/>
    <x v="2"/>
  </r>
  <r>
    <x v="24"/>
    <x v="1"/>
    <x v="7"/>
    <x v="1"/>
    <x v="0"/>
    <x v="3"/>
    <x v="70"/>
    <x v="32"/>
    <x v="57"/>
    <x v="144"/>
    <x v="186"/>
    <x v="361"/>
    <x v="373"/>
    <x v="370"/>
    <x v="373"/>
    <x v="342"/>
    <x v="139"/>
    <x v="13"/>
    <x v="348"/>
    <x v="139"/>
    <x v="1"/>
  </r>
  <r>
    <x v="7"/>
    <x v="1"/>
    <x v="4"/>
    <x v="2"/>
    <x v="3"/>
    <x v="2"/>
    <x v="108"/>
    <x v="22"/>
    <x v="9"/>
    <x v="28"/>
    <x v="70"/>
    <x v="362"/>
    <x v="374"/>
    <x v="371"/>
    <x v="374"/>
    <x v="343"/>
    <x v="31"/>
    <x v="82"/>
    <x v="114"/>
    <x v="31"/>
    <x v="2"/>
  </r>
  <r>
    <x v="21"/>
    <x v="1"/>
    <x v="3"/>
    <x v="2"/>
    <x v="2"/>
    <x v="3"/>
    <x v="95"/>
    <x v="66"/>
    <x v="84"/>
    <x v="20"/>
    <x v="52"/>
    <x v="363"/>
    <x v="375"/>
    <x v="372"/>
    <x v="375"/>
    <x v="344"/>
    <x v="110"/>
    <x v="180"/>
    <x v="349"/>
    <x v="110"/>
    <x v="0"/>
  </r>
  <r>
    <x v="24"/>
    <x v="1"/>
    <x v="6"/>
    <x v="2"/>
    <x v="0"/>
    <x v="3"/>
    <x v="32"/>
    <x v="55"/>
    <x v="22"/>
    <x v="80"/>
    <x v="237"/>
    <x v="364"/>
    <x v="376"/>
    <x v="373"/>
    <x v="376"/>
    <x v="345"/>
    <x v="121"/>
    <x v="98"/>
    <x v="350"/>
    <x v="121"/>
    <x v="1"/>
  </r>
  <r>
    <x v="24"/>
    <x v="0"/>
    <x v="5"/>
    <x v="0"/>
    <x v="0"/>
    <x v="0"/>
    <x v="26"/>
    <x v="27"/>
    <x v="9"/>
    <x v="16"/>
    <x v="133"/>
    <x v="365"/>
    <x v="377"/>
    <x v="374"/>
    <x v="377"/>
    <x v="332"/>
    <x v="149"/>
    <x v="60"/>
    <x v="351"/>
    <x v="149"/>
    <x v="1"/>
  </r>
  <r>
    <x v="23"/>
    <x v="1"/>
    <x v="2"/>
    <x v="1"/>
    <x v="0"/>
    <x v="2"/>
    <x v="18"/>
    <x v="2"/>
    <x v="7"/>
    <x v="132"/>
    <x v="87"/>
    <x v="366"/>
    <x v="378"/>
    <x v="375"/>
    <x v="378"/>
    <x v="235"/>
    <x v="46"/>
    <x v="36"/>
    <x v="352"/>
    <x v="46"/>
    <x v="1"/>
  </r>
  <r>
    <x v="34"/>
    <x v="1"/>
    <x v="3"/>
    <x v="2"/>
    <x v="2"/>
    <x v="0"/>
    <x v="3"/>
    <x v="0"/>
    <x v="57"/>
    <x v="115"/>
    <x v="127"/>
    <x v="367"/>
    <x v="379"/>
    <x v="376"/>
    <x v="379"/>
    <x v="346"/>
    <x v="53"/>
    <x v="147"/>
    <x v="209"/>
    <x v="53"/>
    <x v="2"/>
  </r>
  <r>
    <x v="35"/>
    <x v="1"/>
    <x v="0"/>
    <x v="4"/>
    <x v="3"/>
    <x v="2"/>
    <x v="14"/>
    <x v="31"/>
    <x v="86"/>
    <x v="81"/>
    <x v="15"/>
    <x v="368"/>
    <x v="380"/>
    <x v="377"/>
    <x v="380"/>
    <x v="347"/>
    <x v="5"/>
    <x v="29"/>
    <x v="353"/>
    <x v="5"/>
    <x v="2"/>
  </r>
  <r>
    <x v="33"/>
    <x v="0"/>
    <x v="8"/>
    <x v="4"/>
    <x v="4"/>
    <x v="0"/>
    <x v="66"/>
    <x v="5"/>
    <x v="73"/>
    <x v="113"/>
    <x v="158"/>
    <x v="369"/>
    <x v="381"/>
    <x v="378"/>
    <x v="381"/>
    <x v="348"/>
    <x v="49"/>
    <x v="36"/>
    <x v="354"/>
    <x v="49"/>
    <x v="2"/>
  </r>
  <r>
    <x v="13"/>
    <x v="0"/>
    <x v="3"/>
    <x v="2"/>
    <x v="3"/>
    <x v="3"/>
    <x v="48"/>
    <x v="73"/>
    <x v="41"/>
    <x v="22"/>
    <x v="158"/>
    <x v="370"/>
    <x v="382"/>
    <x v="379"/>
    <x v="382"/>
    <x v="349"/>
    <x v="134"/>
    <x v="94"/>
    <x v="355"/>
    <x v="134"/>
    <x v="2"/>
  </r>
  <r>
    <x v="3"/>
    <x v="1"/>
    <x v="9"/>
    <x v="2"/>
    <x v="1"/>
    <x v="3"/>
    <x v="42"/>
    <x v="41"/>
    <x v="21"/>
    <x v="103"/>
    <x v="224"/>
    <x v="371"/>
    <x v="383"/>
    <x v="380"/>
    <x v="383"/>
    <x v="350"/>
    <x v="6"/>
    <x v="139"/>
    <x v="356"/>
    <x v="6"/>
    <x v="0"/>
  </r>
  <r>
    <x v="12"/>
    <x v="0"/>
    <x v="8"/>
    <x v="0"/>
    <x v="6"/>
    <x v="2"/>
    <x v="24"/>
    <x v="77"/>
    <x v="23"/>
    <x v="145"/>
    <x v="132"/>
    <x v="372"/>
    <x v="384"/>
    <x v="381"/>
    <x v="384"/>
    <x v="351"/>
    <x v="116"/>
    <x v="71"/>
    <x v="357"/>
    <x v="116"/>
    <x v="0"/>
  </r>
  <r>
    <x v="1"/>
    <x v="0"/>
    <x v="9"/>
    <x v="1"/>
    <x v="2"/>
    <x v="3"/>
    <x v="52"/>
    <x v="31"/>
    <x v="27"/>
    <x v="11"/>
    <x v="171"/>
    <x v="373"/>
    <x v="385"/>
    <x v="382"/>
    <x v="385"/>
    <x v="352"/>
    <x v="137"/>
    <x v="71"/>
    <x v="358"/>
    <x v="137"/>
    <x v="1"/>
  </r>
  <r>
    <x v="12"/>
    <x v="0"/>
    <x v="8"/>
    <x v="0"/>
    <x v="4"/>
    <x v="0"/>
    <x v="49"/>
    <x v="13"/>
    <x v="72"/>
    <x v="0"/>
    <x v="209"/>
    <x v="374"/>
    <x v="386"/>
    <x v="383"/>
    <x v="386"/>
    <x v="353"/>
    <x v="61"/>
    <x v="168"/>
    <x v="359"/>
    <x v="61"/>
    <x v="0"/>
  </r>
  <r>
    <x v="15"/>
    <x v="1"/>
    <x v="5"/>
    <x v="1"/>
    <x v="3"/>
    <x v="0"/>
    <x v="53"/>
    <x v="24"/>
    <x v="22"/>
    <x v="11"/>
    <x v="246"/>
    <x v="375"/>
    <x v="387"/>
    <x v="384"/>
    <x v="387"/>
    <x v="354"/>
    <x v="99"/>
    <x v="59"/>
    <x v="360"/>
    <x v="99"/>
    <x v="2"/>
  </r>
  <r>
    <x v="53"/>
    <x v="0"/>
    <x v="6"/>
    <x v="3"/>
    <x v="2"/>
    <x v="2"/>
    <x v="26"/>
    <x v="8"/>
    <x v="35"/>
    <x v="14"/>
    <x v="64"/>
    <x v="376"/>
    <x v="388"/>
    <x v="385"/>
    <x v="388"/>
    <x v="355"/>
    <x v="92"/>
    <x v="94"/>
    <x v="361"/>
    <x v="92"/>
    <x v="1"/>
  </r>
  <r>
    <x v="46"/>
    <x v="1"/>
    <x v="3"/>
    <x v="1"/>
    <x v="5"/>
    <x v="0"/>
    <x v="32"/>
    <x v="61"/>
    <x v="31"/>
    <x v="146"/>
    <x v="86"/>
    <x v="377"/>
    <x v="389"/>
    <x v="386"/>
    <x v="389"/>
    <x v="356"/>
    <x v="86"/>
    <x v="94"/>
    <x v="362"/>
    <x v="86"/>
    <x v="1"/>
  </r>
  <r>
    <x v="49"/>
    <x v="1"/>
    <x v="4"/>
    <x v="3"/>
    <x v="5"/>
    <x v="0"/>
    <x v="30"/>
    <x v="15"/>
    <x v="28"/>
    <x v="116"/>
    <x v="0"/>
    <x v="378"/>
    <x v="390"/>
    <x v="387"/>
    <x v="390"/>
    <x v="357"/>
    <x v="94"/>
    <x v="177"/>
    <x v="363"/>
    <x v="94"/>
    <x v="1"/>
  </r>
  <r>
    <x v="3"/>
    <x v="1"/>
    <x v="1"/>
    <x v="2"/>
    <x v="1"/>
    <x v="1"/>
    <x v="52"/>
    <x v="3"/>
    <x v="14"/>
    <x v="16"/>
    <x v="247"/>
    <x v="379"/>
    <x v="391"/>
    <x v="388"/>
    <x v="391"/>
    <x v="358"/>
    <x v="84"/>
    <x v="128"/>
    <x v="364"/>
    <x v="84"/>
    <x v="0"/>
  </r>
  <r>
    <x v="26"/>
    <x v="1"/>
    <x v="1"/>
    <x v="4"/>
    <x v="5"/>
    <x v="3"/>
    <x v="97"/>
    <x v="5"/>
    <x v="33"/>
    <x v="67"/>
    <x v="127"/>
    <x v="380"/>
    <x v="392"/>
    <x v="389"/>
    <x v="392"/>
    <x v="359"/>
    <x v="28"/>
    <x v="62"/>
    <x v="365"/>
    <x v="28"/>
    <x v="2"/>
  </r>
  <r>
    <x v="42"/>
    <x v="0"/>
    <x v="1"/>
    <x v="2"/>
    <x v="5"/>
    <x v="0"/>
    <x v="90"/>
    <x v="30"/>
    <x v="27"/>
    <x v="95"/>
    <x v="96"/>
    <x v="381"/>
    <x v="393"/>
    <x v="390"/>
    <x v="393"/>
    <x v="360"/>
    <x v="80"/>
    <x v="7"/>
    <x v="366"/>
    <x v="80"/>
    <x v="2"/>
  </r>
  <r>
    <x v="28"/>
    <x v="0"/>
    <x v="2"/>
    <x v="3"/>
    <x v="0"/>
    <x v="2"/>
    <x v="84"/>
    <x v="14"/>
    <x v="24"/>
    <x v="145"/>
    <x v="43"/>
    <x v="382"/>
    <x v="394"/>
    <x v="391"/>
    <x v="394"/>
    <x v="361"/>
    <x v="105"/>
    <x v="166"/>
    <x v="367"/>
    <x v="105"/>
    <x v="0"/>
  </r>
  <r>
    <x v="21"/>
    <x v="1"/>
    <x v="1"/>
    <x v="3"/>
    <x v="1"/>
    <x v="3"/>
    <x v="96"/>
    <x v="11"/>
    <x v="85"/>
    <x v="26"/>
    <x v="104"/>
    <x v="383"/>
    <x v="395"/>
    <x v="392"/>
    <x v="395"/>
    <x v="285"/>
    <x v="33"/>
    <x v="48"/>
    <x v="368"/>
    <x v="33"/>
    <x v="0"/>
  </r>
  <r>
    <x v="33"/>
    <x v="0"/>
    <x v="1"/>
    <x v="1"/>
    <x v="0"/>
    <x v="2"/>
    <x v="83"/>
    <x v="63"/>
    <x v="76"/>
    <x v="15"/>
    <x v="237"/>
    <x v="384"/>
    <x v="396"/>
    <x v="393"/>
    <x v="396"/>
    <x v="362"/>
    <x v="115"/>
    <x v="36"/>
    <x v="369"/>
    <x v="115"/>
    <x v="2"/>
  </r>
  <r>
    <x v="12"/>
    <x v="0"/>
    <x v="4"/>
    <x v="1"/>
    <x v="6"/>
    <x v="0"/>
    <x v="55"/>
    <x v="52"/>
    <x v="87"/>
    <x v="89"/>
    <x v="248"/>
    <x v="385"/>
    <x v="397"/>
    <x v="394"/>
    <x v="397"/>
    <x v="363"/>
    <x v="147"/>
    <x v="25"/>
    <x v="370"/>
    <x v="147"/>
    <x v="0"/>
  </r>
  <r>
    <x v="24"/>
    <x v="0"/>
    <x v="7"/>
    <x v="0"/>
    <x v="0"/>
    <x v="2"/>
    <x v="78"/>
    <x v="24"/>
    <x v="38"/>
    <x v="35"/>
    <x v="249"/>
    <x v="386"/>
    <x v="398"/>
    <x v="395"/>
    <x v="398"/>
    <x v="364"/>
    <x v="108"/>
    <x v="85"/>
    <x v="371"/>
    <x v="108"/>
    <x v="1"/>
  </r>
  <r>
    <x v="56"/>
    <x v="0"/>
    <x v="4"/>
    <x v="2"/>
    <x v="3"/>
    <x v="0"/>
    <x v="109"/>
    <x v="9"/>
    <x v="30"/>
    <x v="75"/>
    <x v="15"/>
    <x v="387"/>
    <x v="257"/>
    <x v="396"/>
    <x v="399"/>
    <x v="365"/>
    <x v="39"/>
    <x v="55"/>
    <x v="372"/>
    <x v="39"/>
    <x v="2"/>
  </r>
  <r>
    <x v="35"/>
    <x v="1"/>
    <x v="3"/>
    <x v="4"/>
    <x v="0"/>
    <x v="1"/>
    <x v="103"/>
    <x v="65"/>
    <x v="73"/>
    <x v="96"/>
    <x v="120"/>
    <x v="388"/>
    <x v="399"/>
    <x v="397"/>
    <x v="400"/>
    <x v="366"/>
    <x v="43"/>
    <x v="181"/>
    <x v="373"/>
    <x v="43"/>
    <x v="2"/>
  </r>
  <r>
    <x v="30"/>
    <x v="0"/>
    <x v="1"/>
    <x v="1"/>
    <x v="0"/>
    <x v="1"/>
    <x v="81"/>
    <x v="76"/>
    <x v="29"/>
    <x v="129"/>
    <x v="209"/>
    <x v="389"/>
    <x v="400"/>
    <x v="398"/>
    <x v="401"/>
    <x v="367"/>
    <x v="162"/>
    <x v="144"/>
    <x v="374"/>
    <x v="162"/>
    <x v="1"/>
  </r>
  <r>
    <x v="18"/>
    <x v="1"/>
    <x v="1"/>
    <x v="1"/>
    <x v="3"/>
    <x v="3"/>
    <x v="50"/>
    <x v="72"/>
    <x v="3"/>
    <x v="147"/>
    <x v="77"/>
    <x v="390"/>
    <x v="401"/>
    <x v="399"/>
    <x v="402"/>
    <x v="368"/>
    <x v="76"/>
    <x v="59"/>
    <x v="262"/>
    <x v="76"/>
    <x v="2"/>
  </r>
  <r>
    <x v="21"/>
    <x v="0"/>
    <x v="1"/>
    <x v="0"/>
    <x v="4"/>
    <x v="1"/>
    <x v="17"/>
    <x v="21"/>
    <x v="83"/>
    <x v="148"/>
    <x v="250"/>
    <x v="391"/>
    <x v="402"/>
    <x v="400"/>
    <x v="403"/>
    <x v="369"/>
    <x v="68"/>
    <x v="18"/>
    <x v="375"/>
    <x v="68"/>
    <x v="0"/>
  </r>
  <r>
    <x v="7"/>
    <x v="1"/>
    <x v="7"/>
    <x v="3"/>
    <x v="4"/>
    <x v="0"/>
    <x v="110"/>
    <x v="7"/>
    <x v="44"/>
    <x v="43"/>
    <x v="251"/>
    <x v="392"/>
    <x v="403"/>
    <x v="401"/>
    <x v="404"/>
    <x v="370"/>
    <x v="163"/>
    <x v="19"/>
    <x v="376"/>
    <x v="163"/>
    <x v="2"/>
  </r>
  <r>
    <x v="10"/>
    <x v="0"/>
    <x v="3"/>
    <x v="2"/>
    <x v="6"/>
    <x v="3"/>
    <x v="54"/>
    <x v="46"/>
    <x v="58"/>
    <x v="149"/>
    <x v="252"/>
    <x v="393"/>
    <x v="404"/>
    <x v="402"/>
    <x v="405"/>
    <x v="371"/>
    <x v="68"/>
    <x v="93"/>
    <x v="91"/>
    <x v="68"/>
    <x v="2"/>
  </r>
  <r>
    <x v="23"/>
    <x v="1"/>
    <x v="2"/>
    <x v="0"/>
    <x v="6"/>
    <x v="2"/>
    <x v="52"/>
    <x v="64"/>
    <x v="45"/>
    <x v="44"/>
    <x v="253"/>
    <x v="394"/>
    <x v="405"/>
    <x v="403"/>
    <x v="406"/>
    <x v="372"/>
    <x v="75"/>
    <x v="142"/>
    <x v="377"/>
    <x v="75"/>
    <x v="1"/>
  </r>
  <r>
    <x v="46"/>
    <x v="1"/>
    <x v="7"/>
    <x v="0"/>
    <x v="4"/>
    <x v="0"/>
    <x v="6"/>
    <x v="61"/>
    <x v="32"/>
    <x v="99"/>
    <x v="208"/>
    <x v="395"/>
    <x v="406"/>
    <x v="404"/>
    <x v="407"/>
    <x v="323"/>
    <x v="81"/>
    <x v="46"/>
    <x v="378"/>
    <x v="81"/>
    <x v="1"/>
  </r>
  <r>
    <x v="44"/>
    <x v="0"/>
    <x v="0"/>
    <x v="2"/>
    <x v="4"/>
    <x v="1"/>
    <x v="85"/>
    <x v="10"/>
    <x v="19"/>
    <x v="133"/>
    <x v="120"/>
    <x v="396"/>
    <x v="407"/>
    <x v="405"/>
    <x v="408"/>
    <x v="373"/>
    <x v="120"/>
    <x v="152"/>
    <x v="379"/>
    <x v="120"/>
    <x v="2"/>
  </r>
  <r>
    <x v="55"/>
    <x v="0"/>
    <x v="8"/>
    <x v="0"/>
    <x v="2"/>
    <x v="1"/>
    <x v="111"/>
    <x v="4"/>
    <x v="79"/>
    <x v="133"/>
    <x v="249"/>
    <x v="397"/>
    <x v="408"/>
    <x v="406"/>
    <x v="409"/>
    <x v="374"/>
    <x v="80"/>
    <x v="116"/>
    <x v="380"/>
    <x v="80"/>
    <x v="2"/>
  </r>
  <r>
    <x v="57"/>
    <x v="0"/>
    <x v="9"/>
    <x v="0"/>
    <x v="6"/>
    <x v="3"/>
    <x v="112"/>
    <x v="67"/>
    <x v="0"/>
    <x v="46"/>
    <x v="254"/>
    <x v="398"/>
    <x v="409"/>
    <x v="407"/>
    <x v="410"/>
    <x v="375"/>
    <x v="51"/>
    <x v="110"/>
    <x v="381"/>
    <x v="51"/>
    <x v="0"/>
  </r>
  <r>
    <x v="12"/>
    <x v="1"/>
    <x v="3"/>
    <x v="0"/>
    <x v="0"/>
    <x v="3"/>
    <x v="74"/>
    <x v="44"/>
    <x v="72"/>
    <x v="37"/>
    <x v="255"/>
    <x v="399"/>
    <x v="410"/>
    <x v="366"/>
    <x v="411"/>
    <x v="376"/>
    <x v="22"/>
    <x v="182"/>
    <x v="382"/>
    <x v="22"/>
    <x v="0"/>
  </r>
  <r>
    <x v="30"/>
    <x v="1"/>
    <x v="8"/>
    <x v="1"/>
    <x v="1"/>
    <x v="1"/>
    <x v="82"/>
    <x v="20"/>
    <x v="48"/>
    <x v="26"/>
    <x v="256"/>
    <x v="400"/>
    <x v="411"/>
    <x v="408"/>
    <x v="412"/>
    <x v="377"/>
    <x v="164"/>
    <x v="83"/>
    <x v="383"/>
    <x v="164"/>
    <x v="1"/>
  </r>
  <r>
    <x v="31"/>
    <x v="1"/>
    <x v="4"/>
    <x v="1"/>
    <x v="4"/>
    <x v="1"/>
    <x v="58"/>
    <x v="34"/>
    <x v="49"/>
    <x v="57"/>
    <x v="112"/>
    <x v="401"/>
    <x v="412"/>
    <x v="409"/>
    <x v="413"/>
    <x v="378"/>
    <x v="66"/>
    <x v="183"/>
    <x v="384"/>
    <x v="66"/>
    <x v="2"/>
  </r>
  <r>
    <x v="52"/>
    <x v="0"/>
    <x v="8"/>
    <x v="3"/>
    <x v="4"/>
    <x v="0"/>
    <x v="47"/>
    <x v="11"/>
    <x v="6"/>
    <x v="97"/>
    <x v="203"/>
    <x v="402"/>
    <x v="413"/>
    <x v="410"/>
    <x v="414"/>
    <x v="379"/>
    <x v="139"/>
    <x v="79"/>
    <x v="385"/>
    <x v="139"/>
    <x v="2"/>
  </r>
  <r>
    <x v="51"/>
    <x v="0"/>
    <x v="5"/>
    <x v="0"/>
    <x v="0"/>
    <x v="0"/>
    <x v="113"/>
    <x v="77"/>
    <x v="69"/>
    <x v="150"/>
    <x v="257"/>
    <x v="403"/>
    <x v="414"/>
    <x v="411"/>
    <x v="415"/>
    <x v="380"/>
    <x v="101"/>
    <x v="31"/>
    <x v="386"/>
    <x v="101"/>
    <x v="2"/>
  </r>
  <r>
    <x v="38"/>
    <x v="1"/>
    <x v="9"/>
    <x v="2"/>
    <x v="6"/>
    <x v="0"/>
    <x v="56"/>
    <x v="61"/>
    <x v="15"/>
    <x v="138"/>
    <x v="85"/>
    <x v="404"/>
    <x v="415"/>
    <x v="412"/>
    <x v="416"/>
    <x v="381"/>
    <x v="74"/>
    <x v="13"/>
    <x v="387"/>
    <x v="74"/>
    <x v="2"/>
  </r>
  <r>
    <x v="31"/>
    <x v="0"/>
    <x v="5"/>
    <x v="2"/>
    <x v="4"/>
    <x v="3"/>
    <x v="7"/>
    <x v="53"/>
    <x v="4"/>
    <x v="151"/>
    <x v="175"/>
    <x v="405"/>
    <x v="416"/>
    <x v="413"/>
    <x v="417"/>
    <x v="382"/>
    <x v="146"/>
    <x v="24"/>
    <x v="388"/>
    <x v="146"/>
    <x v="2"/>
  </r>
  <r>
    <x v="39"/>
    <x v="0"/>
    <x v="7"/>
    <x v="0"/>
    <x v="0"/>
    <x v="0"/>
    <x v="114"/>
    <x v="35"/>
    <x v="51"/>
    <x v="133"/>
    <x v="258"/>
    <x v="406"/>
    <x v="417"/>
    <x v="414"/>
    <x v="418"/>
    <x v="383"/>
    <x v="0"/>
    <x v="154"/>
    <x v="389"/>
    <x v="0"/>
    <x v="2"/>
  </r>
  <r>
    <x v="23"/>
    <x v="1"/>
    <x v="8"/>
    <x v="3"/>
    <x v="0"/>
    <x v="0"/>
    <x v="109"/>
    <x v="5"/>
    <x v="15"/>
    <x v="152"/>
    <x v="236"/>
    <x v="407"/>
    <x v="418"/>
    <x v="415"/>
    <x v="419"/>
    <x v="384"/>
    <x v="20"/>
    <x v="23"/>
    <x v="390"/>
    <x v="20"/>
    <x v="1"/>
  </r>
  <r>
    <x v="51"/>
    <x v="0"/>
    <x v="3"/>
    <x v="3"/>
    <x v="5"/>
    <x v="3"/>
    <x v="98"/>
    <x v="45"/>
    <x v="69"/>
    <x v="122"/>
    <x v="127"/>
    <x v="408"/>
    <x v="419"/>
    <x v="416"/>
    <x v="420"/>
    <x v="385"/>
    <x v="34"/>
    <x v="117"/>
    <x v="391"/>
    <x v="34"/>
    <x v="2"/>
  </r>
  <r>
    <x v="19"/>
    <x v="0"/>
    <x v="7"/>
    <x v="0"/>
    <x v="2"/>
    <x v="0"/>
    <x v="98"/>
    <x v="37"/>
    <x v="59"/>
    <x v="122"/>
    <x v="224"/>
    <x v="409"/>
    <x v="420"/>
    <x v="417"/>
    <x v="421"/>
    <x v="386"/>
    <x v="159"/>
    <x v="37"/>
    <x v="392"/>
    <x v="159"/>
    <x v="1"/>
  </r>
  <r>
    <x v="51"/>
    <x v="1"/>
    <x v="4"/>
    <x v="3"/>
    <x v="3"/>
    <x v="0"/>
    <x v="51"/>
    <x v="50"/>
    <x v="88"/>
    <x v="95"/>
    <x v="95"/>
    <x v="410"/>
    <x v="421"/>
    <x v="418"/>
    <x v="422"/>
    <x v="241"/>
    <x v="61"/>
    <x v="50"/>
    <x v="393"/>
    <x v="61"/>
    <x v="2"/>
  </r>
  <r>
    <x v="41"/>
    <x v="0"/>
    <x v="8"/>
    <x v="0"/>
    <x v="2"/>
    <x v="1"/>
    <x v="37"/>
    <x v="75"/>
    <x v="73"/>
    <x v="71"/>
    <x v="259"/>
    <x v="411"/>
    <x v="422"/>
    <x v="419"/>
    <x v="423"/>
    <x v="387"/>
    <x v="19"/>
    <x v="46"/>
    <x v="394"/>
    <x v="19"/>
    <x v="2"/>
  </r>
  <r>
    <x v="39"/>
    <x v="1"/>
    <x v="2"/>
    <x v="3"/>
    <x v="4"/>
    <x v="1"/>
    <x v="53"/>
    <x v="17"/>
    <x v="70"/>
    <x v="146"/>
    <x v="48"/>
    <x v="43"/>
    <x v="423"/>
    <x v="420"/>
    <x v="424"/>
    <x v="329"/>
    <x v="103"/>
    <x v="25"/>
    <x v="395"/>
    <x v="103"/>
    <x v="2"/>
  </r>
  <r>
    <x v="46"/>
    <x v="1"/>
    <x v="0"/>
    <x v="0"/>
    <x v="0"/>
    <x v="1"/>
    <x v="54"/>
    <x v="52"/>
    <x v="83"/>
    <x v="123"/>
    <x v="260"/>
    <x v="412"/>
    <x v="424"/>
    <x v="421"/>
    <x v="425"/>
    <x v="171"/>
    <x v="77"/>
    <x v="96"/>
    <x v="396"/>
    <x v="77"/>
    <x v="1"/>
  </r>
  <r>
    <x v="20"/>
    <x v="1"/>
    <x v="1"/>
    <x v="1"/>
    <x v="2"/>
    <x v="0"/>
    <x v="57"/>
    <x v="0"/>
    <x v="58"/>
    <x v="9"/>
    <x v="221"/>
    <x v="413"/>
    <x v="425"/>
    <x v="422"/>
    <x v="426"/>
    <x v="388"/>
    <x v="165"/>
    <x v="79"/>
    <x v="91"/>
    <x v="165"/>
    <x v="1"/>
  </r>
  <r>
    <x v="0"/>
    <x v="0"/>
    <x v="2"/>
    <x v="1"/>
    <x v="3"/>
    <x v="3"/>
    <x v="103"/>
    <x v="32"/>
    <x v="84"/>
    <x v="108"/>
    <x v="140"/>
    <x v="414"/>
    <x v="426"/>
    <x v="423"/>
    <x v="427"/>
    <x v="389"/>
    <x v="103"/>
    <x v="136"/>
    <x v="397"/>
    <x v="103"/>
    <x v="0"/>
  </r>
  <r>
    <x v="20"/>
    <x v="0"/>
    <x v="9"/>
    <x v="3"/>
    <x v="0"/>
    <x v="3"/>
    <x v="16"/>
    <x v="26"/>
    <x v="7"/>
    <x v="62"/>
    <x v="113"/>
    <x v="415"/>
    <x v="427"/>
    <x v="424"/>
    <x v="428"/>
    <x v="390"/>
    <x v="21"/>
    <x v="168"/>
    <x v="398"/>
    <x v="21"/>
    <x v="1"/>
  </r>
  <r>
    <x v="40"/>
    <x v="1"/>
    <x v="7"/>
    <x v="2"/>
    <x v="1"/>
    <x v="2"/>
    <x v="94"/>
    <x v="49"/>
    <x v="6"/>
    <x v="64"/>
    <x v="60"/>
    <x v="416"/>
    <x v="428"/>
    <x v="425"/>
    <x v="429"/>
    <x v="391"/>
    <x v="62"/>
    <x v="6"/>
    <x v="399"/>
    <x v="62"/>
    <x v="2"/>
  </r>
  <r>
    <x v="11"/>
    <x v="0"/>
    <x v="8"/>
    <x v="3"/>
    <x v="4"/>
    <x v="2"/>
    <x v="34"/>
    <x v="57"/>
    <x v="0"/>
    <x v="134"/>
    <x v="129"/>
    <x v="417"/>
    <x v="429"/>
    <x v="426"/>
    <x v="430"/>
    <x v="392"/>
    <x v="106"/>
    <x v="184"/>
    <x v="400"/>
    <x v="106"/>
    <x v="1"/>
  </r>
  <r>
    <x v="59"/>
    <x v="1"/>
    <x v="5"/>
    <x v="3"/>
    <x v="5"/>
    <x v="1"/>
    <x v="1"/>
    <x v="6"/>
    <x v="51"/>
    <x v="40"/>
    <x v="23"/>
    <x v="418"/>
    <x v="430"/>
    <x v="427"/>
    <x v="431"/>
    <x v="233"/>
    <x v="77"/>
    <x v="129"/>
    <x v="401"/>
    <x v="77"/>
    <x v="0"/>
  </r>
  <r>
    <x v="50"/>
    <x v="0"/>
    <x v="6"/>
    <x v="2"/>
    <x v="6"/>
    <x v="0"/>
    <x v="56"/>
    <x v="73"/>
    <x v="54"/>
    <x v="114"/>
    <x v="151"/>
    <x v="419"/>
    <x v="431"/>
    <x v="428"/>
    <x v="432"/>
    <x v="393"/>
    <x v="80"/>
    <x v="123"/>
    <x v="402"/>
    <x v="80"/>
    <x v="2"/>
  </r>
  <r>
    <x v="17"/>
    <x v="1"/>
    <x v="8"/>
    <x v="3"/>
    <x v="6"/>
    <x v="0"/>
    <x v="78"/>
    <x v="62"/>
    <x v="48"/>
    <x v="153"/>
    <x v="261"/>
    <x v="420"/>
    <x v="432"/>
    <x v="429"/>
    <x v="433"/>
    <x v="394"/>
    <x v="134"/>
    <x v="64"/>
    <x v="403"/>
    <x v="134"/>
    <x v="1"/>
  </r>
  <r>
    <x v="27"/>
    <x v="0"/>
    <x v="9"/>
    <x v="0"/>
    <x v="1"/>
    <x v="3"/>
    <x v="108"/>
    <x v="35"/>
    <x v="9"/>
    <x v="154"/>
    <x v="218"/>
    <x v="421"/>
    <x v="433"/>
    <x v="430"/>
    <x v="434"/>
    <x v="304"/>
    <x v="56"/>
    <x v="151"/>
    <x v="404"/>
    <x v="56"/>
    <x v="0"/>
  </r>
  <r>
    <x v="17"/>
    <x v="0"/>
    <x v="4"/>
    <x v="3"/>
    <x v="0"/>
    <x v="3"/>
    <x v="55"/>
    <x v="70"/>
    <x v="44"/>
    <x v="24"/>
    <x v="97"/>
    <x v="422"/>
    <x v="434"/>
    <x v="431"/>
    <x v="435"/>
    <x v="395"/>
    <x v="155"/>
    <x v="119"/>
    <x v="405"/>
    <x v="155"/>
    <x v="1"/>
  </r>
  <r>
    <x v="39"/>
    <x v="1"/>
    <x v="7"/>
    <x v="1"/>
    <x v="1"/>
    <x v="2"/>
    <x v="1"/>
    <x v="69"/>
    <x v="29"/>
    <x v="11"/>
    <x v="244"/>
    <x v="423"/>
    <x v="435"/>
    <x v="432"/>
    <x v="436"/>
    <x v="396"/>
    <x v="80"/>
    <x v="121"/>
    <x v="406"/>
    <x v="80"/>
    <x v="2"/>
  </r>
  <r>
    <x v="5"/>
    <x v="0"/>
    <x v="2"/>
    <x v="2"/>
    <x v="6"/>
    <x v="3"/>
    <x v="90"/>
    <x v="36"/>
    <x v="59"/>
    <x v="54"/>
    <x v="100"/>
    <x v="424"/>
    <x v="436"/>
    <x v="433"/>
    <x v="437"/>
    <x v="397"/>
    <x v="129"/>
    <x v="86"/>
    <x v="407"/>
    <x v="129"/>
    <x v="2"/>
  </r>
  <r>
    <x v="7"/>
    <x v="0"/>
    <x v="5"/>
    <x v="1"/>
    <x v="5"/>
    <x v="2"/>
    <x v="87"/>
    <x v="43"/>
    <x v="20"/>
    <x v="14"/>
    <x v="262"/>
    <x v="425"/>
    <x v="437"/>
    <x v="434"/>
    <x v="438"/>
    <x v="398"/>
    <x v="8"/>
    <x v="36"/>
    <x v="21"/>
    <x v="8"/>
    <x v="2"/>
  </r>
  <r>
    <x v="55"/>
    <x v="1"/>
    <x v="2"/>
    <x v="3"/>
    <x v="1"/>
    <x v="1"/>
    <x v="94"/>
    <x v="69"/>
    <x v="13"/>
    <x v="88"/>
    <x v="263"/>
    <x v="426"/>
    <x v="438"/>
    <x v="435"/>
    <x v="439"/>
    <x v="399"/>
    <x v="66"/>
    <x v="107"/>
    <x v="408"/>
    <x v="66"/>
    <x v="2"/>
  </r>
  <r>
    <x v="59"/>
    <x v="1"/>
    <x v="5"/>
    <x v="3"/>
    <x v="2"/>
    <x v="2"/>
    <x v="38"/>
    <x v="38"/>
    <x v="39"/>
    <x v="43"/>
    <x v="120"/>
    <x v="427"/>
    <x v="439"/>
    <x v="436"/>
    <x v="440"/>
    <x v="400"/>
    <x v="59"/>
    <x v="138"/>
    <x v="409"/>
    <x v="59"/>
    <x v="0"/>
  </r>
  <r>
    <x v="47"/>
    <x v="1"/>
    <x v="7"/>
    <x v="1"/>
    <x v="5"/>
    <x v="0"/>
    <x v="34"/>
    <x v="61"/>
    <x v="30"/>
    <x v="102"/>
    <x v="26"/>
    <x v="85"/>
    <x v="440"/>
    <x v="282"/>
    <x v="441"/>
    <x v="401"/>
    <x v="27"/>
    <x v="154"/>
    <x v="410"/>
    <x v="27"/>
    <x v="0"/>
  </r>
  <r>
    <x v="31"/>
    <x v="0"/>
    <x v="9"/>
    <x v="4"/>
    <x v="2"/>
    <x v="1"/>
    <x v="84"/>
    <x v="31"/>
    <x v="80"/>
    <x v="132"/>
    <x v="135"/>
    <x v="428"/>
    <x v="441"/>
    <x v="437"/>
    <x v="442"/>
    <x v="351"/>
    <x v="21"/>
    <x v="69"/>
    <x v="411"/>
    <x v="21"/>
    <x v="2"/>
  </r>
  <r>
    <x v="45"/>
    <x v="1"/>
    <x v="4"/>
    <x v="2"/>
    <x v="3"/>
    <x v="0"/>
    <x v="34"/>
    <x v="75"/>
    <x v="58"/>
    <x v="88"/>
    <x v="264"/>
    <x v="429"/>
    <x v="442"/>
    <x v="438"/>
    <x v="443"/>
    <x v="402"/>
    <x v="160"/>
    <x v="18"/>
    <x v="91"/>
    <x v="160"/>
    <x v="2"/>
  </r>
  <r>
    <x v="41"/>
    <x v="1"/>
    <x v="8"/>
    <x v="4"/>
    <x v="3"/>
    <x v="0"/>
    <x v="1"/>
    <x v="13"/>
    <x v="23"/>
    <x v="76"/>
    <x v="135"/>
    <x v="430"/>
    <x v="443"/>
    <x v="439"/>
    <x v="444"/>
    <x v="403"/>
    <x v="108"/>
    <x v="185"/>
    <x v="412"/>
    <x v="108"/>
    <x v="2"/>
  </r>
  <r>
    <x v="11"/>
    <x v="1"/>
    <x v="5"/>
    <x v="2"/>
    <x v="6"/>
    <x v="3"/>
    <x v="78"/>
    <x v="4"/>
    <x v="41"/>
    <x v="36"/>
    <x v="30"/>
    <x v="431"/>
    <x v="444"/>
    <x v="440"/>
    <x v="445"/>
    <x v="404"/>
    <x v="110"/>
    <x v="10"/>
    <x v="413"/>
    <x v="110"/>
    <x v="1"/>
  </r>
  <r>
    <x v="54"/>
    <x v="1"/>
    <x v="8"/>
    <x v="4"/>
    <x v="4"/>
    <x v="2"/>
    <x v="5"/>
    <x v="55"/>
    <x v="22"/>
    <x v="9"/>
    <x v="265"/>
    <x v="432"/>
    <x v="445"/>
    <x v="441"/>
    <x v="446"/>
    <x v="405"/>
    <x v="89"/>
    <x v="118"/>
    <x v="251"/>
    <x v="89"/>
    <x v="0"/>
  </r>
  <r>
    <x v="52"/>
    <x v="0"/>
    <x v="1"/>
    <x v="2"/>
    <x v="0"/>
    <x v="2"/>
    <x v="20"/>
    <x v="8"/>
    <x v="77"/>
    <x v="51"/>
    <x v="257"/>
    <x v="433"/>
    <x v="446"/>
    <x v="442"/>
    <x v="447"/>
    <x v="406"/>
    <x v="9"/>
    <x v="55"/>
    <x v="414"/>
    <x v="9"/>
    <x v="2"/>
  </r>
  <r>
    <x v="36"/>
    <x v="0"/>
    <x v="4"/>
    <x v="0"/>
    <x v="5"/>
    <x v="3"/>
    <x v="47"/>
    <x v="48"/>
    <x v="57"/>
    <x v="46"/>
    <x v="7"/>
    <x v="434"/>
    <x v="447"/>
    <x v="443"/>
    <x v="448"/>
    <x v="407"/>
    <x v="0"/>
    <x v="153"/>
    <x v="415"/>
    <x v="0"/>
    <x v="1"/>
  </r>
  <r>
    <x v="48"/>
    <x v="0"/>
    <x v="9"/>
    <x v="0"/>
    <x v="3"/>
    <x v="2"/>
    <x v="27"/>
    <x v="30"/>
    <x v="33"/>
    <x v="150"/>
    <x v="36"/>
    <x v="435"/>
    <x v="448"/>
    <x v="444"/>
    <x v="449"/>
    <x v="408"/>
    <x v="25"/>
    <x v="63"/>
    <x v="416"/>
    <x v="25"/>
    <x v="2"/>
  </r>
  <r>
    <x v="42"/>
    <x v="1"/>
    <x v="9"/>
    <x v="1"/>
    <x v="3"/>
    <x v="3"/>
    <x v="96"/>
    <x v="64"/>
    <x v="23"/>
    <x v="133"/>
    <x v="13"/>
    <x v="436"/>
    <x v="449"/>
    <x v="445"/>
    <x v="450"/>
    <x v="57"/>
    <x v="105"/>
    <x v="68"/>
    <x v="417"/>
    <x v="105"/>
    <x v="2"/>
  </r>
  <r>
    <x v="28"/>
    <x v="1"/>
    <x v="0"/>
    <x v="2"/>
    <x v="2"/>
    <x v="0"/>
    <x v="97"/>
    <x v="46"/>
    <x v="33"/>
    <x v="9"/>
    <x v="10"/>
    <x v="437"/>
    <x v="450"/>
    <x v="446"/>
    <x v="451"/>
    <x v="200"/>
    <x v="74"/>
    <x v="74"/>
    <x v="418"/>
    <x v="74"/>
    <x v="0"/>
  </r>
  <r>
    <x v="45"/>
    <x v="0"/>
    <x v="1"/>
    <x v="0"/>
    <x v="0"/>
    <x v="0"/>
    <x v="106"/>
    <x v="50"/>
    <x v="51"/>
    <x v="138"/>
    <x v="266"/>
    <x v="438"/>
    <x v="451"/>
    <x v="447"/>
    <x v="452"/>
    <x v="409"/>
    <x v="25"/>
    <x v="10"/>
    <x v="419"/>
    <x v="25"/>
    <x v="2"/>
  </r>
  <r>
    <x v="14"/>
    <x v="0"/>
    <x v="2"/>
    <x v="1"/>
    <x v="3"/>
    <x v="0"/>
    <x v="37"/>
    <x v="30"/>
    <x v="64"/>
    <x v="82"/>
    <x v="19"/>
    <x v="439"/>
    <x v="452"/>
    <x v="448"/>
    <x v="453"/>
    <x v="410"/>
    <x v="50"/>
    <x v="42"/>
    <x v="4"/>
    <x v="50"/>
    <x v="2"/>
  </r>
  <r>
    <x v="7"/>
    <x v="0"/>
    <x v="0"/>
    <x v="3"/>
    <x v="1"/>
    <x v="2"/>
    <x v="48"/>
    <x v="36"/>
    <x v="82"/>
    <x v="155"/>
    <x v="267"/>
    <x v="440"/>
    <x v="453"/>
    <x v="449"/>
    <x v="454"/>
    <x v="411"/>
    <x v="85"/>
    <x v="145"/>
    <x v="420"/>
    <x v="85"/>
    <x v="2"/>
  </r>
  <r>
    <x v="19"/>
    <x v="1"/>
    <x v="4"/>
    <x v="1"/>
    <x v="3"/>
    <x v="0"/>
    <x v="86"/>
    <x v="36"/>
    <x v="79"/>
    <x v="48"/>
    <x v="185"/>
    <x v="441"/>
    <x v="454"/>
    <x v="450"/>
    <x v="455"/>
    <x v="412"/>
    <x v="12"/>
    <x v="127"/>
    <x v="421"/>
    <x v="12"/>
    <x v="1"/>
  </r>
  <r>
    <x v="11"/>
    <x v="1"/>
    <x v="9"/>
    <x v="3"/>
    <x v="5"/>
    <x v="1"/>
    <x v="30"/>
    <x v="6"/>
    <x v="40"/>
    <x v="49"/>
    <x v="140"/>
    <x v="442"/>
    <x v="455"/>
    <x v="451"/>
    <x v="456"/>
    <x v="413"/>
    <x v="153"/>
    <x v="186"/>
    <x v="422"/>
    <x v="153"/>
    <x v="1"/>
  </r>
  <r>
    <x v="53"/>
    <x v="0"/>
    <x v="7"/>
    <x v="0"/>
    <x v="4"/>
    <x v="3"/>
    <x v="98"/>
    <x v="14"/>
    <x v="64"/>
    <x v="32"/>
    <x v="268"/>
    <x v="443"/>
    <x v="456"/>
    <x v="452"/>
    <x v="457"/>
    <x v="414"/>
    <x v="143"/>
    <x v="78"/>
    <x v="423"/>
    <x v="143"/>
    <x v="1"/>
  </r>
  <r>
    <x v="26"/>
    <x v="0"/>
    <x v="9"/>
    <x v="0"/>
    <x v="1"/>
    <x v="2"/>
    <x v="59"/>
    <x v="23"/>
    <x v="9"/>
    <x v="50"/>
    <x v="25"/>
    <x v="444"/>
    <x v="457"/>
    <x v="453"/>
    <x v="458"/>
    <x v="415"/>
    <x v="8"/>
    <x v="73"/>
    <x v="424"/>
    <x v="8"/>
    <x v="2"/>
  </r>
  <r>
    <x v="49"/>
    <x v="1"/>
    <x v="9"/>
    <x v="0"/>
    <x v="3"/>
    <x v="0"/>
    <x v="21"/>
    <x v="31"/>
    <x v="10"/>
    <x v="118"/>
    <x v="85"/>
    <x v="445"/>
    <x v="458"/>
    <x v="354"/>
    <x v="459"/>
    <x v="416"/>
    <x v="77"/>
    <x v="106"/>
    <x v="425"/>
    <x v="77"/>
    <x v="1"/>
  </r>
  <r>
    <x v="57"/>
    <x v="1"/>
    <x v="3"/>
    <x v="4"/>
    <x v="5"/>
    <x v="2"/>
    <x v="106"/>
    <x v="71"/>
    <x v="30"/>
    <x v="96"/>
    <x v="269"/>
    <x v="446"/>
    <x v="459"/>
    <x v="454"/>
    <x v="460"/>
    <x v="417"/>
    <x v="136"/>
    <x v="69"/>
    <x v="426"/>
    <x v="136"/>
    <x v="0"/>
  </r>
  <r>
    <x v="29"/>
    <x v="1"/>
    <x v="0"/>
    <x v="1"/>
    <x v="0"/>
    <x v="2"/>
    <x v="46"/>
    <x v="57"/>
    <x v="45"/>
    <x v="115"/>
    <x v="270"/>
    <x v="4"/>
    <x v="460"/>
    <x v="455"/>
    <x v="461"/>
    <x v="418"/>
    <x v="155"/>
    <x v="33"/>
    <x v="427"/>
    <x v="155"/>
    <x v="2"/>
  </r>
  <r>
    <x v="4"/>
    <x v="1"/>
    <x v="3"/>
    <x v="4"/>
    <x v="1"/>
    <x v="2"/>
    <x v="50"/>
    <x v="38"/>
    <x v="52"/>
    <x v="156"/>
    <x v="76"/>
    <x v="447"/>
    <x v="461"/>
    <x v="456"/>
    <x v="462"/>
    <x v="419"/>
    <x v="51"/>
    <x v="31"/>
    <x v="428"/>
    <x v="51"/>
    <x v="1"/>
  </r>
  <r>
    <x v="38"/>
    <x v="0"/>
    <x v="4"/>
    <x v="2"/>
    <x v="4"/>
    <x v="1"/>
    <x v="16"/>
    <x v="41"/>
    <x v="16"/>
    <x v="62"/>
    <x v="271"/>
    <x v="448"/>
    <x v="462"/>
    <x v="457"/>
    <x v="463"/>
    <x v="420"/>
    <x v="5"/>
    <x v="64"/>
    <x v="429"/>
    <x v="5"/>
    <x v="2"/>
  </r>
  <r>
    <x v="14"/>
    <x v="0"/>
    <x v="3"/>
    <x v="0"/>
    <x v="0"/>
    <x v="0"/>
    <x v="109"/>
    <x v="61"/>
    <x v="19"/>
    <x v="20"/>
    <x v="229"/>
    <x v="449"/>
    <x v="463"/>
    <x v="458"/>
    <x v="464"/>
    <x v="421"/>
    <x v="132"/>
    <x v="174"/>
    <x v="430"/>
    <x v="132"/>
    <x v="2"/>
  </r>
  <r>
    <x v="45"/>
    <x v="1"/>
    <x v="2"/>
    <x v="2"/>
    <x v="2"/>
    <x v="3"/>
    <x v="40"/>
    <x v="19"/>
    <x v="50"/>
    <x v="27"/>
    <x v="266"/>
    <x v="450"/>
    <x v="464"/>
    <x v="459"/>
    <x v="465"/>
    <x v="422"/>
    <x v="120"/>
    <x v="147"/>
    <x v="208"/>
    <x v="120"/>
    <x v="2"/>
  </r>
  <r>
    <x v="20"/>
    <x v="1"/>
    <x v="7"/>
    <x v="0"/>
    <x v="6"/>
    <x v="0"/>
    <x v="10"/>
    <x v="21"/>
    <x v="11"/>
    <x v="31"/>
    <x v="272"/>
    <x v="451"/>
    <x v="465"/>
    <x v="460"/>
    <x v="466"/>
    <x v="423"/>
    <x v="102"/>
    <x v="52"/>
    <x v="431"/>
    <x v="102"/>
    <x v="1"/>
  </r>
  <r>
    <x v="32"/>
    <x v="1"/>
    <x v="7"/>
    <x v="0"/>
    <x v="3"/>
    <x v="1"/>
    <x v="31"/>
    <x v="45"/>
    <x v="43"/>
    <x v="16"/>
    <x v="273"/>
    <x v="452"/>
    <x v="466"/>
    <x v="461"/>
    <x v="467"/>
    <x v="424"/>
    <x v="95"/>
    <x v="138"/>
    <x v="432"/>
    <x v="95"/>
    <x v="1"/>
  </r>
  <r>
    <x v="44"/>
    <x v="0"/>
    <x v="1"/>
    <x v="1"/>
    <x v="0"/>
    <x v="2"/>
    <x v="89"/>
    <x v="35"/>
    <x v="4"/>
    <x v="13"/>
    <x v="274"/>
    <x v="453"/>
    <x v="467"/>
    <x v="462"/>
    <x v="468"/>
    <x v="110"/>
    <x v="115"/>
    <x v="141"/>
    <x v="433"/>
    <x v="115"/>
    <x v="2"/>
  </r>
  <r>
    <x v="44"/>
    <x v="0"/>
    <x v="0"/>
    <x v="1"/>
    <x v="2"/>
    <x v="3"/>
    <x v="98"/>
    <x v="29"/>
    <x v="72"/>
    <x v="44"/>
    <x v="141"/>
    <x v="454"/>
    <x v="468"/>
    <x v="463"/>
    <x v="469"/>
    <x v="425"/>
    <x v="10"/>
    <x v="187"/>
    <x v="434"/>
    <x v="10"/>
    <x v="2"/>
  </r>
  <r>
    <x v="3"/>
    <x v="0"/>
    <x v="2"/>
    <x v="2"/>
    <x v="3"/>
    <x v="3"/>
    <x v="25"/>
    <x v="18"/>
    <x v="25"/>
    <x v="28"/>
    <x v="275"/>
    <x v="455"/>
    <x v="469"/>
    <x v="464"/>
    <x v="470"/>
    <x v="426"/>
    <x v="35"/>
    <x v="76"/>
    <x v="435"/>
    <x v="35"/>
    <x v="0"/>
  </r>
  <r>
    <x v="16"/>
    <x v="0"/>
    <x v="6"/>
    <x v="1"/>
    <x v="2"/>
    <x v="2"/>
    <x v="75"/>
    <x v="14"/>
    <x v="10"/>
    <x v="10"/>
    <x v="276"/>
    <x v="456"/>
    <x v="470"/>
    <x v="465"/>
    <x v="471"/>
    <x v="427"/>
    <x v="95"/>
    <x v="55"/>
    <x v="385"/>
    <x v="95"/>
    <x v="0"/>
  </r>
  <r>
    <x v="30"/>
    <x v="1"/>
    <x v="7"/>
    <x v="1"/>
    <x v="2"/>
    <x v="3"/>
    <x v="64"/>
    <x v="46"/>
    <x v="74"/>
    <x v="24"/>
    <x v="266"/>
    <x v="457"/>
    <x v="471"/>
    <x v="466"/>
    <x v="472"/>
    <x v="428"/>
    <x v="123"/>
    <x v="13"/>
    <x v="436"/>
    <x v="123"/>
    <x v="1"/>
  </r>
  <r>
    <x v="42"/>
    <x v="1"/>
    <x v="6"/>
    <x v="1"/>
    <x v="2"/>
    <x v="1"/>
    <x v="51"/>
    <x v="12"/>
    <x v="26"/>
    <x v="83"/>
    <x v="277"/>
    <x v="458"/>
    <x v="472"/>
    <x v="467"/>
    <x v="473"/>
    <x v="429"/>
    <x v="52"/>
    <x v="87"/>
    <x v="139"/>
    <x v="52"/>
    <x v="2"/>
  </r>
  <r>
    <x v="5"/>
    <x v="1"/>
    <x v="4"/>
    <x v="1"/>
    <x v="2"/>
    <x v="3"/>
    <x v="2"/>
    <x v="6"/>
    <x v="69"/>
    <x v="143"/>
    <x v="278"/>
    <x v="459"/>
    <x v="473"/>
    <x v="468"/>
    <x v="474"/>
    <x v="430"/>
    <x v="30"/>
    <x v="67"/>
    <x v="437"/>
    <x v="30"/>
    <x v="2"/>
  </r>
  <r>
    <x v="50"/>
    <x v="0"/>
    <x v="8"/>
    <x v="4"/>
    <x v="2"/>
    <x v="2"/>
    <x v="59"/>
    <x v="56"/>
    <x v="53"/>
    <x v="34"/>
    <x v="237"/>
    <x v="460"/>
    <x v="474"/>
    <x v="469"/>
    <x v="475"/>
    <x v="431"/>
    <x v="43"/>
    <x v="95"/>
    <x v="438"/>
    <x v="43"/>
    <x v="2"/>
  </r>
  <r>
    <x v="47"/>
    <x v="1"/>
    <x v="1"/>
    <x v="2"/>
    <x v="0"/>
    <x v="2"/>
    <x v="75"/>
    <x v="57"/>
    <x v="45"/>
    <x v="136"/>
    <x v="94"/>
    <x v="461"/>
    <x v="475"/>
    <x v="470"/>
    <x v="476"/>
    <x v="432"/>
    <x v="40"/>
    <x v="129"/>
    <x v="177"/>
    <x v="40"/>
    <x v="0"/>
  </r>
  <r>
    <x v="51"/>
    <x v="1"/>
    <x v="2"/>
    <x v="2"/>
    <x v="2"/>
    <x v="3"/>
    <x v="11"/>
    <x v="54"/>
    <x v="2"/>
    <x v="1"/>
    <x v="279"/>
    <x v="462"/>
    <x v="476"/>
    <x v="471"/>
    <x v="477"/>
    <x v="433"/>
    <x v="115"/>
    <x v="133"/>
    <x v="439"/>
    <x v="115"/>
    <x v="2"/>
  </r>
  <r>
    <x v="46"/>
    <x v="1"/>
    <x v="5"/>
    <x v="0"/>
    <x v="4"/>
    <x v="0"/>
    <x v="63"/>
    <x v="79"/>
    <x v="84"/>
    <x v="138"/>
    <x v="280"/>
    <x v="463"/>
    <x v="477"/>
    <x v="472"/>
    <x v="478"/>
    <x v="434"/>
    <x v="141"/>
    <x v="36"/>
    <x v="440"/>
    <x v="141"/>
    <x v="1"/>
  </r>
  <r>
    <x v="0"/>
    <x v="1"/>
    <x v="8"/>
    <x v="1"/>
    <x v="3"/>
    <x v="2"/>
    <x v="71"/>
    <x v="65"/>
    <x v="39"/>
    <x v="34"/>
    <x v="281"/>
    <x v="464"/>
    <x v="478"/>
    <x v="473"/>
    <x v="479"/>
    <x v="435"/>
    <x v="70"/>
    <x v="135"/>
    <x v="441"/>
    <x v="70"/>
    <x v="0"/>
  </r>
  <r>
    <x v="11"/>
    <x v="1"/>
    <x v="9"/>
    <x v="0"/>
    <x v="3"/>
    <x v="0"/>
    <x v="41"/>
    <x v="0"/>
    <x v="64"/>
    <x v="59"/>
    <x v="278"/>
    <x v="465"/>
    <x v="479"/>
    <x v="474"/>
    <x v="480"/>
    <x v="436"/>
    <x v="110"/>
    <x v="96"/>
    <x v="442"/>
    <x v="110"/>
    <x v="1"/>
  </r>
  <r>
    <x v="22"/>
    <x v="0"/>
    <x v="9"/>
    <x v="1"/>
    <x v="1"/>
    <x v="1"/>
    <x v="36"/>
    <x v="47"/>
    <x v="62"/>
    <x v="23"/>
    <x v="282"/>
    <x v="466"/>
    <x v="480"/>
    <x v="475"/>
    <x v="481"/>
    <x v="175"/>
    <x v="55"/>
    <x v="86"/>
    <x v="443"/>
    <x v="55"/>
    <x v="0"/>
  </r>
  <r>
    <x v="51"/>
    <x v="0"/>
    <x v="6"/>
    <x v="2"/>
    <x v="0"/>
    <x v="1"/>
    <x v="100"/>
    <x v="59"/>
    <x v="30"/>
    <x v="80"/>
    <x v="172"/>
    <x v="467"/>
    <x v="481"/>
    <x v="476"/>
    <x v="482"/>
    <x v="437"/>
    <x v="13"/>
    <x v="117"/>
    <x v="444"/>
    <x v="13"/>
    <x v="2"/>
  </r>
  <r>
    <x v="9"/>
    <x v="0"/>
    <x v="7"/>
    <x v="4"/>
    <x v="1"/>
    <x v="3"/>
    <x v="107"/>
    <x v="34"/>
    <x v="15"/>
    <x v="123"/>
    <x v="283"/>
    <x v="468"/>
    <x v="482"/>
    <x v="477"/>
    <x v="483"/>
    <x v="438"/>
    <x v="166"/>
    <x v="15"/>
    <x v="445"/>
    <x v="166"/>
    <x v="0"/>
  </r>
  <r>
    <x v="16"/>
    <x v="0"/>
    <x v="9"/>
    <x v="0"/>
    <x v="1"/>
    <x v="0"/>
    <x v="71"/>
    <x v="78"/>
    <x v="33"/>
    <x v="105"/>
    <x v="85"/>
    <x v="469"/>
    <x v="483"/>
    <x v="478"/>
    <x v="484"/>
    <x v="439"/>
    <x v="91"/>
    <x v="7"/>
    <x v="446"/>
    <x v="91"/>
    <x v="0"/>
  </r>
  <r>
    <x v="36"/>
    <x v="0"/>
    <x v="9"/>
    <x v="4"/>
    <x v="4"/>
    <x v="3"/>
    <x v="105"/>
    <x v="3"/>
    <x v="26"/>
    <x v="147"/>
    <x v="0"/>
    <x v="470"/>
    <x v="484"/>
    <x v="479"/>
    <x v="485"/>
    <x v="359"/>
    <x v="33"/>
    <x v="63"/>
    <x v="447"/>
    <x v="33"/>
    <x v="1"/>
  </r>
  <r>
    <x v="38"/>
    <x v="1"/>
    <x v="0"/>
    <x v="4"/>
    <x v="6"/>
    <x v="2"/>
    <x v="9"/>
    <x v="61"/>
    <x v="14"/>
    <x v="130"/>
    <x v="160"/>
    <x v="471"/>
    <x v="485"/>
    <x v="480"/>
    <x v="486"/>
    <x v="440"/>
    <x v="139"/>
    <x v="112"/>
    <x v="448"/>
    <x v="139"/>
    <x v="2"/>
  </r>
  <r>
    <x v="22"/>
    <x v="0"/>
    <x v="6"/>
    <x v="2"/>
    <x v="1"/>
    <x v="0"/>
    <x v="21"/>
    <x v="43"/>
    <x v="67"/>
    <x v="8"/>
    <x v="139"/>
    <x v="472"/>
    <x v="486"/>
    <x v="481"/>
    <x v="487"/>
    <x v="441"/>
    <x v="131"/>
    <x v="105"/>
    <x v="449"/>
    <x v="131"/>
    <x v="0"/>
  </r>
  <r>
    <x v="59"/>
    <x v="0"/>
    <x v="5"/>
    <x v="3"/>
    <x v="2"/>
    <x v="0"/>
    <x v="101"/>
    <x v="67"/>
    <x v="57"/>
    <x v="13"/>
    <x v="138"/>
    <x v="473"/>
    <x v="487"/>
    <x v="482"/>
    <x v="488"/>
    <x v="442"/>
    <x v="53"/>
    <x v="130"/>
    <x v="209"/>
    <x v="53"/>
    <x v="0"/>
  </r>
  <r>
    <x v="46"/>
    <x v="1"/>
    <x v="5"/>
    <x v="1"/>
    <x v="2"/>
    <x v="3"/>
    <x v="115"/>
    <x v="31"/>
    <x v="40"/>
    <x v="144"/>
    <x v="284"/>
    <x v="474"/>
    <x v="488"/>
    <x v="483"/>
    <x v="489"/>
    <x v="443"/>
    <x v="0"/>
    <x v="139"/>
    <x v="450"/>
    <x v="0"/>
    <x v="1"/>
  </r>
  <r>
    <x v="55"/>
    <x v="1"/>
    <x v="4"/>
    <x v="3"/>
    <x v="5"/>
    <x v="3"/>
    <x v="106"/>
    <x v="13"/>
    <x v="84"/>
    <x v="47"/>
    <x v="35"/>
    <x v="475"/>
    <x v="489"/>
    <x v="484"/>
    <x v="490"/>
    <x v="30"/>
    <x v="52"/>
    <x v="105"/>
    <x v="451"/>
    <x v="52"/>
    <x v="2"/>
  </r>
  <r>
    <x v="4"/>
    <x v="1"/>
    <x v="9"/>
    <x v="3"/>
    <x v="2"/>
    <x v="3"/>
    <x v="81"/>
    <x v="13"/>
    <x v="85"/>
    <x v="137"/>
    <x v="9"/>
    <x v="476"/>
    <x v="490"/>
    <x v="485"/>
    <x v="491"/>
    <x v="444"/>
    <x v="65"/>
    <x v="4"/>
    <x v="452"/>
    <x v="65"/>
    <x v="1"/>
  </r>
  <r>
    <x v="37"/>
    <x v="0"/>
    <x v="8"/>
    <x v="4"/>
    <x v="6"/>
    <x v="2"/>
    <x v="7"/>
    <x v="17"/>
    <x v="87"/>
    <x v="37"/>
    <x v="285"/>
    <x v="477"/>
    <x v="491"/>
    <x v="486"/>
    <x v="492"/>
    <x v="239"/>
    <x v="143"/>
    <x v="136"/>
    <x v="302"/>
    <x v="143"/>
    <x v="2"/>
  </r>
  <r>
    <x v="8"/>
    <x v="1"/>
    <x v="3"/>
    <x v="3"/>
    <x v="5"/>
    <x v="3"/>
    <x v="72"/>
    <x v="69"/>
    <x v="41"/>
    <x v="51"/>
    <x v="252"/>
    <x v="478"/>
    <x v="492"/>
    <x v="487"/>
    <x v="493"/>
    <x v="445"/>
    <x v="151"/>
    <x v="66"/>
    <x v="90"/>
    <x v="151"/>
    <x v="2"/>
  </r>
  <r>
    <x v="27"/>
    <x v="1"/>
    <x v="4"/>
    <x v="3"/>
    <x v="3"/>
    <x v="0"/>
    <x v="90"/>
    <x v="68"/>
    <x v="69"/>
    <x v="71"/>
    <x v="286"/>
    <x v="479"/>
    <x v="493"/>
    <x v="488"/>
    <x v="494"/>
    <x v="446"/>
    <x v="30"/>
    <x v="87"/>
    <x v="437"/>
    <x v="30"/>
    <x v="0"/>
  </r>
  <r>
    <x v="52"/>
    <x v="1"/>
    <x v="4"/>
    <x v="3"/>
    <x v="5"/>
    <x v="1"/>
    <x v="81"/>
    <x v="64"/>
    <x v="9"/>
    <x v="146"/>
    <x v="191"/>
    <x v="480"/>
    <x v="494"/>
    <x v="489"/>
    <x v="495"/>
    <x v="447"/>
    <x v="148"/>
    <x v="41"/>
    <x v="453"/>
    <x v="148"/>
    <x v="2"/>
  </r>
  <r>
    <x v="54"/>
    <x v="1"/>
    <x v="9"/>
    <x v="1"/>
    <x v="6"/>
    <x v="0"/>
    <x v="89"/>
    <x v="65"/>
    <x v="40"/>
    <x v="30"/>
    <x v="287"/>
    <x v="481"/>
    <x v="495"/>
    <x v="490"/>
    <x v="496"/>
    <x v="448"/>
    <x v="167"/>
    <x v="152"/>
    <x v="454"/>
    <x v="167"/>
    <x v="0"/>
  </r>
  <r>
    <x v="59"/>
    <x v="0"/>
    <x v="6"/>
    <x v="0"/>
    <x v="2"/>
    <x v="1"/>
    <x v="46"/>
    <x v="16"/>
    <x v="70"/>
    <x v="122"/>
    <x v="0"/>
    <x v="482"/>
    <x v="496"/>
    <x v="246"/>
    <x v="118"/>
    <x v="449"/>
    <x v="44"/>
    <x v="111"/>
    <x v="455"/>
    <x v="44"/>
    <x v="0"/>
  </r>
  <r>
    <x v="15"/>
    <x v="1"/>
    <x v="3"/>
    <x v="0"/>
    <x v="5"/>
    <x v="1"/>
    <x v="21"/>
    <x v="13"/>
    <x v="45"/>
    <x v="133"/>
    <x v="288"/>
    <x v="483"/>
    <x v="497"/>
    <x v="491"/>
    <x v="497"/>
    <x v="450"/>
    <x v="121"/>
    <x v="100"/>
    <x v="456"/>
    <x v="121"/>
    <x v="2"/>
  </r>
  <r>
    <x v="30"/>
    <x v="0"/>
    <x v="9"/>
    <x v="3"/>
    <x v="2"/>
    <x v="0"/>
    <x v="114"/>
    <x v="8"/>
    <x v="36"/>
    <x v="105"/>
    <x v="289"/>
    <x v="484"/>
    <x v="498"/>
    <x v="492"/>
    <x v="498"/>
    <x v="451"/>
    <x v="21"/>
    <x v="171"/>
    <x v="457"/>
    <x v="21"/>
    <x v="1"/>
  </r>
  <r>
    <x v="37"/>
    <x v="0"/>
    <x v="4"/>
    <x v="3"/>
    <x v="0"/>
    <x v="1"/>
    <x v="109"/>
    <x v="34"/>
    <x v="88"/>
    <x v="124"/>
    <x v="193"/>
    <x v="485"/>
    <x v="499"/>
    <x v="493"/>
    <x v="499"/>
    <x v="452"/>
    <x v="24"/>
    <x v="64"/>
    <x v="458"/>
    <x v="24"/>
    <x v="2"/>
  </r>
  <r>
    <x v="37"/>
    <x v="0"/>
    <x v="0"/>
    <x v="0"/>
    <x v="6"/>
    <x v="3"/>
    <x v="38"/>
    <x v="21"/>
    <x v="70"/>
    <x v="152"/>
    <x v="216"/>
    <x v="486"/>
    <x v="500"/>
    <x v="494"/>
    <x v="500"/>
    <x v="453"/>
    <x v="63"/>
    <x v="10"/>
    <x v="459"/>
    <x v="63"/>
    <x v="2"/>
  </r>
  <r>
    <x v="40"/>
    <x v="1"/>
    <x v="0"/>
    <x v="0"/>
    <x v="0"/>
    <x v="0"/>
    <x v="88"/>
    <x v="62"/>
    <x v="57"/>
    <x v="107"/>
    <x v="165"/>
    <x v="487"/>
    <x v="501"/>
    <x v="495"/>
    <x v="501"/>
    <x v="454"/>
    <x v="15"/>
    <x v="73"/>
    <x v="460"/>
    <x v="15"/>
    <x v="2"/>
  </r>
  <r>
    <x v="56"/>
    <x v="1"/>
    <x v="0"/>
    <x v="4"/>
    <x v="4"/>
    <x v="3"/>
    <x v="43"/>
    <x v="36"/>
    <x v="72"/>
    <x v="131"/>
    <x v="290"/>
    <x v="488"/>
    <x v="502"/>
    <x v="496"/>
    <x v="502"/>
    <x v="455"/>
    <x v="103"/>
    <x v="81"/>
    <x v="461"/>
    <x v="103"/>
    <x v="2"/>
  </r>
  <r>
    <x v="49"/>
    <x v="0"/>
    <x v="5"/>
    <x v="2"/>
    <x v="3"/>
    <x v="3"/>
    <x v="97"/>
    <x v="16"/>
    <x v="34"/>
    <x v="149"/>
    <x v="95"/>
    <x v="489"/>
    <x v="503"/>
    <x v="497"/>
    <x v="503"/>
    <x v="456"/>
    <x v="85"/>
    <x v="128"/>
    <x v="462"/>
    <x v="85"/>
    <x v="1"/>
  </r>
  <r>
    <x v="29"/>
    <x v="1"/>
    <x v="9"/>
    <x v="1"/>
    <x v="1"/>
    <x v="0"/>
    <x v="16"/>
    <x v="47"/>
    <x v="19"/>
    <x v="22"/>
    <x v="10"/>
    <x v="490"/>
    <x v="504"/>
    <x v="498"/>
    <x v="504"/>
    <x v="457"/>
    <x v="168"/>
    <x v="10"/>
    <x v="117"/>
    <x v="168"/>
    <x v="2"/>
  </r>
  <r>
    <x v="40"/>
    <x v="0"/>
    <x v="1"/>
    <x v="2"/>
    <x v="4"/>
    <x v="3"/>
    <x v="49"/>
    <x v="59"/>
    <x v="30"/>
    <x v="138"/>
    <x v="29"/>
    <x v="491"/>
    <x v="505"/>
    <x v="499"/>
    <x v="505"/>
    <x v="458"/>
    <x v="30"/>
    <x v="21"/>
    <x v="463"/>
    <x v="30"/>
    <x v="2"/>
  </r>
  <r>
    <x v="55"/>
    <x v="1"/>
    <x v="1"/>
    <x v="3"/>
    <x v="5"/>
    <x v="3"/>
    <x v="55"/>
    <x v="15"/>
    <x v="48"/>
    <x v="26"/>
    <x v="71"/>
    <x v="473"/>
    <x v="506"/>
    <x v="500"/>
    <x v="506"/>
    <x v="190"/>
    <x v="18"/>
    <x v="105"/>
    <x v="464"/>
    <x v="18"/>
    <x v="2"/>
  </r>
  <r>
    <x v="24"/>
    <x v="0"/>
    <x v="6"/>
    <x v="3"/>
    <x v="5"/>
    <x v="3"/>
    <x v="88"/>
    <x v="47"/>
    <x v="70"/>
    <x v="93"/>
    <x v="202"/>
    <x v="492"/>
    <x v="507"/>
    <x v="501"/>
    <x v="507"/>
    <x v="459"/>
    <x v="90"/>
    <x v="115"/>
    <x v="465"/>
    <x v="90"/>
    <x v="1"/>
  </r>
  <r>
    <x v="28"/>
    <x v="0"/>
    <x v="0"/>
    <x v="4"/>
    <x v="5"/>
    <x v="2"/>
    <x v="68"/>
    <x v="26"/>
    <x v="42"/>
    <x v="0"/>
    <x v="255"/>
    <x v="493"/>
    <x v="508"/>
    <x v="502"/>
    <x v="508"/>
    <x v="460"/>
    <x v="88"/>
    <x v="20"/>
    <x v="466"/>
    <x v="88"/>
    <x v="0"/>
  </r>
  <r>
    <x v="52"/>
    <x v="1"/>
    <x v="4"/>
    <x v="0"/>
    <x v="0"/>
    <x v="3"/>
    <x v="27"/>
    <x v="46"/>
    <x v="38"/>
    <x v="142"/>
    <x v="199"/>
    <x v="494"/>
    <x v="509"/>
    <x v="503"/>
    <x v="509"/>
    <x v="461"/>
    <x v="135"/>
    <x v="6"/>
    <x v="467"/>
    <x v="135"/>
    <x v="2"/>
  </r>
  <r>
    <x v="4"/>
    <x v="1"/>
    <x v="8"/>
    <x v="3"/>
    <x v="6"/>
    <x v="3"/>
    <x v="17"/>
    <x v="61"/>
    <x v="34"/>
    <x v="132"/>
    <x v="196"/>
    <x v="495"/>
    <x v="510"/>
    <x v="504"/>
    <x v="510"/>
    <x v="363"/>
    <x v="80"/>
    <x v="90"/>
    <x v="265"/>
    <x v="80"/>
    <x v="1"/>
  </r>
  <r>
    <x v="44"/>
    <x v="0"/>
    <x v="2"/>
    <x v="2"/>
    <x v="3"/>
    <x v="2"/>
    <x v="86"/>
    <x v="41"/>
    <x v="7"/>
    <x v="1"/>
    <x v="125"/>
    <x v="496"/>
    <x v="511"/>
    <x v="505"/>
    <x v="511"/>
    <x v="369"/>
    <x v="117"/>
    <x v="161"/>
    <x v="468"/>
    <x v="117"/>
    <x v="2"/>
  </r>
  <r>
    <x v="47"/>
    <x v="1"/>
    <x v="1"/>
    <x v="2"/>
    <x v="2"/>
    <x v="2"/>
    <x v="16"/>
    <x v="75"/>
    <x v="70"/>
    <x v="72"/>
    <x v="269"/>
    <x v="497"/>
    <x v="512"/>
    <x v="506"/>
    <x v="512"/>
    <x v="462"/>
    <x v="100"/>
    <x v="34"/>
    <x v="469"/>
    <x v="100"/>
    <x v="0"/>
  </r>
  <r>
    <x v="55"/>
    <x v="1"/>
    <x v="9"/>
    <x v="4"/>
    <x v="6"/>
    <x v="3"/>
    <x v="42"/>
    <x v="1"/>
    <x v="45"/>
    <x v="128"/>
    <x v="291"/>
    <x v="498"/>
    <x v="513"/>
    <x v="507"/>
    <x v="513"/>
    <x v="463"/>
    <x v="27"/>
    <x v="128"/>
    <x v="470"/>
    <x v="27"/>
    <x v="2"/>
  </r>
  <r>
    <x v="12"/>
    <x v="1"/>
    <x v="3"/>
    <x v="1"/>
    <x v="0"/>
    <x v="0"/>
    <x v="91"/>
    <x v="2"/>
    <x v="31"/>
    <x v="45"/>
    <x v="104"/>
    <x v="435"/>
    <x v="514"/>
    <x v="508"/>
    <x v="514"/>
    <x v="99"/>
    <x v="74"/>
    <x v="35"/>
    <x v="471"/>
    <x v="74"/>
    <x v="0"/>
  </r>
  <r>
    <x v="10"/>
    <x v="0"/>
    <x v="4"/>
    <x v="1"/>
    <x v="3"/>
    <x v="0"/>
    <x v="59"/>
    <x v="40"/>
    <x v="84"/>
    <x v="155"/>
    <x v="292"/>
    <x v="499"/>
    <x v="515"/>
    <x v="509"/>
    <x v="515"/>
    <x v="464"/>
    <x v="101"/>
    <x v="60"/>
    <x v="472"/>
    <x v="101"/>
    <x v="2"/>
  </r>
  <r>
    <x v="40"/>
    <x v="0"/>
    <x v="1"/>
    <x v="4"/>
    <x v="6"/>
    <x v="3"/>
    <x v="116"/>
    <x v="52"/>
    <x v="62"/>
    <x v="8"/>
    <x v="210"/>
    <x v="500"/>
    <x v="516"/>
    <x v="510"/>
    <x v="516"/>
    <x v="465"/>
    <x v="120"/>
    <x v="185"/>
    <x v="473"/>
    <x v="120"/>
    <x v="2"/>
  </r>
  <r>
    <x v="5"/>
    <x v="0"/>
    <x v="9"/>
    <x v="3"/>
    <x v="5"/>
    <x v="0"/>
    <x v="109"/>
    <x v="59"/>
    <x v="21"/>
    <x v="54"/>
    <x v="197"/>
    <x v="501"/>
    <x v="517"/>
    <x v="511"/>
    <x v="517"/>
    <x v="466"/>
    <x v="1"/>
    <x v="39"/>
    <x v="474"/>
    <x v="1"/>
    <x v="2"/>
  </r>
  <r>
    <x v="47"/>
    <x v="1"/>
    <x v="0"/>
    <x v="4"/>
    <x v="6"/>
    <x v="3"/>
    <x v="111"/>
    <x v="10"/>
    <x v="84"/>
    <x v="8"/>
    <x v="293"/>
    <x v="502"/>
    <x v="518"/>
    <x v="512"/>
    <x v="518"/>
    <x v="136"/>
    <x v="151"/>
    <x v="75"/>
    <x v="475"/>
    <x v="151"/>
    <x v="0"/>
  </r>
  <r>
    <x v="18"/>
    <x v="0"/>
    <x v="3"/>
    <x v="3"/>
    <x v="0"/>
    <x v="3"/>
    <x v="67"/>
    <x v="51"/>
    <x v="10"/>
    <x v="36"/>
    <x v="294"/>
    <x v="325"/>
    <x v="519"/>
    <x v="513"/>
    <x v="519"/>
    <x v="467"/>
    <x v="39"/>
    <x v="12"/>
    <x v="476"/>
    <x v="39"/>
    <x v="2"/>
  </r>
  <r>
    <x v="44"/>
    <x v="1"/>
    <x v="0"/>
    <x v="1"/>
    <x v="5"/>
    <x v="3"/>
    <x v="92"/>
    <x v="54"/>
    <x v="15"/>
    <x v="19"/>
    <x v="295"/>
    <x v="503"/>
    <x v="520"/>
    <x v="514"/>
    <x v="520"/>
    <x v="468"/>
    <x v="50"/>
    <x v="65"/>
    <x v="477"/>
    <x v="50"/>
    <x v="2"/>
  </r>
  <r>
    <x v="9"/>
    <x v="1"/>
    <x v="3"/>
    <x v="3"/>
    <x v="3"/>
    <x v="3"/>
    <x v="22"/>
    <x v="23"/>
    <x v="34"/>
    <x v="78"/>
    <x v="156"/>
    <x v="504"/>
    <x v="521"/>
    <x v="515"/>
    <x v="521"/>
    <x v="469"/>
    <x v="0"/>
    <x v="48"/>
    <x v="478"/>
    <x v="0"/>
    <x v="0"/>
  </r>
  <r>
    <x v="12"/>
    <x v="0"/>
    <x v="8"/>
    <x v="4"/>
    <x v="6"/>
    <x v="3"/>
    <x v="67"/>
    <x v="46"/>
    <x v="43"/>
    <x v="121"/>
    <x v="25"/>
    <x v="505"/>
    <x v="522"/>
    <x v="516"/>
    <x v="522"/>
    <x v="470"/>
    <x v="169"/>
    <x v="30"/>
    <x v="479"/>
    <x v="169"/>
    <x v="0"/>
  </r>
  <r>
    <x v="6"/>
    <x v="1"/>
    <x v="2"/>
    <x v="3"/>
    <x v="2"/>
    <x v="2"/>
    <x v="63"/>
    <x v="60"/>
    <x v="60"/>
    <x v="100"/>
    <x v="170"/>
    <x v="506"/>
    <x v="523"/>
    <x v="517"/>
    <x v="523"/>
    <x v="471"/>
    <x v="10"/>
    <x v="146"/>
    <x v="480"/>
    <x v="10"/>
    <x v="2"/>
  </r>
  <r>
    <x v="24"/>
    <x v="1"/>
    <x v="0"/>
    <x v="3"/>
    <x v="2"/>
    <x v="0"/>
    <x v="116"/>
    <x v="4"/>
    <x v="27"/>
    <x v="6"/>
    <x v="1"/>
    <x v="507"/>
    <x v="524"/>
    <x v="518"/>
    <x v="524"/>
    <x v="472"/>
    <x v="25"/>
    <x v="12"/>
    <x v="32"/>
    <x v="25"/>
    <x v="1"/>
  </r>
  <r>
    <x v="26"/>
    <x v="0"/>
    <x v="3"/>
    <x v="2"/>
    <x v="1"/>
    <x v="2"/>
    <x v="13"/>
    <x v="71"/>
    <x v="11"/>
    <x v="85"/>
    <x v="218"/>
    <x v="508"/>
    <x v="525"/>
    <x v="519"/>
    <x v="525"/>
    <x v="402"/>
    <x v="86"/>
    <x v="94"/>
    <x v="481"/>
    <x v="86"/>
    <x v="2"/>
  </r>
  <r>
    <x v="20"/>
    <x v="0"/>
    <x v="6"/>
    <x v="1"/>
    <x v="0"/>
    <x v="3"/>
    <x v="4"/>
    <x v="47"/>
    <x v="19"/>
    <x v="132"/>
    <x v="228"/>
    <x v="509"/>
    <x v="526"/>
    <x v="520"/>
    <x v="526"/>
    <x v="473"/>
    <x v="24"/>
    <x v="81"/>
    <x v="482"/>
    <x v="24"/>
    <x v="1"/>
  </r>
  <r>
    <x v="14"/>
    <x v="0"/>
    <x v="5"/>
    <x v="1"/>
    <x v="2"/>
    <x v="0"/>
    <x v="64"/>
    <x v="14"/>
    <x v="73"/>
    <x v="93"/>
    <x v="234"/>
    <x v="510"/>
    <x v="527"/>
    <x v="521"/>
    <x v="527"/>
    <x v="187"/>
    <x v="42"/>
    <x v="126"/>
    <x v="483"/>
    <x v="42"/>
    <x v="2"/>
  </r>
  <r>
    <x v="27"/>
    <x v="1"/>
    <x v="0"/>
    <x v="4"/>
    <x v="5"/>
    <x v="3"/>
    <x v="64"/>
    <x v="38"/>
    <x v="66"/>
    <x v="122"/>
    <x v="204"/>
    <x v="511"/>
    <x v="424"/>
    <x v="522"/>
    <x v="220"/>
    <x v="474"/>
    <x v="29"/>
    <x v="123"/>
    <x v="484"/>
    <x v="29"/>
    <x v="0"/>
  </r>
  <r>
    <x v="29"/>
    <x v="0"/>
    <x v="8"/>
    <x v="3"/>
    <x v="0"/>
    <x v="3"/>
    <x v="75"/>
    <x v="78"/>
    <x v="37"/>
    <x v="120"/>
    <x v="120"/>
    <x v="512"/>
    <x v="528"/>
    <x v="523"/>
    <x v="528"/>
    <x v="301"/>
    <x v="115"/>
    <x v="13"/>
    <x v="485"/>
    <x v="115"/>
    <x v="2"/>
  </r>
  <r>
    <x v="33"/>
    <x v="0"/>
    <x v="5"/>
    <x v="2"/>
    <x v="4"/>
    <x v="2"/>
    <x v="88"/>
    <x v="20"/>
    <x v="56"/>
    <x v="124"/>
    <x v="157"/>
    <x v="513"/>
    <x v="529"/>
    <x v="524"/>
    <x v="529"/>
    <x v="475"/>
    <x v="139"/>
    <x v="17"/>
    <x v="486"/>
    <x v="139"/>
    <x v="2"/>
  </r>
  <r>
    <x v="37"/>
    <x v="0"/>
    <x v="7"/>
    <x v="0"/>
    <x v="5"/>
    <x v="0"/>
    <x v="54"/>
    <x v="36"/>
    <x v="27"/>
    <x v="100"/>
    <x v="162"/>
    <x v="514"/>
    <x v="530"/>
    <x v="525"/>
    <x v="530"/>
    <x v="476"/>
    <x v="150"/>
    <x v="147"/>
    <x v="487"/>
    <x v="150"/>
    <x v="2"/>
  </r>
  <r>
    <x v="5"/>
    <x v="0"/>
    <x v="8"/>
    <x v="0"/>
    <x v="1"/>
    <x v="0"/>
    <x v="62"/>
    <x v="19"/>
    <x v="75"/>
    <x v="41"/>
    <x v="296"/>
    <x v="515"/>
    <x v="531"/>
    <x v="526"/>
    <x v="531"/>
    <x v="208"/>
    <x v="33"/>
    <x v="131"/>
    <x v="488"/>
    <x v="33"/>
    <x v="2"/>
  </r>
  <r>
    <x v="29"/>
    <x v="0"/>
    <x v="3"/>
    <x v="2"/>
    <x v="2"/>
    <x v="0"/>
    <x v="5"/>
    <x v="59"/>
    <x v="1"/>
    <x v="61"/>
    <x v="297"/>
    <x v="516"/>
    <x v="532"/>
    <x v="527"/>
    <x v="532"/>
    <x v="477"/>
    <x v="39"/>
    <x v="185"/>
    <x v="489"/>
    <x v="39"/>
    <x v="2"/>
  </r>
  <r>
    <x v="47"/>
    <x v="0"/>
    <x v="1"/>
    <x v="2"/>
    <x v="1"/>
    <x v="0"/>
    <x v="107"/>
    <x v="17"/>
    <x v="41"/>
    <x v="74"/>
    <x v="298"/>
    <x v="517"/>
    <x v="533"/>
    <x v="528"/>
    <x v="533"/>
    <x v="478"/>
    <x v="155"/>
    <x v="37"/>
    <x v="490"/>
    <x v="155"/>
    <x v="0"/>
  </r>
  <r>
    <x v="36"/>
    <x v="1"/>
    <x v="9"/>
    <x v="3"/>
    <x v="2"/>
    <x v="0"/>
    <x v="24"/>
    <x v="33"/>
    <x v="59"/>
    <x v="68"/>
    <x v="291"/>
    <x v="518"/>
    <x v="534"/>
    <x v="529"/>
    <x v="534"/>
    <x v="479"/>
    <x v="143"/>
    <x v="10"/>
    <x v="491"/>
    <x v="143"/>
    <x v="1"/>
  </r>
  <r>
    <x v="1"/>
    <x v="1"/>
    <x v="5"/>
    <x v="3"/>
    <x v="4"/>
    <x v="3"/>
    <x v="35"/>
    <x v="62"/>
    <x v="24"/>
    <x v="56"/>
    <x v="94"/>
    <x v="519"/>
    <x v="535"/>
    <x v="530"/>
    <x v="535"/>
    <x v="413"/>
    <x v="81"/>
    <x v="84"/>
    <x v="492"/>
    <x v="81"/>
    <x v="1"/>
  </r>
  <r>
    <x v="4"/>
    <x v="0"/>
    <x v="8"/>
    <x v="1"/>
    <x v="0"/>
    <x v="2"/>
    <x v="49"/>
    <x v="21"/>
    <x v="18"/>
    <x v="2"/>
    <x v="97"/>
    <x v="192"/>
    <x v="536"/>
    <x v="531"/>
    <x v="536"/>
    <x v="480"/>
    <x v="23"/>
    <x v="111"/>
    <x v="493"/>
    <x v="23"/>
    <x v="1"/>
  </r>
  <r>
    <x v="1"/>
    <x v="0"/>
    <x v="7"/>
    <x v="0"/>
    <x v="0"/>
    <x v="2"/>
    <x v="107"/>
    <x v="77"/>
    <x v="29"/>
    <x v="78"/>
    <x v="208"/>
    <x v="520"/>
    <x v="537"/>
    <x v="532"/>
    <x v="537"/>
    <x v="481"/>
    <x v="28"/>
    <x v="90"/>
    <x v="494"/>
    <x v="28"/>
    <x v="1"/>
  </r>
  <r>
    <x v="56"/>
    <x v="1"/>
    <x v="1"/>
    <x v="2"/>
    <x v="6"/>
    <x v="0"/>
    <x v="78"/>
    <x v="29"/>
    <x v="2"/>
    <x v="4"/>
    <x v="235"/>
    <x v="521"/>
    <x v="538"/>
    <x v="533"/>
    <x v="538"/>
    <x v="482"/>
    <x v="33"/>
    <x v="188"/>
    <x v="495"/>
    <x v="33"/>
    <x v="2"/>
  </r>
  <r>
    <x v="17"/>
    <x v="1"/>
    <x v="4"/>
    <x v="3"/>
    <x v="3"/>
    <x v="3"/>
    <x v="38"/>
    <x v="76"/>
    <x v="60"/>
    <x v="69"/>
    <x v="14"/>
    <x v="522"/>
    <x v="539"/>
    <x v="534"/>
    <x v="539"/>
    <x v="483"/>
    <x v="30"/>
    <x v="189"/>
    <x v="496"/>
    <x v="30"/>
    <x v="1"/>
  </r>
  <r>
    <x v="13"/>
    <x v="1"/>
    <x v="0"/>
    <x v="4"/>
    <x v="5"/>
    <x v="1"/>
    <x v="72"/>
    <x v="79"/>
    <x v="53"/>
    <x v="80"/>
    <x v="98"/>
    <x v="523"/>
    <x v="540"/>
    <x v="535"/>
    <x v="540"/>
    <x v="484"/>
    <x v="43"/>
    <x v="82"/>
    <x v="438"/>
    <x v="43"/>
    <x v="2"/>
  </r>
  <r>
    <x v="22"/>
    <x v="0"/>
    <x v="7"/>
    <x v="0"/>
    <x v="4"/>
    <x v="0"/>
    <x v="50"/>
    <x v="41"/>
    <x v="89"/>
    <x v="77"/>
    <x v="299"/>
    <x v="524"/>
    <x v="541"/>
    <x v="536"/>
    <x v="541"/>
    <x v="485"/>
    <x v="134"/>
    <x v="94"/>
    <x v="497"/>
    <x v="134"/>
    <x v="0"/>
  </r>
  <r>
    <x v="16"/>
    <x v="1"/>
    <x v="3"/>
    <x v="0"/>
    <x v="6"/>
    <x v="1"/>
    <x v="31"/>
    <x v="29"/>
    <x v="61"/>
    <x v="43"/>
    <x v="300"/>
    <x v="525"/>
    <x v="542"/>
    <x v="537"/>
    <x v="542"/>
    <x v="486"/>
    <x v="134"/>
    <x v="39"/>
    <x v="498"/>
    <x v="134"/>
    <x v="0"/>
  </r>
  <r>
    <x v="46"/>
    <x v="1"/>
    <x v="7"/>
    <x v="4"/>
    <x v="1"/>
    <x v="1"/>
    <x v="34"/>
    <x v="67"/>
    <x v="25"/>
    <x v="68"/>
    <x v="301"/>
    <x v="32"/>
    <x v="543"/>
    <x v="538"/>
    <x v="543"/>
    <x v="487"/>
    <x v="170"/>
    <x v="190"/>
    <x v="499"/>
    <x v="170"/>
    <x v="1"/>
  </r>
  <r>
    <x v="7"/>
    <x v="1"/>
    <x v="2"/>
    <x v="4"/>
    <x v="3"/>
    <x v="2"/>
    <x v="68"/>
    <x v="32"/>
    <x v="17"/>
    <x v="97"/>
    <x v="159"/>
    <x v="453"/>
    <x v="544"/>
    <x v="539"/>
    <x v="544"/>
    <x v="488"/>
    <x v="171"/>
    <x v="59"/>
    <x v="500"/>
    <x v="171"/>
    <x v="2"/>
  </r>
  <r>
    <x v="25"/>
    <x v="0"/>
    <x v="4"/>
    <x v="4"/>
    <x v="1"/>
    <x v="1"/>
    <x v="17"/>
    <x v="41"/>
    <x v="61"/>
    <x v="156"/>
    <x v="302"/>
    <x v="526"/>
    <x v="545"/>
    <x v="540"/>
    <x v="545"/>
    <x v="489"/>
    <x v="97"/>
    <x v="8"/>
    <x v="501"/>
    <x v="97"/>
    <x v="0"/>
  </r>
  <r>
    <x v="36"/>
    <x v="1"/>
    <x v="3"/>
    <x v="0"/>
    <x v="6"/>
    <x v="1"/>
    <x v="74"/>
    <x v="53"/>
    <x v="59"/>
    <x v="52"/>
    <x v="303"/>
    <x v="527"/>
    <x v="546"/>
    <x v="541"/>
    <x v="546"/>
    <x v="490"/>
    <x v="119"/>
    <x v="183"/>
    <x v="387"/>
    <x v="119"/>
    <x v="1"/>
  </r>
  <r>
    <x v="11"/>
    <x v="0"/>
    <x v="8"/>
    <x v="2"/>
    <x v="6"/>
    <x v="1"/>
    <x v="22"/>
    <x v="52"/>
    <x v="75"/>
    <x v="51"/>
    <x v="42"/>
    <x v="528"/>
    <x v="547"/>
    <x v="174"/>
    <x v="547"/>
    <x v="491"/>
    <x v="62"/>
    <x v="136"/>
    <x v="502"/>
    <x v="62"/>
    <x v="1"/>
  </r>
  <r>
    <x v="35"/>
    <x v="1"/>
    <x v="9"/>
    <x v="4"/>
    <x v="1"/>
    <x v="2"/>
    <x v="45"/>
    <x v="77"/>
    <x v="69"/>
    <x v="108"/>
    <x v="147"/>
    <x v="529"/>
    <x v="548"/>
    <x v="287"/>
    <x v="548"/>
    <x v="492"/>
    <x v="3"/>
    <x v="133"/>
    <x v="503"/>
    <x v="3"/>
    <x v="2"/>
  </r>
  <r>
    <x v="1"/>
    <x v="1"/>
    <x v="4"/>
    <x v="3"/>
    <x v="2"/>
    <x v="1"/>
    <x v="84"/>
    <x v="5"/>
    <x v="25"/>
    <x v="19"/>
    <x v="46"/>
    <x v="530"/>
    <x v="549"/>
    <x v="542"/>
    <x v="549"/>
    <x v="292"/>
    <x v="61"/>
    <x v="26"/>
    <x v="504"/>
    <x v="61"/>
    <x v="1"/>
  </r>
  <r>
    <x v="19"/>
    <x v="0"/>
    <x v="9"/>
    <x v="1"/>
    <x v="4"/>
    <x v="3"/>
    <x v="69"/>
    <x v="56"/>
    <x v="5"/>
    <x v="57"/>
    <x v="173"/>
    <x v="531"/>
    <x v="550"/>
    <x v="543"/>
    <x v="550"/>
    <x v="493"/>
    <x v="11"/>
    <x v="150"/>
    <x v="505"/>
    <x v="11"/>
    <x v="1"/>
  </r>
  <r>
    <x v="54"/>
    <x v="0"/>
    <x v="2"/>
    <x v="0"/>
    <x v="3"/>
    <x v="3"/>
    <x v="38"/>
    <x v="0"/>
    <x v="30"/>
    <x v="137"/>
    <x v="304"/>
    <x v="532"/>
    <x v="551"/>
    <x v="544"/>
    <x v="551"/>
    <x v="494"/>
    <x v="98"/>
    <x v="191"/>
    <x v="506"/>
    <x v="98"/>
    <x v="0"/>
  </r>
  <r>
    <x v="57"/>
    <x v="1"/>
    <x v="6"/>
    <x v="3"/>
    <x v="2"/>
    <x v="3"/>
    <x v="110"/>
    <x v="34"/>
    <x v="82"/>
    <x v="152"/>
    <x v="147"/>
    <x v="533"/>
    <x v="552"/>
    <x v="545"/>
    <x v="552"/>
    <x v="52"/>
    <x v="156"/>
    <x v="57"/>
    <x v="507"/>
    <x v="156"/>
    <x v="0"/>
  </r>
  <r>
    <x v="6"/>
    <x v="0"/>
    <x v="1"/>
    <x v="2"/>
    <x v="0"/>
    <x v="1"/>
    <x v="74"/>
    <x v="19"/>
    <x v="25"/>
    <x v="100"/>
    <x v="305"/>
    <x v="534"/>
    <x v="553"/>
    <x v="546"/>
    <x v="553"/>
    <x v="495"/>
    <x v="129"/>
    <x v="184"/>
    <x v="508"/>
    <x v="129"/>
    <x v="2"/>
  </r>
  <r>
    <x v="51"/>
    <x v="1"/>
    <x v="8"/>
    <x v="4"/>
    <x v="0"/>
    <x v="1"/>
    <x v="39"/>
    <x v="6"/>
    <x v="3"/>
    <x v="114"/>
    <x v="37"/>
    <x v="535"/>
    <x v="554"/>
    <x v="36"/>
    <x v="554"/>
    <x v="131"/>
    <x v="35"/>
    <x v="118"/>
    <x v="509"/>
    <x v="35"/>
    <x v="2"/>
  </r>
  <r>
    <x v="35"/>
    <x v="1"/>
    <x v="6"/>
    <x v="1"/>
    <x v="2"/>
    <x v="3"/>
    <x v="83"/>
    <x v="19"/>
    <x v="20"/>
    <x v="20"/>
    <x v="51"/>
    <x v="536"/>
    <x v="555"/>
    <x v="547"/>
    <x v="555"/>
    <x v="496"/>
    <x v="83"/>
    <x v="61"/>
    <x v="510"/>
    <x v="83"/>
    <x v="2"/>
  </r>
  <r>
    <x v="9"/>
    <x v="0"/>
    <x v="5"/>
    <x v="3"/>
    <x v="4"/>
    <x v="3"/>
    <x v="101"/>
    <x v="23"/>
    <x v="15"/>
    <x v="89"/>
    <x v="206"/>
    <x v="537"/>
    <x v="556"/>
    <x v="548"/>
    <x v="556"/>
    <x v="420"/>
    <x v="25"/>
    <x v="26"/>
    <x v="511"/>
    <x v="25"/>
    <x v="0"/>
  </r>
  <r>
    <x v="34"/>
    <x v="1"/>
    <x v="7"/>
    <x v="0"/>
    <x v="2"/>
    <x v="1"/>
    <x v="79"/>
    <x v="67"/>
    <x v="59"/>
    <x v="75"/>
    <x v="306"/>
    <x v="538"/>
    <x v="557"/>
    <x v="549"/>
    <x v="557"/>
    <x v="497"/>
    <x v="71"/>
    <x v="129"/>
    <x v="512"/>
    <x v="71"/>
    <x v="2"/>
  </r>
  <r>
    <x v="16"/>
    <x v="0"/>
    <x v="5"/>
    <x v="1"/>
    <x v="6"/>
    <x v="0"/>
    <x v="69"/>
    <x v="19"/>
    <x v="17"/>
    <x v="57"/>
    <x v="307"/>
    <x v="539"/>
    <x v="558"/>
    <x v="550"/>
    <x v="558"/>
    <x v="498"/>
    <x v="74"/>
    <x v="143"/>
    <x v="513"/>
    <x v="74"/>
    <x v="0"/>
  </r>
  <r>
    <x v="57"/>
    <x v="1"/>
    <x v="6"/>
    <x v="4"/>
    <x v="0"/>
    <x v="0"/>
    <x v="66"/>
    <x v="75"/>
    <x v="82"/>
    <x v="10"/>
    <x v="308"/>
    <x v="540"/>
    <x v="559"/>
    <x v="551"/>
    <x v="559"/>
    <x v="499"/>
    <x v="139"/>
    <x v="129"/>
    <x v="514"/>
    <x v="139"/>
    <x v="0"/>
  </r>
  <r>
    <x v="16"/>
    <x v="0"/>
    <x v="3"/>
    <x v="3"/>
    <x v="4"/>
    <x v="2"/>
    <x v="87"/>
    <x v="6"/>
    <x v="9"/>
    <x v="84"/>
    <x v="304"/>
    <x v="541"/>
    <x v="560"/>
    <x v="552"/>
    <x v="560"/>
    <x v="500"/>
    <x v="14"/>
    <x v="125"/>
    <x v="515"/>
    <x v="14"/>
    <x v="0"/>
  </r>
  <r>
    <x v="13"/>
    <x v="0"/>
    <x v="1"/>
    <x v="2"/>
    <x v="0"/>
    <x v="0"/>
    <x v="99"/>
    <x v="60"/>
    <x v="44"/>
    <x v="57"/>
    <x v="309"/>
    <x v="542"/>
    <x v="561"/>
    <x v="553"/>
    <x v="561"/>
    <x v="501"/>
    <x v="133"/>
    <x v="32"/>
    <x v="516"/>
    <x v="133"/>
    <x v="2"/>
  </r>
  <r>
    <x v="55"/>
    <x v="1"/>
    <x v="3"/>
    <x v="3"/>
    <x v="2"/>
    <x v="0"/>
    <x v="63"/>
    <x v="57"/>
    <x v="69"/>
    <x v="154"/>
    <x v="267"/>
    <x v="543"/>
    <x v="562"/>
    <x v="554"/>
    <x v="562"/>
    <x v="455"/>
    <x v="147"/>
    <x v="185"/>
    <x v="517"/>
    <x v="147"/>
    <x v="2"/>
  </r>
  <r>
    <x v="43"/>
    <x v="1"/>
    <x v="4"/>
    <x v="4"/>
    <x v="6"/>
    <x v="1"/>
    <x v="90"/>
    <x v="24"/>
    <x v="64"/>
    <x v="89"/>
    <x v="310"/>
    <x v="544"/>
    <x v="563"/>
    <x v="405"/>
    <x v="563"/>
    <x v="502"/>
    <x v="58"/>
    <x v="87"/>
    <x v="518"/>
    <x v="58"/>
    <x v="2"/>
  </r>
  <r>
    <x v="47"/>
    <x v="0"/>
    <x v="2"/>
    <x v="3"/>
    <x v="2"/>
    <x v="0"/>
    <x v="113"/>
    <x v="43"/>
    <x v="44"/>
    <x v="69"/>
    <x v="199"/>
    <x v="545"/>
    <x v="564"/>
    <x v="555"/>
    <x v="564"/>
    <x v="503"/>
    <x v="134"/>
    <x v="40"/>
    <x v="519"/>
    <x v="134"/>
    <x v="0"/>
  </r>
  <r>
    <x v="19"/>
    <x v="0"/>
    <x v="3"/>
    <x v="3"/>
    <x v="1"/>
    <x v="3"/>
    <x v="18"/>
    <x v="57"/>
    <x v="69"/>
    <x v="127"/>
    <x v="62"/>
    <x v="546"/>
    <x v="565"/>
    <x v="556"/>
    <x v="565"/>
    <x v="504"/>
    <x v="60"/>
    <x v="177"/>
    <x v="520"/>
    <x v="60"/>
    <x v="1"/>
  </r>
  <r>
    <x v="29"/>
    <x v="1"/>
    <x v="1"/>
    <x v="1"/>
    <x v="1"/>
    <x v="1"/>
    <x v="40"/>
    <x v="16"/>
    <x v="62"/>
    <x v="55"/>
    <x v="41"/>
    <x v="547"/>
    <x v="566"/>
    <x v="557"/>
    <x v="566"/>
    <x v="505"/>
    <x v="4"/>
    <x v="34"/>
    <x v="521"/>
    <x v="4"/>
    <x v="2"/>
  </r>
  <r>
    <x v="51"/>
    <x v="0"/>
    <x v="5"/>
    <x v="3"/>
    <x v="0"/>
    <x v="0"/>
    <x v="49"/>
    <x v="39"/>
    <x v="54"/>
    <x v="134"/>
    <x v="159"/>
    <x v="548"/>
    <x v="567"/>
    <x v="558"/>
    <x v="567"/>
    <x v="506"/>
    <x v="11"/>
    <x v="23"/>
    <x v="522"/>
    <x v="11"/>
    <x v="2"/>
  </r>
  <r>
    <x v="52"/>
    <x v="1"/>
    <x v="6"/>
    <x v="2"/>
    <x v="6"/>
    <x v="3"/>
    <x v="17"/>
    <x v="9"/>
    <x v="15"/>
    <x v="2"/>
    <x v="311"/>
    <x v="549"/>
    <x v="568"/>
    <x v="559"/>
    <x v="568"/>
    <x v="428"/>
    <x v="172"/>
    <x v="86"/>
    <x v="523"/>
    <x v="172"/>
    <x v="2"/>
  </r>
  <r>
    <x v="51"/>
    <x v="0"/>
    <x v="4"/>
    <x v="3"/>
    <x v="4"/>
    <x v="0"/>
    <x v="37"/>
    <x v="5"/>
    <x v="65"/>
    <x v="91"/>
    <x v="94"/>
    <x v="550"/>
    <x v="569"/>
    <x v="560"/>
    <x v="569"/>
    <x v="507"/>
    <x v="130"/>
    <x v="8"/>
    <x v="524"/>
    <x v="130"/>
    <x v="2"/>
  </r>
  <r>
    <x v="45"/>
    <x v="1"/>
    <x v="1"/>
    <x v="3"/>
    <x v="6"/>
    <x v="3"/>
    <x v="17"/>
    <x v="41"/>
    <x v="33"/>
    <x v="10"/>
    <x v="200"/>
    <x v="551"/>
    <x v="570"/>
    <x v="561"/>
    <x v="570"/>
    <x v="508"/>
    <x v="97"/>
    <x v="83"/>
    <x v="525"/>
    <x v="97"/>
    <x v="2"/>
  </r>
  <r>
    <x v="36"/>
    <x v="0"/>
    <x v="9"/>
    <x v="2"/>
    <x v="5"/>
    <x v="3"/>
    <x v="106"/>
    <x v="33"/>
    <x v="79"/>
    <x v="142"/>
    <x v="4"/>
    <x v="552"/>
    <x v="571"/>
    <x v="562"/>
    <x v="571"/>
    <x v="509"/>
    <x v="40"/>
    <x v="42"/>
    <x v="526"/>
    <x v="40"/>
    <x v="1"/>
  </r>
  <r>
    <x v="19"/>
    <x v="1"/>
    <x v="3"/>
    <x v="3"/>
    <x v="6"/>
    <x v="1"/>
    <x v="48"/>
    <x v="55"/>
    <x v="29"/>
    <x v="111"/>
    <x v="115"/>
    <x v="553"/>
    <x v="572"/>
    <x v="563"/>
    <x v="572"/>
    <x v="78"/>
    <x v="42"/>
    <x v="44"/>
    <x v="527"/>
    <x v="42"/>
    <x v="1"/>
  </r>
  <r>
    <x v="19"/>
    <x v="0"/>
    <x v="1"/>
    <x v="1"/>
    <x v="4"/>
    <x v="3"/>
    <x v="101"/>
    <x v="37"/>
    <x v="43"/>
    <x v="57"/>
    <x v="312"/>
    <x v="554"/>
    <x v="573"/>
    <x v="564"/>
    <x v="573"/>
    <x v="510"/>
    <x v="47"/>
    <x v="46"/>
    <x v="528"/>
    <x v="47"/>
    <x v="1"/>
  </r>
  <r>
    <x v="29"/>
    <x v="1"/>
    <x v="9"/>
    <x v="4"/>
    <x v="3"/>
    <x v="0"/>
    <x v="53"/>
    <x v="42"/>
    <x v="66"/>
    <x v="147"/>
    <x v="274"/>
    <x v="555"/>
    <x v="574"/>
    <x v="565"/>
    <x v="574"/>
    <x v="511"/>
    <x v="31"/>
    <x v="61"/>
    <x v="529"/>
    <x v="31"/>
    <x v="2"/>
  </r>
  <r>
    <x v="31"/>
    <x v="0"/>
    <x v="7"/>
    <x v="4"/>
    <x v="4"/>
    <x v="1"/>
    <x v="15"/>
    <x v="12"/>
    <x v="48"/>
    <x v="52"/>
    <x v="254"/>
    <x v="556"/>
    <x v="575"/>
    <x v="381"/>
    <x v="575"/>
    <x v="70"/>
    <x v="20"/>
    <x v="0"/>
    <x v="530"/>
    <x v="20"/>
    <x v="2"/>
  </r>
  <r>
    <x v="21"/>
    <x v="1"/>
    <x v="7"/>
    <x v="3"/>
    <x v="5"/>
    <x v="2"/>
    <x v="7"/>
    <x v="61"/>
    <x v="5"/>
    <x v="147"/>
    <x v="182"/>
    <x v="557"/>
    <x v="576"/>
    <x v="566"/>
    <x v="576"/>
    <x v="421"/>
    <x v="102"/>
    <x v="73"/>
    <x v="531"/>
    <x v="102"/>
    <x v="0"/>
  </r>
  <r>
    <x v="3"/>
    <x v="0"/>
    <x v="7"/>
    <x v="3"/>
    <x v="5"/>
    <x v="1"/>
    <x v="105"/>
    <x v="36"/>
    <x v="31"/>
    <x v="28"/>
    <x v="234"/>
    <x v="558"/>
    <x v="158"/>
    <x v="567"/>
    <x v="577"/>
    <x v="512"/>
    <x v="48"/>
    <x v="99"/>
    <x v="532"/>
    <x v="48"/>
    <x v="0"/>
  </r>
  <r>
    <x v="8"/>
    <x v="0"/>
    <x v="4"/>
    <x v="2"/>
    <x v="1"/>
    <x v="0"/>
    <x v="114"/>
    <x v="44"/>
    <x v="68"/>
    <x v="12"/>
    <x v="313"/>
    <x v="559"/>
    <x v="577"/>
    <x v="568"/>
    <x v="578"/>
    <x v="513"/>
    <x v="70"/>
    <x v="2"/>
    <x v="533"/>
    <x v="70"/>
    <x v="2"/>
  </r>
  <r>
    <x v="37"/>
    <x v="0"/>
    <x v="1"/>
    <x v="1"/>
    <x v="0"/>
    <x v="0"/>
    <x v="7"/>
    <x v="31"/>
    <x v="62"/>
    <x v="19"/>
    <x v="314"/>
    <x v="560"/>
    <x v="578"/>
    <x v="569"/>
    <x v="579"/>
    <x v="514"/>
    <x v="4"/>
    <x v="192"/>
    <x v="521"/>
    <x v="4"/>
    <x v="2"/>
  </r>
  <r>
    <x v="31"/>
    <x v="0"/>
    <x v="7"/>
    <x v="3"/>
    <x v="4"/>
    <x v="2"/>
    <x v="47"/>
    <x v="7"/>
    <x v="35"/>
    <x v="125"/>
    <x v="309"/>
    <x v="561"/>
    <x v="579"/>
    <x v="570"/>
    <x v="580"/>
    <x v="136"/>
    <x v="95"/>
    <x v="161"/>
    <x v="534"/>
    <x v="95"/>
    <x v="2"/>
  </r>
  <r>
    <x v="39"/>
    <x v="1"/>
    <x v="8"/>
    <x v="0"/>
    <x v="2"/>
    <x v="3"/>
    <x v="110"/>
    <x v="19"/>
    <x v="48"/>
    <x v="92"/>
    <x v="34"/>
    <x v="193"/>
    <x v="580"/>
    <x v="571"/>
    <x v="581"/>
    <x v="515"/>
    <x v="101"/>
    <x v="134"/>
    <x v="535"/>
    <x v="101"/>
    <x v="2"/>
  </r>
  <r>
    <x v="15"/>
    <x v="1"/>
    <x v="0"/>
    <x v="3"/>
    <x v="5"/>
    <x v="2"/>
    <x v="67"/>
    <x v="13"/>
    <x v="86"/>
    <x v="72"/>
    <x v="200"/>
    <x v="562"/>
    <x v="581"/>
    <x v="572"/>
    <x v="582"/>
    <x v="504"/>
    <x v="33"/>
    <x v="132"/>
    <x v="536"/>
    <x v="33"/>
    <x v="2"/>
  </r>
  <r>
    <x v="59"/>
    <x v="0"/>
    <x v="2"/>
    <x v="3"/>
    <x v="4"/>
    <x v="2"/>
    <x v="51"/>
    <x v="19"/>
    <x v="28"/>
    <x v="23"/>
    <x v="44"/>
    <x v="563"/>
    <x v="582"/>
    <x v="573"/>
    <x v="583"/>
    <x v="516"/>
    <x v="173"/>
    <x v="14"/>
    <x v="537"/>
    <x v="173"/>
    <x v="0"/>
  </r>
  <r>
    <x v="26"/>
    <x v="1"/>
    <x v="2"/>
    <x v="2"/>
    <x v="4"/>
    <x v="1"/>
    <x v="63"/>
    <x v="55"/>
    <x v="44"/>
    <x v="143"/>
    <x v="315"/>
    <x v="564"/>
    <x v="583"/>
    <x v="574"/>
    <x v="584"/>
    <x v="517"/>
    <x v="27"/>
    <x v="111"/>
    <x v="538"/>
    <x v="27"/>
    <x v="2"/>
  </r>
  <r>
    <x v="55"/>
    <x v="0"/>
    <x v="0"/>
    <x v="1"/>
    <x v="3"/>
    <x v="0"/>
    <x v="7"/>
    <x v="22"/>
    <x v="10"/>
    <x v="11"/>
    <x v="156"/>
    <x v="565"/>
    <x v="584"/>
    <x v="575"/>
    <x v="585"/>
    <x v="518"/>
    <x v="34"/>
    <x v="174"/>
    <x v="539"/>
    <x v="34"/>
    <x v="2"/>
  </r>
  <r>
    <x v="6"/>
    <x v="1"/>
    <x v="7"/>
    <x v="3"/>
    <x v="1"/>
    <x v="1"/>
    <x v="91"/>
    <x v="52"/>
    <x v="52"/>
    <x v="33"/>
    <x v="316"/>
    <x v="566"/>
    <x v="585"/>
    <x v="576"/>
    <x v="586"/>
    <x v="519"/>
    <x v="61"/>
    <x v="66"/>
    <x v="540"/>
    <x v="61"/>
    <x v="2"/>
  </r>
  <r>
    <x v="8"/>
    <x v="1"/>
    <x v="2"/>
    <x v="3"/>
    <x v="0"/>
    <x v="0"/>
    <x v="40"/>
    <x v="34"/>
    <x v="60"/>
    <x v="92"/>
    <x v="307"/>
    <x v="329"/>
    <x v="586"/>
    <x v="577"/>
    <x v="587"/>
    <x v="44"/>
    <x v="154"/>
    <x v="112"/>
    <x v="541"/>
    <x v="154"/>
    <x v="2"/>
  </r>
  <r>
    <x v="58"/>
    <x v="1"/>
    <x v="2"/>
    <x v="4"/>
    <x v="2"/>
    <x v="3"/>
    <x v="88"/>
    <x v="24"/>
    <x v="84"/>
    <x v="17"/>
    <x v="260"/>
    <x v="567"/>
    <x v="587"/>
    <x v="578"/>
    <x v="588"/>
    <x v="248"/>
    <x v="106"/>
    <x v="193"/>
    <x v="542"/>
    <x v="106"/>
    <x v="0"/>
  </r>
  <r>
    <x v="20"/>
    <x v="1"/>
    <x v="3"/>
    <x v="2"/>
    <x v="5"/>
    <x v="0"/>
    <x v="71"/>
    <x v="64"/>
    <x v="16"/>
    <x v="31"/>
    <x v="145"/>
    <x v="568"/>
    <x v="588"/>
    <x v="579"/>
    <x v="589"/>
    <x v="400"/>
    <x v="9"/>
    <x v="61"/>
    <x v="543"/>
    <x v="9"/>
    <x v="1"/>
  </r>
  <r>
    <x v="25"/>
    <x v="1"/>
    <x v="2"/>
    <x v="4"/>
    <x v="4"/>
    <x v="1"/>
    <x v="71"/>
    <x v="39"/>
    <x v="10"/>
    <x v="87"/>
    <x v="317"/>
    <x v="569"/>
    <x v="589"/>
    <x v="580"/>
    <x v="590"/>
    <x v="520"/>
    <x v="141"/>
    <x v="146"/>
    <x v="544"/>
    <x v="141"/>
    <x v="0"/>
  </r>
  <r>
    <x v="20"/>
    <x v="1"/>
    <x v="4"/>
    <x v="3"/>
    <x v="2"/>
    <x v="0"/>
    <x v="80"/>
    <x v="62"/>
    <x v="18"/>
    <x v="11"/>
    <x v="135"/>
    <x v="570"/>
    <x v="590"/>
    <x v="40"/>
    <x v="591"/>
    <x v="521"/>
    <x v="63"/>
    <x v="194"/>
    <x v="545"/>
    <x v="63"/>
    <x v="1"/>
  </r>
  <r>
    <x v="27"/>
    <x v="0"/>
    <x v="2"/>
    <x v="1"/>
    <x v="5"/>
    <x v="2"/>
    <x v="69"/>
    <x v="13"/>
    <x v="51"/>
    <x v="83"/>
    <x v="263"/>
    <x v="571"/>
    <x v="591"/>
    <x v="581"/>
    <x v="592"/>
    <x v="64"/>
    <x v="126"/>
    <x v="27"/>
    <x v="546"/>
    <x v="126"/>
    <x v="0"/>
  </r>
  <r>
    <x v="55"/>
    <x v="0"/>
    <x v="6"/>
    <x v="4"/>
    <x v="4"/>
    <x v="0"/>
    <x v="109"/>
    <x v="5"/>
    <x v="73"/>
    <x v="2"/>
    <x v="318"/>
    <x v="572"/>
    <x v="592"/>
    <x v="582"/>
    <x v="593"/>
    <x v="522"/>
    <x v="20"/>
    <x v="70"/>
    <x v="547"/>
    <x v="20"/>
    <x v="2"/>
  </r>
  <r>
    <x v="8"/>
    <x v="0"/>
    <x v="4"/>
    <x v="0"/>
    <x v="1"/>
    <x v="0"/>
    <x v="63"/>
    <x v="67"/>
    <x v="3"/>
    <x v="149"/>
    <x v="257"/>
    <x v="573"/>
    <x v="593"/>
    <x v="583"/>
    <x v="594"/>
    <x v="523"/>
    <x v="58"/>
    <x v="36"/>
    <x v="548"/>
    <x v="58"/>
    <x v="2"/>
  </r>
  <r>
    <x v="40"/>
    <x v="1"/>
    <x v="4"/>
    <x v="0"/>
    <x v="4"/>
    <x v="2"/>
    <x v="7"/>
    <x v="59"/>
    <x v="20"/>
    <x v="50"/>
    <x v="46"/>
    <x v="574"/>
    <x v="594"/>
    <x v="584"/>
    <x v="595"/>
    <x v="132"/>
    <x v="82"/>
    <x v="101"/>
    <x v="549"/>
    <x v="82"/>
    <x v="2"/>
  </r>
  <r>
    <x v="46"/>
    <x v="0"/>
    <x v="9"/>
    <x v="1"/>
    <x v="5"/>
    <x v="3"/>
    <x v="64"/>
    <x v="12"/>
    <x v="70"/>
    <x v="137"/>
    <x v="299"/>
    <x v="575"/>
    <x v="595"/>
    <x v="585"/>
    <x v="596"/>
    <x v="524"/>
    <x v="3"/>
    <x v="41"/>
    <x v="550"/>
    <x v="3"/>
    <x v="1"/>
  </r>
  <r>
    <x v="35"/>
    <x v="0"/>
    <x v="7"/>
    <x v="2"/>
    <x v="5"/>
    <x v="3"/>
    <x v="84"/>
    <x v="46"/>
    <x v="62"/>
    <x v="65"/>
    <x v="263"/>
    <x v="576"/>
    <x v="596"/>
    <x v="586"/>
    <x v="597"/>
    <x v="525"/>
    <x v="110"/>
    <x v="193"/>
    <x v="551"/>
    <x v="110"/>
    <x v="2"/>
  </r>
  <r>
    <x v="7"/>
    <x v="1"/>
    <x v="4"/>
    <x v="3"/>
    <x v="6"/>
    <x v="1"/>
    <x v="102"/>
    <x v="34"/>
    <x v="64"/>
    <x v="137"/>
    <x v="319"/>
    <x v="534"/>
    <x v="597"/>
    <x v="205"/>
    <x v="598"/>
    <x v="88"/>
    <x v="174"/>
    <x v="147"/>
    <x v="552"/>
    <x v="174"/>
    <x v="2"/>
  </r>
  <r>
    <x v="37"/>
    <x v="1"/>
    <x v="9"/>
    <x v="4"/>
    <x v="1"/>
    <x v="0"/>
    <x v="62"/>
    <x v="26"/>
    <x v="40"/>
    <x v="147"/>
    <x v="320"/>
    <x v="577"/>
    <x v="598"/>
    <x v="587"/>
    <x v="599"/>
    <x v="526"/>
    <x v="105"/>
    <x v="119"/>
    <x v="553"/>
    <x v="105"/>
    <x v="2"/>
  </r>
  <r>
    <x v="3"/>
    <x v="0"/>
    <x v="3"/>
    <x v="2"/>
    <x v="6"/>
    <x v="2"/>
    <x v="59"/>
    <x v="60"/>
    <x v="16"/>
    <x v="59"/>
    <x v="171"/>
    <x v="578"/>
    <x v="599"/>
    <x v="588"/>
    <x v="600"/>
    <x v="527"/>
    <x v="88"/>
    <x v="30"/>
    <x v="554"/>
    <x v="88"/>
    <x v="0"/>
  </r>
  <r>
    <x v="13"/>
    <x v="0"/>
    <x v="5"/>
    <x v="2"/>
    <x v="2"/>
    <x v="1"/>
    <x v="49"/>
    <x v="4"/>
    <x v="71"/>
    <x v="24"/>
    <x v="221"/>
    <x v="579"/>
    <x v="600"/>
    <x v="589"/>
    <x v="601"/>
    <x v="310"/>
    <x v="62"/>
    <x v="6"/>
    <x v="555"/>
    <x v="62"/>
    <x v="2"/>
  </r>
  <r>
    <x v="22"/>
    <x v="0"/>
    <x v="7"/>
    <x v="0"/>
    <x v="4"/>
    <x v="2"/>
    <x v="13"/>
    <x v="54"/>
    <x v="11"/>
    <x v="115"/>
    <x v="321"/>
    <x v="580"/>
    <x v="601"/>
    <x v="590"/>
    <x v="602"/>
    <x v="528"/>
    <x v="106"/>
    <x v="2"/>
    <x v="556"/>
    <x v="106"/>
    <x v="0"/>
  </r>
  <r>
    <x v="11"/>
    <x v="0"/>
    <x v="1"/>
    <x v="1"/>
    <x v="6"/>
    <x v="0"/>
    <x v="93"/>
    <x v="12"/>
    <x v="80"/>
    <x v="93"/>
    <x v="273"/>
    <x v="581"/>
    <x v="602"/>
    <x v="591"/>
    <x v="603"/>
    <x v="529"/>
    <x v="132"/>
    <x v="48"/>
    <x v="557"/>
    <x v="132"/>
    <x v="1"/>
  </r>
  <r>
    <x v="15"/>
    <x v="1"/>
    <x v="2"/>
    <x v="4"/>
    <x v="0"/>
    <x v="2"/>
    <x v="102"/>
    <x v="16"/>
    <x v="31"/>
    <x v="58"/>
    <x v="322"/>
    <x v="582"/>
    <x v="603"/>
    <x v="592"/>
    <x v="604"/>
    <x v="438"/>
    <x v="127"/>
    <x v="166"/>
    <x v="38"/>
    <x v="127"/>
    <x v="2"/>
  </r>
  <r>
    <x v="14"/>
    <x v="1"/>
    <x v="8"/>
    <x v="2"/>
    <x v="2"/>
    <x v="3"/>
    <x v="87"/>
    <x v="73"/>
    <x v="47"/>
    <x v="131"/>
    <x v="323"/>
    <x v="583"/>
    <x v="604"/>
    <x v="593"/>
    <x v="605"/>
    <x v="530"/>
    <x v="58"/>
    <x v="158"/>
    <x v="558"/>
    <x v="58"/>
    <x v="2"/>
  </r>
  <r>
    <x v="45"/>
    <x v="0"/>
    <x v="4"/>
    <x v="0"/>
    <x v="4"/>
    <x v="3"/>
    <x v="79"/>
    <x v="20"/>
    <x v="75"/>
    <x v="66"/>
    <x v="101"/>
    <x v="584"/>
    <x v="605"/>
    <x v="594"/>
    <x v="606"/>
    <x v="531"/>
    <x v="147"/>
    <x v="163"/>
    <x v="490"/>
    <x v="147"/>
    <x v="2"/>
  </r>
  <r>
    <x v="33"/>
    <x v="1"/>
    <x v="0"/>
    <x v="2"/>
    <x v="2"/>
    <x v="1"/>
    <x v="53"/>
    <x v="47"/>
    <x v="58"/>
    <x v="107"/>
    <x v="158"/>
    <x v="585"/>
    <x v="606"/>
    <x v="595"/>
    <x v="607"/>
    <x v="532"/>
    <x v="173"/>
    <x v="12"/>
    <x v="91"/>
    <x v="173"/>
    <x v="2"/>
  </r>
  <r>
    <x v="17"/>
    <x v="1"/>
    <x v="7"/>
    <x v="1"/>
    <x v="6"/>
    <x v="3"/>
    <x v="25"/>
    <x v="22"/>
    <x v="14"/>
    <x v="32"/>
    <x v="36"/>
    <x v="586"/>
    <x v="607"/>
    <x v="596"/>
    <x v="608"/>
    <x v="533"/>
    <x v="20"/>
    <x v="52"/>
    <x v="559"/>
    <x v="20"/>
    <x v="1"/>
  </r>
  <r>
    <x v="3"/>
    <x v="0"/>
    <x v="7"/>
    <x v="4"/>
    <x v="5"/>
    <x v="1"/>
    <x v="74"/>
    <x v="31"/>
    <x v="46"/>
    <x v="144"/>
    <x v="324"/>
    <x v="587"/>
    <x v="608"/>
    <x v="597"/>
    <x v="609"/>
    <x v="534"/>
    <x v="110"/>
    <x v="139"/>
    <x v="560"/>
    <x v="110"/>
    <x v="0"/>
  </r>
  <r>
    <x v="25"/>
    <x v="1"/>
    <x v="9"/>
    <x v="2"/>
    <x v="3"/>
    <x v="3"/>
    <x v="38"/>
    <x v="62"/>
    <x v="75"/>
    <x v="49"/>
    <x v="225"/>
    <x v="588"/>
    <x v="609"/>
    <x v="598"/>
    <x v="610"/>
    <x v="535"/>
    <x v="4"/>
    <x v="72"/>
    <x v="561"/>
    <x v="4"/>
    <x v="0"/>
  </r>
  <r>
    <x v="27"/>
    <x v="0"/>
    <x v="5"/>
    <x v="3"/>
    <x v="3"/>
    <x v="2"/>
    <x v="55"/>
    <x v="60"/>
    <x v="28"/>
    <x v="55"/>
    <x v="325"/>
    <x v="589"/>
    <x v="610"/>
    <x v="599"/>
    <x v="611"/>
    <x v="399"/>
    <x v="167"/>
    <x v="166"/>
    <x v="562"/>
    <x v="167"/>
    <x v="0"/>
  </r>
  <r>
    <x v="1"/>
    <x v="0"/>
    <x v="0"/>
    <x v="2"/>
    <x v="5"/>
    <x v="0"/>
    <x v="92"/>
    <x v="4"/>
    <x v="33"/>
    <x v="21"/>
    <x v="202"/>
    <x v="590"/>
    <x v="611"/>
    <x v="600"/>
    <x v="612"/>
    <x v="536"/>
    <x v="88"/>
    <x v="171"/>
    <x v="563"/>
    <x v="88"/>
    <x v="1"/>
  </r>
  <r>
    <x v="12"/>
    <x v="0"/>
    <x v="8"/>
    <x v="4"/>
    <x v="3"/>
    <x v="1"/>
    <x v="74"/>
    <x v="42"/>
    <x v="73"/>
    <x v="73"/>
    <x v="212"/>
    <x v="591"/>
    <x v="612"/>
    <x v="601"/>
    <x v="613"/>
    <x v="537"/>
    <x v="57"/>
    <x v="163"/>
    <x v="564"/>
    <x v="57"/>
    <x v="0"/>
  </r>
  <r>
    <x v="4"/>
    <x v="1"/>
    <x v="1"/>
    <x v="2"/>
    <x v="2"/>
    <x v="3"/>
    <x v="110"/>
    <x v="44"/>
    <x v="5"/>
    <x v="15"/>
    <x v="143"/>
    <x v="592"/>
    <x v="613"/>
    <x v="602"/>
    <x v="614"/>
    <x v="538"/>
    <x v="78"/>
    <x v="43"/>
    <x v="565"/>
    <x v="78"/>
    <x v="1"/>
  </r>
  <r>
    <x v="16"/>
    <x v="1"/>
    <x v="9"/>
    <x v="2"/>
    <x v="6"/>
    <x v="0"/>
    <x v="9"/>
    <x v="79"/>
    <x v="70"/>
    <x v="78"/>
    <x v="76"/>
    <x v="593"/>
    <x v="614"/>
    <x v="603"/>
    <x v="615"/>
    <x v="539"/>
    <x v="0"/>
    <x v="182"/>
    <x v="566"/>
    <x v="0"/>
    <x v="0"/>
  </r>
  <r>
    <x v="6"/>
    <x v="0"/>
    <x v="1"/>
    <x v="2"/>
    <x v="0"/>
    <x v="0"/>
    <x v="100"/>
    <x v="40"/>
    <x v="23"/>
    <x v="133"/>
    <x v="281"/>
    <x v="17"/>
    <x v="615"/>
    <x v="604"/>
    <x v="616"/>
    <x v="540"/>
    <x v="142"/>
    <x v="48"/>
    <x v="567"/>
    <x v="142"/>
    <x v="2"/>
  </r>
  <r>
    <x v="12"/>
    <x v="0"/>
    <x v="9"/>
    <x v="4"/>
    <x v="6"/>
    <x v="2"/>
    <x v="30"/>
    <x v="57"/>
    <x v="70"/>
    <x v="91"/>
    <x v="79"/>
    <x v="18"/>
    <x v="616"/>
    <x v="605"/>
    <x v="617"/>
    <x v="541"/>
    <x v="22"/>
    <x v="13"/>
    <x v="568"/>
    <x v="22"/>
    <x v="0"/>
  </r>
  <r>
    <x v="8"/>
    <x v="0"/>
    <x v="0"/>
    <x v="0"/>
    <x v="3"/>
    <x v="0"/>
    <x v="110"/>
    <x v="54"/>
    <x v="2"/>
    <x v="130"/>
    <x v="326"/>
    <x v="594"/>
    <x v="617"/>
    <x v="606"/>
    <x v="618"/>
    <x v="542"/>
    <x v="95"/>
    <x v="94"/>
    <x v="569"/>
    <x v="95"/>
    <x v="2"/>
  </r>
  <r>
    <x v="18"/>
    <x v="1"/>
    <x v="0"/>
    <x v="0"/>
    <x v="4"/>
    <x v="3"/>
    <x v="90"/>
    <x v="26"/>
    <x v="71"/>
    <x v="114"/>
    <x v="327"/>
    <x v="595"/>
    <x v="618"/>
    <x v="607"/>
    <x v="619"/>
    <x v="80"/>
    <x v="157"/>
    <x v="15"/>
    <x v="570"/>
    <x v="157"/>
    <x v="2"/>
  </r>
  <r>
    <x v="40"/>
    <x v="1"/>
    <x v="4"/>
    <x v="3"/>
    <x v="5"/>
    <x v="3"/>
    <x v="75"/>
    <x v="40"/>
    <x v="43"/>
    <x v="38"/>
    <x v="190"/>
    <x v="596"/>
    <x v="619"/>
    <x v="608"/>
    <x v="620"/>
    <x v="543"/>
    <x v="175"/>
    <x v="131"/>
    <x v="86"/>
    <x v="175"/>
    <x v="2"/>
  </r>
  <r>
    <x v="34"/>
    <x v="1"/>
    <x v="1"/>
    <x v="3"/>
    <x v="6"/>
    <x v="0"/>
    <x v="3"/>
    <x v="15"/>
    <x v="51"/>
    <x v="120"/>
    <x v="78"/>
    <x v="597"/>
    <x v="620"/>
    <x v="609"/>
    <x v="621"/>
    <x v="544"/>
    <x v="159"/>
    <x v="30"/>
    <x v="571"/>
    <x v="159"/>
    <x v="2"/>
  </r>
  <r>
    <x v="16"/>
    <x v="1"/>
    <x v="9"/>
    <x v="0"/>
    <x v="2"/>
    <x v="2"/>
    <x v="4"/>
    <x v="1"/>
    <x v="55"/>
    <x v="97"/>
    <x v="328"/>
    <x v="508"/>
    <x v="621"/>
    <x v="610"/>
    <x v="622"/>
    <x v="106"/>
    <x v="140"/>
    <x v="138"/>
    <x v="572"/>
    <x v="140"/>
    <x v="0"/>
  </r>
  <r>
    <x v="56"/>
    <x v="1"/>
    <x v="3"/>
    <x v="3"/>
    <x v="1"/>
    <x v="3"/>
    <x v="99"/>
    <x v="25"/>
    <x v="86"/>
    <x v="157"/>
    <x v="115"/>
    <x v="598"/>
    <x v="622"/>
    <x v="611"/>
    <x v="623"/>
    <x v="195"/>
    <x v="101"/>
    <x v="163"/>
    <x v="401"/>
    <x v="101"/>
    <x v="2"/>
  </r>
  <r>
    <x v="22"/>
    <x v="1"/>
    <x v="5"/>
    <x v="1"/>
    <x v="1"/>
    <x v="0"/>
    <x v="20"/>
    <x v="65"/>
    <x v="37"/>
    <x v="108"/>
    <x v="329"/>
    <x v="599"/>
    <x v="623"/>
    <x v="612"/>
    <x v="624"/>
    <x v="545"/>
    <x v="97"/>
    <x v="9"/>
    <x v="573"/>
    <x v="97"/>
    <x v="0"/>
  </r>
  <r>
    <x v="39"/>
    <x v="1"/>
    <x v="6"/>
    <x v="1"/>
    <x v="2"/>
    <x v="3"/>
    <x v="49"/>
    <x v="29"/>
    <x v="33"/>
    <x v="35"/>
    <x v="330"/>
    <x v="600"/>
    <x v="624"/>
    <x v="613"/>
    <x v="625"/>
    <x v="546"/>
    <x v="173"/>
    <x v="77"/>
    <x v="574"/>
    <x v="173"/>
    <x v="2"/>
  </r>
  <r>
    <x v="28"/>
    <x v="1"/>
    <x v="9"/>
    <x v="0"/>
    <x v="4"/>
    <x v="0"/>
    <x v="87"/>
    <x v="61"/>
    <x v="51"/>
    <x v="43"/>
    <x v="155"/>
    <x v="601"/>
    <x v="625"/>
    <x v="129"/>
    <x v="626"/>
    <x v="547"/>
    <x v="10"/>
    <x v="93"/>
    <x v="575"/>
    <x v="10"/>
    <x v="0"/>
  </r>
  <r>
    <x v="19"/>
    <x v="1"/>
    <x v="8"/>
    <x v="2"/>
    <x v="2"/>
    <x v="3"/>
    <x v="22"/>
    <x v="49"/>
    <x v="44"/>
    <x v="17"/>
    <x v="212"/>
    <x v="602"/>
    <x v="626"/>
    <x v="614"/>
    <x v="627"/>
    <x v="359"/>
    <x v="8"/>
    <x v="105"/>
    <x v="576"/>
    <x v="8"/>
    <x v="1"/>
  </r>
  <r>
    <x v="8"/>
    <x v="1"/>
    <x v="0"/>
    <x v="3"/>
    <x v="6"/>
    <x v="2"/>
    <x v="35"/>
    <x v="37"/>
    <x v="53"/>
    <x v="71"/>
    <x v="165"/>
    <x v="147"/>
    <x v="627"/>
    <x v="615"/>
    <x v="628"/>
    <x v="171"/>
    <x v="146"/>
    <x v="141"/>
    <x v="476"/>
    <x v="146"/>
    <x v="2"/>
  </r>
  <r>
    <x v="17"/>
    <x v="1"/>
    <x v="2"/>
    <x v="2"/>
    <x v="2"/>
    <x v="1"/>
    <x v="5"/>
    <x v="33"/>
    <x v="7"/>
    <x v="133"/>
    <x v="228"/>
    <x v="603"/>
    <x v="628"/>
    <x v="616"/>
    <x v="629"/>
    <x v="12"/>
    <x v="112"/>
    <x v="21"/>
    <x v="577"/>
    <x v="112"/>
    <x v="1"/>
  </r>
  <r>
    <x v="50"/>
    <x v="0"/>
    <x v="8"/>
    <x v="1"/>
    <x v="2"/>
    <x v="1"/>
    <x v="5"/>
    <x v="56"/>
    <x v="22"/>
    <x v="156"/>
    <x v="331"/>
    <x v="604"/>
    <x v="629"/>
    <x v="617"/>
    <x v="630"/>
    <x v="442"/>
    <x v="84"/>
    <x v="67"/>
    <x v="578"/>
    <x v="84"/>
    <x v="2"/>
  </r>
  <r>
    <x v="14"/>
    <x v="1"/>
    <x v="9"/>
    <x v="1"/>
    <x v="4"/>
    <x v="2"/>
    <x v="21"/>
    <x v="4"/>
    <x v="31"/>
    <x v="37"/>
    <x v="47"/>
    <x v="605"/>
    <x v="630"/>
    <x v="618"/>
    <x v="631"/>
    <x v="548"/>
    <x v="55"/>
    <x v="128"/>
    <x v="579"/>
    <x v="55"/>
    <x v="2"/>
  </r>
  <r>
    <x v="24"/>
    <x v="0"/>
    <x v="9"/>
    <x v="4"/>
    <x v="0"/>
    <x v="1"/>
    <x v="113"/>
    <x v="2"/>
    <x v="80"/>
    <x v="33"/>
    <x v="192"/>
    <x v="606"/>
    <x v="631"/>
    <x v="619"/>
    <x v="632"/>
    <x v="549"/>
    <x v="171"/>
    <x v="64"/>
    <x v="580"/>
    <x v="171"/>
    <x v="1"/>
  </r>
  <r>
    <x v="49"/>
    <x v="1"/>
    <x v="0"/>
    <x v="1"/>
    <x v="6"/>
    <x v="1"/>
    <x v="112"/>
    <x v="73"/>
    <x v="85"/>
    <x v="137"/>
    <x v="332"/>
    <x v="607"/>
    <x v="632"/>
    <x v="620"/>
    <x v="633"/>
    <x v="550"/>
    <x v="103"/>
    <x v="195"/>
    <x v="581"/>
    <x v="103"/>
    <x v="1"/>
  </r>
  <r>
    <x v="32"/>
    <x v="0"/>
    <x v="7"/>
    <x v="0"/>
    <x v="1"/>
    <x v="1"/>
    <x v="99"/>
    <x v="76"/>
    <x v="15"/>
    <x v="25"/>
    <x v="231"/>
    <x v="268"/>
    <x v="633"/>
    <x v="621"/>
    <x v="634"/>
    <x v="191"/>
    <x v="139"/>
    <x v="116"/>
    <x v="582"/>
    <x v="139"/>
    <x v="1"/>
  </r>
  <r>
    <x v="39"/>
    <x v="0"/>
    <x v="5"/>
    <x v="1"/>
    <x v="4"/>
    <x v="3"/>
    <x v="70"/>
    <x v="18"/>
    <x v="38"/>
    <x v="77"/>
    <x v="333"/>
    <x v="608"/>
    <x v="634"/>
    <x v="445"/>
    <x v="635"/>
    <x v="551"/>
    <x v="27"/>
    <x v="41"/>
    <x v="583"/>
    <x v="27"/>
    <x v="2"/>
  </r>
  <r>
    <x v="2"/>
    <x v="0"/>
    <x v="1"/>
    <x v="4"/>
    <x v="4"/>
    <x v="3"/>
    <x v="109"/>
    <x v="54"/>
    <x v="79"/>
    <x v="46"/>
    <x v="334"/>
    <x v="609"/>
    <x v="635"/>
    <x v="622"/>
    <x v="636"/>
    <x v="552"/>
    <x v="79"/>
    <x v="72"/>
    <x v="584"/>
    <x v="79"/>
    <x v="2"/>
  </r>
  <r>
    <x v="54"/>
    <x v="1"/>
    <x v="4"/>
    <x v="0"/>
    <x v="0"/>
    <x v="3"/>
    <x v="117"/>
    <x v="55"/>
    <x v="56"/>
    <x v="62"/>
    <x v="241"/>
    <x v="610"/>
    <x v="636"/>
    <x v="623"/>
    <x v="637"/>
    <x v="507"/>
    <x v="150"/>
    <x v="30"/>
    <x v="585"/>
    <x v="150"/>
    <x v="0"/>
  </r>
  <r>
    <x v="57"/>
    <x v="0"/>
    <x v="3"/>
    <x v="1"/>
    <x v="6"/>
    <x v="2"/>
    <x v="115"/>
    <x v="10"/>
    <x v="50"/>
    <x v="59"/>
    <x v="213"/>
    <x v="611"/>
    <x v="637"/>
    <x v="624"/>
    <x v="638"/>
    <x v="553"/>
    <x v="36"/>
    <x v="141"/>
    <x v="586"/>
    <x v="36"/>
    <x v="0"/>
  </r>
  <r>
    <x v="2"/>
    <x v="0"/>
    <x v="3"/>
    <x v="4"/>
    <x v="3"/>
    <x v="1"/>
    <x v="76"/>
    <x v="73"/>
    <x v="82"/>
    <x v="2"/>
    <x v="60"/>
    <x v="612"/>
    <x v="638"/>
    <x v="625"/>
    <x v="639"/>
    <x v="554"/>
    <x v="100"/>
    <x v="116"/>
    <x v="587"/>
    <x v="100"/>
    <x v="2"/>
  </r>
  <r>
    <x v="3"/>
    <x v="1"/>
    <x v="7"/>
    <x v="3"/>
    <x v="2"/>
    <x v="2"/>
    <x v="69"/>
    <x v="58"/>
    <x v="38"/>
    <x v="49"/>
    <x v="335"/>
    <x v="613"/>
    <x v="639"/>
    <x v="626"/>
    <x v="640"/>
    <x v="555"/>
    <x v="156"/>
    <x v="109"/>
    <x v="139"/>
    <x v="156"/>
    <x v="0"/>
  </r>
  <r>
    <x v="22"/>
    <x v="1"/>
    <x v="5"/>
    <x v="1"/>
    <x v="0"/>
    <x v="1"/>
    <x v="62"/>
    <x v="5"/>
    <x v="0"/>
    <x v="51"/>
    <x v="194"/>
    <x v="614"/>
    <x v="640"/>
    <x v="627"/>
    <x v="641"/>
    <x v="556"/>
    <x v="149"/>
    <x v="172"/>
    <x v="588"/>
    <x v="149"/>
    <x v="0"/>
  </r>
  <r>
    <x v="39"/>
    <x v="0"/>
    <x v="2"/>
    <x v="2"/>
    <x v="5"/>
    <x v="1"/>
    <x v="17"/>
    <x v="28"/>
    <x v="81"/>
    <x v="53"/>
    <x v="225"/>
    <x v="615"/>
    <x v="641"/>
    <x v="628"/>
    <x v="642"/>
    <x v="549"/>
    <x v="65"/>
    <x v="25"/>
    <x v="589"/>
    <x v="65"/>
    <x v="2"/>
  </r>
  <r>
    <x v="15"/>
    <x v="0"/>
    <x v="5"/>
    <x v="2"/>
    <x v="0"/>
    <x v="2"/>
    <x v="112"/>
    <x v="77"/>
    <x v="17"/>
    <x v="128"/>
    <x v="325"/>
    <x v="616"/>
    <x v="642"/>
    <x v="629"/>
    <x v="643"/>
    <x v="557"/>
    <x v="88"/>
    <x v="112"/>
    <x v="590"/>
    <x v="88"/>
    <x v="2"/>
  </r>
  <r>
    <x v="50"/>
    <x v="0"/>
    <x v="4"/>
    <x v="0"/>
    <x v="3"/>
    <x v="0"/>
    <x v="1"/>
    <x v="69"/>
    <x v="48"/>
    <x v="64"/>
    <x v="271"/>
    <x v="617"/>
    <x v="643"/>
    <x v="630"/>
    <x v="644"/>
    <x v="558"/>
    <x v="80"/>
    <x v="36"/>
    <x v="591"/>
    <x v="80"/>
    <x v="2"/>
  </r>
  <r>
    <x v="25"/>
    <x v="0"/>
    <x v="9"/>
    <x v="1"/>
    <x v="5"/>
    <x v="1"/>
    <x v="84"/>
    <x v="16"/>
    <x v="84"/>
    <x v="78"/>
    <x v="336"/>
    <x v="618"/>
    <x v="644"/>
    <x v="631"/>
    <x v="645"/>
    <x v="559"/>
    <x v="92"/>
    <x v="91"/>
    <x v="592"/>
    <x v="92"/>
    <x v="0"/>
  </r>
  <r>
    <x v="44"/>
    <x v="1"/>
    <x v="9"/>
    <x v="0"/>
    <x v="3"/>
    <x v="3"/>
    <x v="55"/>
    <x v="46"/>
    <x v="67"/>
    <x v="127"/>
    <x v="255"/>
    <x v="619"/>
    <x v="645"/>
    <x v="632"/>
    <x v="646"/>
    <x v="560"/>
    <x v="50"/>
    <x v="26"/>
    <x v="593"/>
    <x v="50"/>
    <x v="2"/>
  </r>
  <r>
    <x v="2"/>
    <x v="1"/>
    <x v="8"/>
    <x v="1"/>
    <x v="2"/>
    <x v="3"/>
    <x v="81"/>
    <x v="61"/>
    <x v="24"/>
    <x v="94"/>
    <x v="6"/>
    <x v="620"/>
    <x v="646"/>
    <x v="633"/>
    <x v="647"/>
    <x v="411"/>
    <x v="100"/>
    <x v="96"/>
    <x v="594"/>
    <x v="100"/>
    <x v="2"/>
  </r>
  <r>
    <x v="1"/>
    <x v="1"/>
    <x v="7"/>
    <x v="3"/>
    <x v="2"/>
    <x v="1"/>
    <x v="63"/>
    <x v="7"/>
    <x v="25"/>
    <x v="79"/>
    <x v="100"/>
    <x v="621"/>
    <x v="647"/>
    <x v="634"/>
    <x v="648"/>
    <x v="561"/>
    <x v="117"/>
    <x v="118"/>
    <x v="595"/>
    <x v="117"/>
    <x v="1"/>
  </r>
  <r>
    <x v="35"/>
    <x v="0"/>
    <x v="5"/>
    <x v="1"/>
    <x v="4"/>
    <x v="1"/>
    <x v="95"/>
    <x v="53"/>
    <x v="11"/>
    <x v="135"/>
    <x v="276"/>
    <x v="622"/>
    <x v="648"/>
    <x v="635"/>
    <x v="649"/>
    <x v="562"/>
    <x v="162"/>
    <x v="28"/>
    <x v="269"/>
    <x v="162"/>
    <x v="2"/>
  </r>
  <r>
    <x v="55"/>
    <x v="1"/>
    <x v="1"/>
    <x v="1"/>
    <x v="4"/>
    <x v="0"/>
    <x v="79"/>
    <x v="16"/>
    <x v="76"/>
    <x v="156"/>
    <x v="337"/>
    <x v="623"/>
    <x v="649"/>
    <x v="636"/>
    <x v="650"/>
    <x v="563"/>
    <x v="43"/>
    <x v="137"/>
    <x v="596"/>
    <x v="43"/>
    <x v="2"/>
  </r>
  <r>
    <x v="38"/>
    <x v="1"/>
    <x v="7"/>
    <x v="1"/>
    <x v="5"/>
    <x v="2"/>
    <x v="104"/>
    <x v="35"/>
    <x v="89"/>
    <x v="125"/>
    <x v="117"/>
    <x v="451"/>
    <x v="650"/>
    <x v="637"/>
    <x v="651"/>
    <x v="564"/>
    <x v="43"/>
    <x v="10"/>
    <x v="102"/>
    <x v="43"/>
    <x v="2"/>
  </r>
  <r>
    <x v="55"/>
    <x v="1"/>
    <x v="3"/>
    <x v="2"/>
    <x v="5"/>
    <x v="0"/>
    <x v="22"/>
    <x v="19"/>
    <x v="49"/>
    <x v="83"/>
    <x v="338"/>
    <x v="624"/>
    <x v="651"/>
    <x v="638"/>
    <x v="652"/>
    <x v="565"/>
    <x v="80"/>
    <x v="150"/>
    <x v="543"/>
    <x v="80"/>
    <x v="2"/>
  </r>
  <r>
    <x v="29"/>
    <x v="0"/>
    <x v="8"/>
    <x v="0"/>
    <x v="0"/>
    <x v="1"/>
    <x v="19"/>
    <x v="56"/>
    <x v="26"/>
    <x v="58"/>
    <x v="119"/>
    <x v="625"/>
    <x v="652"/>
    <x v="639"/>
    <x v="653"/>
    <x v="566"/>
    <x v="41"/>
    <x v="185"/>
    <x v="597"/>
    <x v="41"/>
    <x v="2"/>
  </r>
  <r>
    <x v="36"/>
    <x v="0"/>
    <x v="4"/>
    <x v="1"/>
    <x v="3"/>
    <x v="2"/>
    <x v="12"/>
    <x v="5"/>
    <x v="58"/>
    <x v="78"/>
    <x v="40"/>
    <x v="626"/>
    <x v="653"/>
    <x v="640"/>
    <x v="654"/>
    <x v="567"/>
    <x v="175"/>
    <x v="135"/>
    <x v="91"/>
    <x v="175"/>
    <x v="1"/>
  </r>
  <r>
    <x v="53"/>
    <x v="1"/>
    <x v="4"/>
    <x v="4"/>
    <x v="6"/>
    <x v="1"/>
    <x v="33"/>
    <x v="13"/>
    <x v="79"/>
    <x v="94"/>
    <x v="339"/>
    <x v="627"/>
    <x v="654"/>
    <x v="641"/>
    <x v="655"/>
    <x v="568"/>
    <x v="105"/>
    <x v="178"/>
    <x v="598"/>
    <x v="105"/>
    <x v="1"/>
  </r>
  <r>
    <x v="31"/>
    <x v="1"/>
    <x v="3"/>
    <x v="2"/>
    <x v="4"/>
    <x v="0"/>
    <x v="2"/>
    <x v="76"/>
    <x v="76"/>
    <x v="74"/>
    <x v="73"/>
    <x v="628"/>
    <x v="655"/>
    <x v="642"/>
    <x v="656"/>
    <x v="53"/>
    <x v="53"/>
    <x v="91"/>
    <x v="24"/>
    <x v="53"/>
    <x v="2"/>
  </r>
  <r>
    <x v="41"/>
    <x v="0"/>
    <x v="9"/>
    <x v="1"/>
    <x v="3"/>
    <x v="1"/>
    <x v="6"/>
    <x v="67"/>
    <x v="37"/>
    <x v="97"/>
    <x v="161"/>
    <x v="629"/>
    <x v="656"/>
    <x v="643"/>
    <x v="657"/>
    <x v="569"/>
    <x v="38"/>
    <x v="13"/>
    <x v="599"/>
    <x v="38"/>
    <x v="2"/>
  </r>
  <r>
    <x v="15"/>
    <x v="0"/>
    <x v="0"/>
    <x v="0"/>
    <x v="3"/>
    <x v="2"/>
    <x v="49"/>
    <x v="47"/>
    <x v="22"/>
    <x v="90"/>
    <x v="279"/>
    <x v="630"/>
    <x v="657"/>
    <x v="644"/>
    <x v="658"/>
    <x v="570"/>
    <x v="157"/>
    <x v="51"/>
    <x v="600"/>
    <x v="157"/>
    <x v="2"/>
  </r>
  <r>
    <x v="7"/>
    <x v="0"/>
    <x v="1"/>
    <x v="2"/>
    <x v="2"/>
    <x v="1"/>
    <x v="111"/>
    <x v="71"/>
    <x v="66"/>
    <x v="5"/>
    <x v="340"/>
    <x v="631"/>
    <x v="658"/>
    <x v="645"/>
    <x v="659"/>
    <x v="571"/>
    <x v="49"/>
    <x v="196"/>
    <x v="601"/>
    <x v="49"/>
    <x v="2"/>
  </r>
  <r>
    <x v="16"/>
    <x v="0"/>
    <x v="9"/>
    <x v="4"/>
    <x v="2"/>
    <x v="3"/>
    <x v="19"/>
    <x v="57"/>
    <x v="36"/>
    <x v="107"/>
    <x v="66"/>
    <x v="632"/>
    <x v="659"/>
    <x v="646"/>
    <x v="660"/>
    <x v="572"/>
    <x v="50"/>
    <x v="83"/>
    <x v="602"/>
    <x v="50"/>
    <x v="0"/>
  </r>
  <r>
    <x v="33"/>
    <x v="0"/>
    <x v="3"/>
    <x v="1"/>
    <x v="0"/>
    <x v="1"/>
    <x v="72"/>
    <x v="33"/>
    <x v="38"/>
    <x v="57"/>
    <x v="107"/>
    <x v="633"/>
    <x v="660"/>
    <x v="647"/>
    <x v="661"/>
    <x v="573"/>
    <x v="103"/>
    <x v="99"/>
    <x v="603"/>
    <x v="103"/>
    <x v="2"/>
  </r>
  <r>
    <x v="1"/>
    <x v="1"/>
    <x v="7"/>
    <x v="2"/>
    <x v="2"/>
    <x v="2"/>
    <x v="26"/>
    <x v="23"/>
    <x v="4"/>
    <x v="65"/>
    <x v="341"/>
    <x v="345"/>
    <x v="661"/>
    <x v="648"/>
    <x v="662"/>
    <x v="574"/>
    <x v="12"/>
    <x v="128"/>
    <x v="604"/>
    <x v="12"/>
    <x v="1"/>
  </r>
  <r>
    <x v="6"/>
    <x v="1"/>
    <x v="1"/>
    <x v="2"/>
    <x v="2"/>
    <x v="0"/>
    <x v="1"/>
    <x v="9"/>
    <x v="86"/>
    <x v="87"/>
    <x v="13"/>
    <x v="634"/>
    <x v="662"/>
    <x v="649"/>
    <x v="663"/>
    <x v="575"/>
    <x v="129"/>
    <x v="178"/>
    <x v="605"/>
    <x v="129"/>
    <x v="2"/>
  </r>
  <r>
    <x v="19"/>
    <x v="1"/>
    <x v="2"/>
    <x v="3"/>
    <x v="5"/>
    <x v="0"/>
    <x v="108"/>
    <x v="32"/>
    <x v="48"/>
    <x v="78"/>
    <x v="342"/>
    <x v="635"/>
    <x v="663"/>
    <x v="650"/>
    <x v="664"/>
    <x v="576"/>
    <x v="76"/>
    <x v="0"/>
    <x v="606"/>
    <x v="76"/>
    <x v="1"/>
  </r>
  <r>
    <x v="48"/>
    <x v="1"/>
    <x v="5"/>
    <x v="3"/>
    <x v="1"/>
    <x v="0"/>
    <x v="102"/>
    <x v="11"/>
    <x v="73"/>
    <x v="91"/>
    <x v="178"/>
    <x v="636"/>
    <x v="664"/>
    <x v="651"/>
    <x v="665"/>
    <x v="577"/>
    <x v="104"/>
    <x v="189"/>
    <x v="607"/>
    <x v="104"/>
    <x v="2"/>
  </r>
  <r>
    <x v="30"/>
    <x v="1"/>
    <x v="8"/>
    <x v="3"/>
    <x v="5"/>
    <x v="3"/>
    <x v="27"/>
    <x v="51"/>
    <x v="6"/>
    <x v="115"/>
    <x v="308"/>
    <x v="637"/>
    <x v="665"/>
    <x v="652"/>
    <x v="666"/>
    <x v="578"/>
    <x v="104"/>
    <x v="57"/>
    <x v="608"/>
    <x v="104"/>
    <x v="1"/>
  </r>
  <r>
    <x v="23"/>
    <x v="1"/>
    <x v="8"/>
    <x v="1"/>
    <x v="5"/>
    <x v="3"/>
    <x v="26"/>
    <x v="25"/>
    <x v="33"/>
    <x v="70"/>
    <x v="176"/>
    <x v="638"/>
    <x v="666"/>
    <x v="519"/>
    <x v="667"/>
    <x v="579"/>
    <x v="112"/>
    <x v="185"/>
    <x v="609"/>
    <x v="112"/>
    <x v="1"/>
  </r>
  <r>
    <x v="45"/>
    <x v="1"/>
    <x v="3"/>
    <x v="3"/>
    <x v="6"/>
    <x v="2"/>
    <x v="21"/>
    <x v="35"/>
    <x v="39"/>
    <x v="59"/>
    <x v="256"/>
    <x v="376"/>
    <x v="667"/>
    <x v="653"/>
    <x v="668"/>
    <x v="197"/>
    <x v="22"/>
    <x v="129"/>
    <x v="610"/>
    <x v="22"/>
    <x v="2"/>
  </r>
  <r>
    <x v="46"/>
    <x v="1"/>
    <x v="5"/>
    <x v="1"/>
    <x v="6"/>
    <x v="1"/>
    <x v="115"/>
    <x v="78"/>
    <x v="36"/>
    <x v="123"/>
    <x v="249"/>
    <x v="639"/>
    <x v="668"/>
    <x v="654"/>
    <x v="669"/>
    <x v="320"/>
    <x v="112"/>
    <x v="21"/>
    <x v="611"/>
    <x v="112"/>
    <x v="1"/>
  </r>
  <r>
    <x v="10"/>
    <x v="0"/>
    <x v="5"/>
    <x v="2"/>
    <x v="3"/>
    <x v="1"/>
    <x v="23"/>
    <x v="9"/>
    <x v="46"/>
    <x v="78"/>
    <x v="79"/>
    <x v="191"/>
    <x v="669"/>
    <x v="655"/>
    <x v="670"/>
    <x v="580"/>
    <x v="15"/>
    <x v="40"/>
    <x v="612"/>
    <x v="15"/>
    <x v="2"/>
  </r>
  <r>
    <x v="12"/>
    <x v="0"/>
    <x v="3"/>
    <x v="4"/>
    <x v="4"/>
    <x v="0"/>
    <x v="78"/>
    <x v="32"/>
    <x v="84"/>
    <x v="100"/>
    <x v="146"/>
    <x v="640"/>
    <x v="670"/>
    <x v="656"/>
    <x v="671"/>
    <x v="481"/>
    <x v="51"/>
    <x v="117"/>
    <x v="613"/>
    <x v="51"/>
    <x v="0"/>
  </r>
  <r>
    <x v="46"/>
    <x v="1"/>
    <x v="8"/>
    <x v="0"/>
    <x v="6"/>
    <x v="3"/>
    <x v="83"/>
    <x v="76"/>
    <x v="3"/>
    <x v="69"/>
    <x v="72"/>
    <x v="641"/>
    <x v="671"/>
    <x v="657"/>
    <x v="672"/>
    <x v="581"/>
    <x v="120"/>
    <x v="189"/>
    <x v="614"/>
    <x v="120"/>
    <x v="1"/>
  </r>
  <r>
    <x v="34"/>
    <x v="0"/>
    <x v="8"/>
    <x v="3"/>
    <x v="0"/>
    <x v="1"/>
    <x v="11"/>
    <x v="75"/>
    <x v="5"/>
    <x v="21"/>
    <x v="306"/>
    <x v="642"/>
    <x v="672"/>
    <x v="658"/>
    <x v="673"/>
    <x v="582"/>
    <x v="64"/>
    <x v="11"/>
    <x v="615"/>
    <x v="64"/>
    <x v="2"/>
  </r>
  <r>
    <x v="11"/>
    <x v="0"/>
    <x v="3"/>
    <x v="4"/>
    <x v="5"/>
    <x v="2"/>
    <x v="84"/>
    <x v="21"/>
    <x v="80"/>
    <x v="132"/>
    <x v="343"/>
    <x v="643"/>
    <x v="673"/>
    <x v="659"/>
    <x v="674"/>
    <x v="583"/>
    <x v="6"/>
    <x v="23"/>
    <x v="616"/>
    <x v="6"/>
    <x v="1"/>
  </r>
  <r>
    <x v="53"/>
    <x v="1"/>
    <x v="4"/>
    <x v="4"/>
    <x v="6"/>
    <x v="1"/>
    <x v="55"/>
    <x v="59"/>
    <x v="33"/>
    <x v="23"/>
    <x v="279"/>
    <x v="644"/>
    <x v="674"/>
    <x v="660"/>
    <x v="675"/>
    <x v="259"/>
    <x v="120"/>
    <x v="94"/>
    <x v="617"/>
    <x v="120"/>
    <x v="1"/>
  </r>
  <r>
    <x v="8"/>
    <x v="1"/>
    <x v="2"/>
    <x v="1"/>
    <x v="0"/>
    <x v="0"/>
    <x v="15"/>
    <x v="29"/>
    <x v="60"/>
    <x v="146"/>
    <x v="344"/>
    <x v="645"/>
    <x v="675"/>
    <x v="661"/>
    <x v="676"/>
    <x v="584"/>
    <x v="151"/>
    <x v="27"/>
    <x v="618"/>
    <x v="151"/>
    <x v="2"/>
  </r>
  <r>
    <x v="37"/>
    <x v="0"/>
    <x v="6"/>
    <x v="0"/>
    <x v="2"/>
    <x v="0"/>
    <x v="115"/>
    <x v="51"/>
    <x v="81"/>
    <x v="29"/>
    <x v="150"/>
    <x v="646"/>
    <x v="676"/>
    <x v="662"/>
    <x v="677"/>
    <x v="261"/>
    <x v="35"/>
    <x v="76"/>
    <x v="486"/>
    <x v="35"/>
    <x v="2"/>
  </r>
  <r>
    <x v="14"/>
    <x v="1"/>
    <x v="1"/>
    <x v="4"/>
    <x v="2"/>
    <x v="3"/>
    <x v="97"/>
    <x v="41"/>
    <x v="85"/>
    <x v="6"/>
    <x v="297"/>
    <x v="647"/>
    <x v="677"/>
    <x v="663"/>
    <x v="678"/>
    <x v="454"/>
    <x v="78"/>
    <x v="61"/>
    <x v="619"/>
    <x v="78"/>
    <x v="2"/>
  </r>
  <r>
    <x v="7"/>
    <x v="1"/>
    <x v="4"/>
    <x v="1"/>
    <x v="0"/>
    <x v="0"/>
    <x v="39"/>
    <x v="16"/>
    <x v="1"/>
    <x v="11"/>
    <x v="8"/>
    <x v="648"/>
    <x v="678"/>
    <x v="664"/>
    <x v="679"/>
    <x v="585"/>
    <x v="104"/>
    <x v="173"/>
    <x v="156"/>
    <x v="104"/>
    <x v="2"/>
  </r>
  <r>
    <x v="48"/>
    <x v="1"/>
    <x v="6"/>
    <x v="4"/>
    <x v="2"/>
    <x v="0"/>
    <x v="86"/>
    <x v="58"/>
    <x v="73"/>
    <x v="50"/>
    <x v="76"/>
    <x v="190"/>
    <x v="679"/>
    <x v="665"/>
    <x v="680"/>
    <x v="586"/>
    <x v="60"/>
    <x v="197"/>
    <x v="620"/>
    <x v="60"/>
    <x v="2"/>
  </r>
  <r>
    <x v="51"/>
    <x v="1"/>
    <x v="3"/>
    <x v="4"/>
    <x v="1"/>
    <x v="1"/>
    <x v="11"/>
    <x v="66"/>
    <x v="31"/>
    <x v="101"/>
    <x v="81"/>
    <x v="484"/>
    <x v="680"/>
    <x v="441"/>
    <x v="681"/>
    <x v="587"/>
    <x v="171"/>
    <x v="66"/>
    <x v="621"/>
    <x v="171"/>
    <x v="2"/>
  </r>
  <r>
    <x v="6"/>
    <x v="0"/>
    <x v="1"/>
    <x v="4"/>
    <x v="3"/>
    <x v="1"/>
    <x v="11"/>
    <x v="10"/>
    <x v="37"/>
    <x v="31"/>
    <x v="247"/>
    <x v="649"/>
    <x v="681"/>
    <x v="666"/>
    <x v="682"/>
    <x v="47"/>
    <x v="124"/>
    <x v="82"/>
    <x v="622"/>
    <x v="124"/>
    <x v="2"/>
  </r>
  <r>
    <x v="21"/>
    <x v="1"/>
    <x v="6"/>
    <x v="1"/>
    <x v="4"/>
    <x v="2"/>
    <x v="54"/>
    <x v="19"/>
    <x v="76"/>
    <x v="32"/>
    <x v="248"/>
    <x v="650"/>
    <x v="682"/>
    <x v="667"/>
    <x v="683"/>
    <x v="588"/>
    <x v="162"/>
    <x v="84"/>
    <x v="623"/>
    <x v="162"/>
    <x v="0"/>
  </r>
  <r>
    <x v="8"/>
    <x v="0"/>
    <x v="8"/>
    <x v="2"/>
    <x v="5"/>
    <x v="3"/>
    <x v="83"/>
    <x v="69"/>
    <x v="6"/>
    <x v="92"/>
    <x v="22"/>
    <x v="651"/>
    <x v="683"/>
    <x v="668"/>
    <x v="684"/>
    <x v="192"/>
    <x v="104"/>
    <x v="109"/>
    <x v="608"/>
    <x v="104"/>
    <x v="2"/>
  </r>
  <r>
    <x v="8"/>
    <x v="0"/>
    <x v="3"/>
    <x v="0"/>
    <x v="6"/>
    <x v="3"/>
    <x v="118"/>
    <x v="8"/>
    <x v="32"/>
    <x v="29"/>
    <x v="9"/>
    <x v="652"/>
    <x v="684"/>
    <x v="89"/>
    <x v="685"/>
    <x v="589"/>
    <x v="68"/>
    <x v="41"/>
    <x v="624"/>
    <x v="68"/>
    <x v="2"/>
  </r>
  <r>
    <x v="28"/>
    <x v="1"/>
    <x v="5"/>
    <x v="1"/>
    <x v="4"/>
    <x v="2"/>
    <x v="67"/>
    <x v="55"/>
    <x v="46"/>
    <x v="45"/>
    <x v="345"/>
    <x v="653"/>
    <x v="685"/>
    <x v="669"/>
    <x v="686"/>
    <x v="452"/>
    <x v="75"/>
    <x v="153"/>
    <x v="625"/>
    <x v="75"/>
    <x v="0"/>
  </r>
  <r>
    <x v="9"/>
    <x v="1"/>
    <x v="7"/>
    <x v="2"/>
    <x v="2"/>
    <x v="1"/>
    <x v="31"/>
    <x v="27"/>
    <x v="80"/>
    <x v="99"/>
    <x v="346"/>
    <x v="654"/>
    <x v="686"/>
    <x v="670"/>
    <x v="687"/>
    <x v="590"/>
    <x v="176"/>
    <x v="32"/>
    <x v="626"/>
    <x v="176"/>
    <x v="0"/>
  </r>
  <r>
    <x v="52"/>
    <x v="0"/>
    <x v="3"/>
    <x v="2"/>
    <x v="3"/>
    <x v="3"/>
    <x v="40"/>
    <x v="57"/>
    <x v="83"/>
    <x v="152"/>
    <x v="1"/>
    <x v="655"/>
    <x v="687"/>
    <x v="671"/>
    <x v="688"/>
    <x v="591"/>
    <x v="115"/>
    <x v="198"/>
    <x v="533"/>
    <x v="115"/>
    <x v="2"/>
  </r>
  <r>
    <x v="59"/>
    <x v="1"/>
    <x v="6"/>
    <x v="0"/>
    <x v="6"/>
    <x v="3"/>
    <x v="85"/>
    <x v="0"/>
    <x v="62"/>
    <x v="62"/>
    <x v="233"/>
    <x v="656"/>
    <x v="688"/>
    <x v="672"/>
    <x v="689"/>
    <x v="592"/>
    <x v="52"/>
    <x v="8"/>
    <x v="627"/>
    <x v="52"/>
    <x v="0"/>
  </r>
  <r>
    <x v="41"/>
    <x v="0"/>
    <x v="3"/>
    <x v="0"/>
    <x v="3"/>
    <x v="1"/>
    <x v="24"/>
    <x v="53"/>
    <x v="17"/>
    <x v="149"/>
    <x v="40"/>
    <x v="657"/>
    <x v="689"/>
    <x v="673"/>
    <x v="690"/>
    <x v="453"/>
    <x v="139"/>
    <x v="57"/>
    <x v="628"/>
    <x v="139"/>
    <x v="2"/>
  </r>
  <r>
    <x v="19"/>
    <x v="1"/>
    <x v="6"/>
    <x v="1"/>
    <x v="4"/>
    <x v="1"/>
    <x v="85"/>
    <x v="33"/>
    <x v="38"/>
    <x v="102"/>
    <x v="178"/>
    <x v="658"/>
    <x v="690"/>
    <x v="674"/>
    <x v="691"/>
    <x v="510"/>
    <x v="177"/>
    <x v="141"/>
    <x v="370"/>
    <x v="177"/>
    <x v="1"/>
  </r>
  <r>
    <x v="32"/>
    <x v="1"/>
    <x v="8"/>
    <x v="1"/>
    <x v="6"/>
    <x v="2"/>
    <x v="66"/>
    <x v="51"/>
    <x v="77"/>
    <x v="143"/>
    <x v="347"/>
    <x v="659"/>
    <x v="691"/>
    <x v="675"/>
    <x v="692"/>
    <x v="593"/>
    <x v="15"/>
    <x v="15"/>
    <x v="629"/>
    <x v="15"/>
    <x v="1"/>
  </r>
  <r>
    <x v="26"/>
    <x v="1"/>
    <x v="4"/>
    <x v="1"/>
    <x v="3"/>
    <x v="1"/>
    <x v="32"/>
    <x v="28"/>
    <x v="50"/>
    <x v="102"/>
    <x v="293"/>
    <x v="660"/>
    <x v="692"/>
    <x v="343"/>
    <x v="693"/>
    <x v="594"/>
    <x v="71"/>
    <x v="27"/>
    <x v="630"/>
    <x v="71"/>
    <x v="2"/>
  </r>
  <r>
    <x v="7"/>
    <x v="0"/>
    <x v="5"/>
    <x v="2"/>
    <x v="3"/>
    <x v="1"/>
    <x v="95"/>
    <x v="29"/>
    <x v="8"/>
    <x v="55"/>
    <x v="40"/>
    <x v="661"/>
    <x v="693"/>
    <x v="676"/>
    <x v="694"/>
    <x v="399"/>
    <x v="48"/>
    <x v="79"/>
    <x v="631"/>
    <x v="48"/>
    <x v="2"/>
  </r>
  <r>
    <x v="22"/>
    <x v="1"/>
    <x v="0"/>
    <x v="2"/>
    <x v="1"/>
    <x v="3"/>
    <x v="47"/>
    <x v="47"/>
    <x v="60"/>
    <x v="97"/>
    <x v="44"/>
    <x v="662"/>
    <x v="694"/>
    <x v="677"/>
    <x v="695"/>
    <x v="595"/>
    <x v="31"/>
    <x v="76"/>
    <x v="632"/>
    <x v="31"/>
    <x v="0"/>
  </r>
  <r>
    <x v="40"/>
    <x v="0"/>
    <x v="5"/>
    <x v="4"/>
    <x v="0"/>
    <x v="3"/>
    <x v="7"/>
    <x v="40"/>
    <x v="14"/>
    <x v="78"/>
    <x v="110"/>
    <x v="75"/>
    <x v="695"/>
    <x v="678"/>
    <x v="696"/>
    <x v="58"/>
    <x v="177"/>
    <x v="136"/>
    <x v="633"/>
    <x v="177"/>
    <x v="2"/>
  </r>
  <r>
    <x v="13"/>
    <x v="0"/>
    <x v="1"/>
    <x v="1"/>
    <x v="6"/>
    <x v="2"/>
    <x v="22"/>
    <x v="10"/>
    <x v="24"/>
    <x v="141"/>
    <x v="172"/>
    <x v="663"/>
    <x v="696"/>
    <x v="679"/>
    <x v="697"/>
    <x v="596"/>
    <x v="100"/>
    <x v="144"/>
    <x v="594"/>
    <x v="100"/>
    <x v="2"/>
  </r>
  <r>
    <x v="0"/>
    <x v="0"/>
    <x v="7"/>
    <x v="2"/>
    <x v="3"/>
    <x v="3"/>
    <x v="97"/>
    <x v="20"/>
    <x v="11"/>
    <x v="77"/>
    <x v="348"/>
    <x v="664"/>
    <x v="697"/>
    <x v="680"/>
    <x v="698"/>
    <x v="597"/>
    <x v="123"/>
    <x v="21"/>
    <x v="634"/>
    <x v="123"/>
    <x v="0"/>
  </r>
  <r>
    <x v="55"/>
    <x v="0"/>
    <x v="2"/>
    <x v="3"/>
    <x v="4"/>
    <x v="1"/>
    <x v="34"/>
    <x v="73"/>
    <x v="54"/>
    <x v="153"/>
    <x v="349"/>
    <x v="92"/>
    <x v="17"/>
    <x v="681"/>
    <x v="699"/>
    <x v="598"/>
    <x v="69"/>
    <x v="63"/>
    <x v="635"/>
    <x v="69"/>
    <x v="2"/>
  </r>
  <r>
    <x v="50"/>
    <x v="0"/>
    <x v="4"/>
    <x v="2"/>
    <x v="1"/>
    <x v="1"/>
    <x v="29"/>
    <x v="47"/>
    <x v="60"/>
    <x v="76"/>
    <x v="267"/>
    <x v="665"/>
    <x v="698"/>
    <x v="682"/>
    <x v="700"/>
    <x v="599"/>
    <x v="97"/>
    <x v="163"/>
    <x v="636"/>
    <x v="97"/>
    <x v="2"/>
  </r>
  <r>
    <x v="32"/>
    <x v="0"/>
    <x v="8"/>
    <x v="1"/>
    <x v="3"/>
    <x v="3"/>
    <x v="61"/>
    <x v="10"/>
    <x v="51"/>
    <x v="134"/>
    <x v="350"/>
    <x v="666"/>
    <x v="699"/>
    <x v="683"/>
    <x v="701"/>
    <x v="533"/>
    <x v="69"/>
    <x v="190"/>
    <x v="637"/>
    <x v="69"/>
    <x v="1"/>
  </r>
  <r>
    <x v="51"/>
    <x v="1"/>
    <x v="3"/>
    <x v="4"/>
    <x v="1"/>
    <x v="3"/>
    <x v="102"/>
    <x v="29"/>
    <x v="35"/>
    <x v="109"/>
    <x v="313"/>
    <x v="667"/>
    <x v="700"/>
    <x v="684"/>
    <x v="702"/>
    <x v="600"/>
    <x v="72"/>
    <x v="153"/>
    <x v="638"/>
    <x v="72"/>
    <x v="2"/>
  </r>
  <r>
    <x v="11"/>
    <x v="1"/>
    <x v="6"/>
    <x v="3"/>
    <x v="6"/>
    <x v="0"/>
    <x v="84"/>
    <x v="39"/>
    <x v="45"/>
    <x v="83"/>
    <x v="351"/>
    <x v="668"/>
    <x v="701"/>
    <x v="685"/>
    <x v="703"/>
    <x v="601"/>
    <x v="5"/>
    <x v="145"/>
    <x v="639"/>
    <x v="5"/>
    <x v="1"/>
  </r>
  <r>
    <x v="6"/>
    <x v="0"/>
    <x v="8"/>
    <x v="4"/>
    <x v="5"/>
    <x v="3"/>
    <x v="108"/>
    <x v="73"/>
    <x v="69"/>
    <x v="100"/>
    <x v="147"/>
    <x v="669"/>
    <x v="172"/>
    <x v="686"/>
    <x v="704"/>
    <x v="13"/>
    <x v="55"/>
    <x v="126"/>
    <x v="640"/>
    <x v="55"/>
    <x v="2"/>
  </r>
  <r>
    <x v="12"/>
    <x v="0"/>
    <x v="0"/>
    <x v="0"/>
    <x v="3"/>
    <x v="0"/>
    <x v="38"/>
    <x v="27"/>
    <x v="13"/>
    <x v="14"/>
    <x v="52"/>
    <x v="670"/>
    <x v="702"/>
    <x v="687"/>
    <x v="705"/>
    <x v="602"/>
    <x v="13"/>
    <x v="83"/>
    <x v="641"/>
    <x v="13"/>
    <x v="0"/>
  </r>
  <r>
    <x v="58"/>
    <x v="0"/>
    <x v="2"/>
    <x v="0"/>
    <x v="3"/>
    <x v="0"/>
    <x v="110"/>
    <x v="65"/>
    <x v="78"/>
    <x v="100"/>
    <x v="59"/>
    <x v="671"/>
    <x v="703"/>
    <x v="688"/>
    <x v="706"/>
    <x v="603"/>
    <x v="63"/>
    <x v="42"/>
    <x v="642"/>
    <x v="63"/>
    <x v="0"/>
  </r>
  <r>
    <x v="42"/>
    <x v="0"/>
    <x v="8"/>
    <x v="1"/>
    <x v="1"/>
    <x v="3"/>
    <x v="98"/>
    <x v="61"/>
    <x v="52"/>
    <x v="40"/>
    <x v="352"/>
    <x v="672"/>
    <x v="704"/>
    <x v="689"/>
    <x v="707"/>
    <x v="604"/>
    <x v="96"/>
    <x v="101"/>
    <x v="643"/>
    <x v="96"/>
    <x v="2"/>
  </r>
  <r>
    <x v="31"/>
    <x v="1"/>
    <x v="3"/>
    <x v="4"/>
    <x v="3"/>
    <x v="0"/>
    <x v="3"/>
    <x v="78"/>
    <x v="2"/>
    <x v="142"/>
    <x v="353"/>
    <x v="673"/>
    <x v="705"/>
    <x v="690"/>
    <x v="708"/>
    <x v="371"/>
    <x v="44"/>
    <x v="86"/>
    <x v="644"/>
    <x v="44"/>
    <x v="2"/>
  </r>
  <r>
    <x v="10"/>
    <x v="1"/>
    <x v="2"/>
    <x v="1"/>
    <x v="3"/>
    <x v="2"/>
    <x v="95"/>
    <x v="5"/>
    <x v="60"/>
    <x v="62"/>
    <x v="351"/>
    <x v="674"/>
    <x v="706"/>
    <x v="691"/>
    <x v="709"/>
    <x v="605"/>
    <x v="112"/>
    <x v="97"/>
    <x v="645"/>
    <x v="112"/>
    <x v="2"/>
  </r>
  <r>
    <x v="55"/>
    <x v="0"/>
    <x v="9"/>
    <x v="2"/>
    <x v="4"/>
    <x v="3"/>
    <x v="38"/>
    <x v="53"/>
    <x v="72"/>
    <x v="37"/>
    <x v="354"/>
    <x v="675"/>
    <x v="707"/>
    <x v="331"/>
    <x v="710"/>
    <x v="606"/>
    <x v="118"/>
    <x v="156"/>
    <x v="646"/>
    <x v="118"/>
    <x v="2"/>
  </r>
  <r>
    <x v="54"/>
    <x v="1"/>
    <x v="3"/>
    <x v="1"/>
    <x v="2"/>
    <x v="0"/>
    <x v="34"/>
    <x v="11"/>
    <x v="54"/>
    <x v="25"/>
    <x v="69"/>
    <x v="676"/>
    <x v="708"/>
    <x v="692"/>
    <x v="711"/>
    <x v="67"/>
    <x v="178"/>
    <x v="85"/>
    <x v="647"/>
    <x v="178"/>
    <x v="0"/>
  </r>
  <r>
    <x v="2"/>
    <x v="1"/>
    <x v="7"/>
    <x v="3"/>
    <x v="4"/>
    <x v="3"/>
    <x v="62"/>
    <x v="21"/>
    <x v="7"/>
    <x v="35"/>
    <x v="251"/>
    <x v="677"/>
    <x v="149"/>
    <x v="693"/>
    <x v="712"/>
    <x v="607"/>
    <x v="15"/>
    <x v="145"/>
    <x v="648"/>
    <x v="15"/>
    <x v="2"/>
  </r>
  <r>
    <x v="27"/>
    <x v="1"/>
    <x v="0"/>
    <x v="0"/>
    <x v="2"/>
    <x v="2"/>
    <x v="10"/>
    <x v="14"/>
    <x v="40"/>
    <x v="69"/>
    <x v="15"/>
    <x v="678"/>
    <x v="709"/>
    <x v="694"/>
    <x v="713"/>
    <x v="608"/>
    <x v="19"/>
    <x v="36"/>
    <x v="649"/>
    <x v="19"/>
    <x v="0"/>
  </r>
  <r>
    <x v="21"/>
    <x v="0"/>
    <x v="7"/>
    <x v="1"/>
    <x v="4"/>
    <x v="3"/>
    <x v="109"/>
    <x v="37"/>
    <x v="45"/>
    <x v="11"/>
    <x v="355"/>
    <x v="679"/>
    <x v="710"/>
    <x v="695"/>
    <x v="714"/>
    <x v="609"/>
    <x v="10"/>
    <x v="149"/>
    <x v="650"/>
    <x v="10"/>
    <x v="0"/>
  </r>
  <r>
    <x v="2"/>
    <x v="1"/>
    <x v="7"/>
    <x v="1"/>
    <x v="2"/>
    <x v="2"/>
    <x v="99"/>
    <x v="24"/>
    <x v="5"/>
    <x v="0"/>
    <x v="276"/>
    <x v="680"/>
    <x v="711"/>
    <x v="696"/>
    <x v="715"/>
    <x v="82"/>
    <x v="51"/>
    <x v="34"/>
    <x v="651"/>
    <x v="51"/>
    <x v="2"/>
  </r>
  <r>
    <x v="12"/>
    <x v="0"/>
    <x v="5"/>
    <x v="3"/>
    <x v="5"/>
    <x v="0"/>
    <x v="2"/>
    <x v="0"/>
    <x v="34"/>
    <x v="101"/>
    <x v="6"/>
    <x v="681"/>
    <x v="712"/>
    <x v="697"/>
    <x v="716"/>
    <x v="610"/>
    <x v="51"/>
    <x v="12"/>
    <x v="652"/>
    <x v="51"/>
    <x v="0"/>
  </r>
  <r>
    <x v="43"/>
    <x v="0"/>
    <x v="9"/>
    <x v="0"/>
    <x v="5"/>
    <x v="1"/>
    <x v="17"/>
    <x v="36"/>
    <x v="78"/>
    <x v="25"/>
    <x v="312"/>
    <x v="682"/>
    <x v="713"/>
    <x v="698"/>
    <x v="717"/>
    <x v="548"/>
    <x v="178"/>
    <x v="124"/>
    <x v="653"/>
    <x v="178"/>
    <x v="2"/>
  </r>
  <r>
    <x v="13"/>
    <x v="1"/>
    <x v="9"/>
    <x v="0"/>
    <x v="3"/>
    <x v="2"/>
    <x v="33"/>
    <x v="29"/>
    <x v="42"/>
    <x v="15"/>
    <x v="356"/>
    <x v="683"/>
    <x v="714"/>
    <x v="699"/>
    <x v="718"/>
    <x v="611"/>
    <x v="178"/>
    <x v="86"/>
    <x v="654"/>
    <x v="178"/>
    <x v="2"/>
  </r>
  <r>
    <x v="49"/>
    <x v="0"/>
    <x v="9"/>
    <x v="2"/>
    <x v="6"/>
    <x v="3"/>
    <x v="55"/>
    <x v="2"/>
    <x v="7"/>
    <x v="104"/>
    <x v="175"/>
    <x v="684"/>
    <x v="715"/>
    <x v="700"/>
    <x v="719"/>
    <x v="612"/>
    <x v="13"/>
    <x v="109"/>
    <x v="655"/>
    <x v="13"/>
    <x v="1"/>
  </r>
  <r>
    <x v="9"/>
    <x v="0"/>
    <x v="7"/>
    <x v="3"/>
    <x v="1"/>
    <x v="0"/>
    <x v="28"/>
    <x v="28"/>
    <x v="1"/>
    <x v="136"/>
    <x v="232"/>
    <x v="685"/>
    <x v="716"/>
    <x v="701"/>
    <x v="720"/>
    <x v="613"/>
    <x v="111"/>
    <x v="111"/>
    <x v="0"/>
    <x v="111"/>
    <x v="0"/>
  </r>
  <r>
    <x v="12"/>
    <x v="1"/>
    <x v="1"/>
    <x v="2"/>
    <x v="2"/>
    <x v="0"/>
    <x v="115"/>
    <x v="73"/>
    <x v="41"/>
    <x v="64"/>
    <x v="357"/>
    <x v="686"/>
    <x v="717"/>
    <x v="702"/>
    <x v="721"/>
    <x v="451"/>
    <x v="14"/>
    <x v="183"/>
    <x v="656"/>
    <x v="14"/>
    <x v="0"/>
  </r>
  <r>
    <x v="59"/>
    <x v="0"/>
    <x v="9"/>
    <x v="0"/>
    <x v="4"/>
    <x v="1"/>
    <x v="57"/>
    <x v="4"/>
    <x v="14"/>
    <x v="65"/>
    <x v="223"/>
    <x v="687"/>
    <x v="718"/>
    <x v="703"/>
    <x v="722"/>
    <x v="276"/>
    <x v="90"/>
    <x v="132"/>
    <x v="657"/>
    <x v="90"/>
    <x v="0"/>
  </r>
  <r>
    <x v="6"/>
    <x v="0"/>
    <x v="5"/>
    <x v="1"/>
    <x v="4"/>
    <x v="0"/>
    <x v="111"/>
    <x v="29"/>
    <x v="59"/>
    <x v="147"/>
    <x v="258"/>
    <x v="688"/>
    <x v="719"/>
    <x v="704"/>
    <x v="723"/>
    <x v="187"/>
    <x v="9"/>
    <x v="91"/>
    <x v="390"/>
    <x v="9"/>
    <x v="2"/>
  </r>
  <r>
    <x v="15"/>
    <x v="0"/>
    <x v="9"/>
    <x v="4"/>
    <x v="6"/>
    <x v="2"/>
    <x v="84"/>
    <x v="22"/>
    <x v="14"/>
    <x v="21"/>
    <x v="358"/>
    <x v="278"/>
    <x v="720"/>
    <x v="705"/>
    <x v="724"/>
    <x v="614"/>
    <x v="27"/>
    <x v="19"/>
    <x v="658"/>
    <x v="27"/>
    <x v="2"/>
  </r>
  <r>
    <x v="9"/>
    <x v="0"/>
    <x v="3"/>
    <x v="3"/>
    <x v="6"/>
    <x v="2"/>
    <x v="5"/>
    <x v="68"/>
    <x v="43"/>
    <x v="133"/>
    <x v="359"/>
    <x v="689"/>
    <x v="721"/>
    <x v="706"/>
    <x v="725"/>
    <x v="615"/>
    <x v="12"/>
    <x v="26"/>
    <x v="659"/>
    <x v="12"/>
    <x v="0"/>
  </r>
  <r>
    <x v="25"/>
    <x v="0"/>
    <x v="3"/>
    <x v="1"/>
    <x v="6"/>
    <x v="3"/>
    <x v="110"/>
    <x v="78"/>
    <x v="40"/>
    <x v="21"/>
    <x v="285"/>
    <x v="209"/>
    <x v="722"/>
    <x v="707"/>
    <x v="726"/>
    <x v="616"/>
    <x v="3"/>
    <x v="138"/>
    <x v="148"/>
    <x v="3"/>
    <x v="0"/>
  </r>
  <r>
    <x v="28"/>
    <x v="1"/>
    <x v="1"/>
    <x v="3"/>
    <x v="4"/>
    <x v="1"/>
    <x v="35"/>
    <x v="4"/>
    <x v="69"/>
    <x v="62"/>
    <x v="260"/>
    <x v="147"/>
    <x v="723"/>
    <x v="708"/>
    <x v="727"/>
    <x v="617"/>
    <x v="76"/>
    <x v="193"/>
    <x v="660"/>
    <x v="76"/>
    <x v="0"/>
  </r>
  <r>
    <x v="26"/>
    <x v="1"/>
    <x v="4"/>
    <x v="0"/>
    <x v="1"/>
    <x v="2"/>
    <x v="52"/>
    <x v="47"/>
    <x v="53"/>
    <x v="5"/>
    <x v="360"/>
    <x v="690"/>
    <x v="724"/>
    <x v="709"/>
    <x v="728"/>
    <x v="618"/>
    <x v="122"/>
    <x v="31"/>
    <x v="661"/>
    <x v="122"/>
    <x v="2"/>
  </r>
  <r>
    <x v="55"/>
    <x v="0"/>
    <x v="0"/>
    <x v="3"/>
    <x v="6"/>
    <x v="2"/>
    <x v="6"/>
    <x v="70"/>
    <x v="68"/>
    <x v="91"/>
    <x v="225"/>
    <x v="691"/>
    <x v="725"/>
    <x v="710"/>
    <x v="729"/>
    <x v="619"/>
    <x v="44"/>
    <x v="135"/>
    <x v="662"/>
    <x v="44"/>
    <x v="2"/>
  </r>
  <r>
    <x v="42"/>
    <x v="0"/>
    <x v="0"/>
    <x v="0"/>
    <x v="3"/>
    <x v="3"/>
    <x v="97"/>
    <x v="58"/>
    <x v="40"/>
    <x v="40"/>
    <x v="30"/>
    <x v="692"/>
    <x v="726"/>
    <x v="711"/>
    <x v="730"/>
    <x v="620"/>
    <x v="11"/>
    <x v="194"/>
    <x v="663"/>
    <x v="11"/>
    <x v="2"/>
  </r>
  <r>
    <x v="46"/>
    <x v="1"/>
    <x v="8"/>
    <x v="0"/>
    <x v="4"/>
    <x v="0"/>
    <x v="78"/>
    <x v="15"/>
    <x v="88"/>
    <x v="121"/>
    <x v="361"/>
    <x v="693"/>
    <x v="727"/>
    <x v="712"/>
    <x v="731"/>
    <x v="570"/>
    <x v="42"/>
    <x v="199"/>
    <x v="664"/>
    <x v="42"/>
    <x v="1"/>
  </r>
  <r>
    <x v="47"/>
    <x v="0"/>
    <x v="8"/>
    <x v="2"/>
    <x v="4"/>
    <x v="1"/>
    <x v="108"/>
    <x v="11"/>
    <x v="68"/>
    <x v="14"/>
    <x v="189"/>
    <x v="694"/>
    <x v="728"/>
    <x v="713"/>
    <x v="732"/>
    <x v="526"/>
    <x v="125"/>
    <x v="111"/>
    <x v="665"/>
    <x v="125"/>
    <x v="0"/>
  </r>
  <r>
    <x v="48"/>
    <x v="1"/>
    <x v="5"/>
    <x v="0"/>
    <x v="4"/>
    <x v="2"/>
    <x v="38"/>
    <x v="38"/>
    <x v="17"/>
    <x v="152"/>
    <x v="39"/>
    <x v="695"/>
    <x v="729"/>
    <x v="714"/>
    <x v="733"/>
    <x v="426"/>
    <x v="59"/>
    <x v="145"/>
    <x v="666"/>
    <x v="59"/>
    <x v="2"/>
  </r>
  <r>
    <x v="50"/>
    <x v="0"/>
    <x v="6"/>
    <x v="4"/>
    <x v="4"/>
    <x v="2"/>
    <x v="19"/>
    <x v="49"/>
    <x v="67"/>
    <x v="88"/>
    <x v="22"/>
    <x v="696"/>
    <x v="730"/>
    <x v="304"/>
    <x v="734"/>
    <x v="621"/>
    <x v="30"/>
    <x v="143"/>
    <x v="667"/>
    <x v="30"/>
    <x v="2"/>
  </r>
  <r>
    <x v="44"/>
    <x v="0"/>
    <x v="6"/>
    <x v="1"/>
    <x v="3"/>
    <x v="1"/>
    <x v="50"/>
    <x v="27"/>
    <x v="66"/>
    <x v="140"/>
    <x v="362"/>
    <x v="697"/>
    <x v="731"/>
    <x v="715"/>
    <x v="735"/>
    <x v="622"/>
    <x v="79"/>
    <x v="180"/>
    <x v="668"/>
    <x v="79"/>
    <x v="2"/>
  </r>
  <r>
    <x v="45"/>
    <x v="1"/>
    <x v="0"/>
    <x v="3"/>
    <x v="2"/>
    <x v="2"/>
    <x v="79"/>
    <x v="2"/>
    <x v="65"/>
    <x v="125"/>
    <x v="327"/>
    <x v="698"/>
    <x v="732"/>
    <x v="283"/>
    <x v="736"/>
    <x v="515"/>
    <x v="15"/>
    <x v="111"/>
    <x v="669"/>
    <x v="15"/>
    <x v="2"/>
  </r>
  <r>
    <x v="54"/>
    <x v="1"/>
    <x v="4"/>
    <x v="0"/>
    <x v="3"/>
    <x v="2"/>
    <x v="54"/>
    <x v="38"/>
    <x v="5"/>
    <x v="47"/>
    <x v="197"/>
    <x v="699"/>
    <x v="733"/>
    <x v="716"/>
    <x v="737"/>
    <x v="623"/>
    <x v="86"/>
    <x v="180"/>
    <x v="670"/>
    <x v="86"/>
    <x v="0"/>
  </r>
  <r>
    <x v="45"/>
    <x v="0"/>
    <x v="8"/>
    <x v="4"/>
    <x v="6"/>
    <x v="1"/>
    <x v="41"/>
    <x v="2"/>
    <x v="38"/>
    <x v="129"/>
    <x v="140"/>
    <x v="700"/>
    <x v="734"/>
    <x v="717"/>
    <x v="738"/>
    <x v="624"/>
    <x v="117"/>
    <x v="32"/>
    <x v="671"/>
    <x v="117"/>
    <x v="2"/>
  </r>
  <r>
    <x v="1"/>
    <x v="0"/>
    <x v="9"/>
    <x v="4"/>
    <x v="2"/>
    <x v="1"/>
    <x v="79"/>
    <x v="46"/>
    <x v="7"/>
    <x v="79"/>
    <x v="15"/>
    <x v="701"/>
    <x v="735"/>
    <x v="718"/>
    <x v="739"/>
    <x v="625"/>
    <x v="0"/>
    <x v="23"/>
    <x v="672"/>
    <x v="0"/>
    <x v="1"/>
  </r>
  <r>
    <x v="2"/>
    <x v="0"/>
    <x v="0"/>
    <x v="4"/>
    <x v="6"/>
    <x v="1"/>
    <x v="26"/>
    <x v="74"/>
    <x v="50"/>
    <x v="146"/>
    <x v="302"/>
    <x v="702"/>
    <x v="736"/>
    <x v="719"/>
    <x v="740"/>
    <x v="554"/>
    <x v="38"/>
    <x v="198"/>
    <x v="673"/>
    <x v="38"/>
    <x v="2"/>
  </r>
  <r>
    <x v="35"/>
    <x v="1"/>
    <x v="9"/>
    <x v="4"/>
    <x v="4"/>
    <x v="0"/>
    <x v="87"/>
    <x v="26"/>
    <x v="44"/>
    <x v="158"/>
    <x v="262"/>
    <x v="703"/>
    <x v="737"/>
    <x v="116"/>
    <x v="741"/>
    <x v="626"/>
    <x v="86"/>
    <x v="70"/>
    <x v="674"/>
    <x v="86"/>
    <x v="2"/>
  </r>
  <r>
    <x v="20"/>
    <x v="0"/>
    <x v="6"/>
    <x v="0"/>
    <x v="6"/>
    <x v="0"/>
    <x v="108"/>
    <x v="73"/>
    <x v="68"/>
    <x v="132"/>
    <x v="146"/>
    <x v="704"/>
    <x v="738"/>
    <x v="720"/>
    <x v="742"/>
    <x v="627"/>
    <x v="55"/>
    <x v="68"/>
    <x v="675"/>
    <x v="55"/>
    <x v="1"/>
  </r>
  <r>
    <x v="44"/>
    <x v="1"/>
    <x v="4"/>
    <x v="3"/>
    <x v="3"/>
    <x v="1"/>
    <x v="55"/>
    <x v="63"/>
    <x v="57"/>
    <x v="32"/>
    <x v="355"/>
    <x v="705"/>
    <x v="739"/>
    <x v="721"/>
    <x v="743"/>
    <x v="628"/>
    <x v="25"/>
    <x v="7"/>
    <x v="676"/>
    <x v="25"/>
    <x v="2"/>
  </r>
  <r>
    <x v="34"/>
    <x v="0"/>
    <x v="0"/>
    <x v="0"/>
    <x v="4"/>
    <x v="1"/>
    <x v="40"/>
    <x v="77"/>
    <x v="54"/>
    <x v="47"/>
    <x v="1"/>
    <x v="706"/>
    <x v="740"/>
    <x v="722"/>
    <x v="744"/>
    <x v="629"/>
    <x v="50"/>
    <x v="138"/>
    <x v="677"/>
    <x v="50"/>
    <x v="2"/>
  </r>
  <r>
    <x v="22"/>
    <x v="1"/>
    <x v="8"/>
    <x v="2"/>
    <x v="1"/>
    <x v="2"/>
    <x v="103"/>
    <x v="27"/>
    <x v="51"/>
    <x v="55"/>
    <x v="91"/>
    <x v="707"/>
    <x v="741"/>
    <x v="723"/>
    <x v="745"/>
    <x v="343"/>
    <x v="0"/>
    <x v="121"/>
    <x v="389"/>
    <x v="0"/>
    <x v="0"/>
  </r>
  <r>
    <x v="4"/>
    <x v="0"/>
    <x v="1"/>
    <x v="1"/>
    <x v="6"/>
    <x v="0"/>
    <x v="96"/>
    <x v="22"/>
    <x v="30"/>
    <x v="103"/>
    <x v="202"/>
    <x v="708"/>
    <x v="742"/>
    <x v="724"/>
    <x v="746"/>
    <x v="630"/>
    <x v="68"/>
    <x v="198"/>
    <x v="678"/>
    <x v="68"/>
    <x v="1"/>
  </r>
  <r>
    <x v="43"/>
    <x v="1"/>
    <x v="0"/>
    <x v="1"/>
    <x v="1"/>
    <x v="2"/>
    <x v="68"/>
    <x v="73"/>
    <x v="73"/>
    <x v="154"/>
    <x v="124"/>
    <x v="709"/>
    <x v="743"/>
    <x v="725"/>
    <x v="747"/>
    <x v="265"/>
    <x v="51"/>
    <x v="117"/>
    <x v="679"/>
    <x v="51"/>
    <x v="2"/>
  </r>
  <r>
    <x v="53"/>
    <x v="0"/>
    <x v="1"/>
    <x v="4"/>
    <x v="3"/>
    <x v="2"/>
    <x v="66"/>
    <x v="39"/>
    <x v="29"/>
    <x v="31"/>
    <x v="319"/>
    <x v="710"/>
    <x v="744"/>
    <x v="726"/>
    <x v="748"/>
    <x v="606"/>
    <x v="81"/>
    <x v="62"/>
    <x v="680"/>
    <x v="81"/>
    <x v="1"/>
  </r>
  <r>
    <x v="24"/>
    <x v="0"/>
    <x v="1"/>
    <x v="2"/>
    <x v="0"/>
    <x v="0"/>
    <x v="42"/>
    <x v="10"/>
    <x v="8"/>
    <x v="7"/>
    <x v="202"/>
    <x v="236"/>
    <x v="745"/>
    <x v="727"/>
    <x v="749"/>
    <x v="631"/>
    <x v="179"/>
    <x v="33"/>
    <x v="416"/>
    <x v="179"/>
    <x v="1"/>
  </r>
  <r>
    <x v="25"/>
    <x v="1"/>
    <x v="2"/>
    <x v="1"/>
    <x v="3"/>
    <x v="0"/>
    <x v="75"/>
    <x v="41"/>
    <x v="49"/>
    <x v="117"/>
    <x v="89"/>
    <x v="711"/>
    <x v="746"/>
    <x v="728"/>
    <x v="750"/>
    <x v="632"/>
    <x v="154"/>
    <x v="67"/>
    <x v="681"/>
    <x v="154"/>
    <x v="0"/>
  </r>
  <r>
    <x v="7"/>
    <x v="1"/>
    <x v="9"/>
    <x v="4"/>
    <x v="1"/>
    <x v="0"/>
    <x v="62"/>
    <x v="58"/>
    <x v="38"/>
    <x v="138"/>
    <x v="318"/>
    <x v="712"/>
    <x v="747"/>
    <x v="729"/>
    <x v="751"/>
    <x v="633"/>
    <x v="79"/>
    <x v="55"/>
    <x v="682"/>
    <x v="79"/>
    <x v="2"/>
  </r>
  <r>
    <x v="19"/>
    <x v="1"/>
    <x v="4"/>
    <x v="3"/>
    <x v="6"/>
    <x v="3"/>
    <x v="69"/>
    <x v="40"/>
    <x v="1"/>
    <x v="1"/>
    <x v="243"/>
    <x v="153"/>
    <x v="748"/>
    <x v="730"/>
    <x v="752"/>
    <x v="634"/>
    <x v="45"/>
    <x v="0"/>
    <x v="683"/>
    <x v="45"/>
    <x v="1"/>
  </r>
  <r>
    <x v="13"/>
    <x v="1"/>
    <x v="6"/>
    <x v="1"/>
    <x v="5"/>
    <x v="0"/>
    <x v="29"/>
    <x v="73"/>
    <x v="7"/>
    <x v="17"/>
    <x v="9"/>
    <x v="713"/>
    <x v="749"/>
    <x v="731"/>
    <x v="753"/>
    <x v="635"/>
    <x v="61"/>
    <x v="20"/>
    <x v="684"/>
    <x v="61"/>
    <x v="2"/>
  </r>
  <r>
    <x v="18"/>
    <x v="0"/>
    <x v="6"/>
    <x v="1"/>
    <x v="1"/>
    <x v="1"/>
    <x v="28"/>
    <x v="78"/>
    <x v="19"/>
    <x v="17"/>
    <x v="54"/>
    <x v="714"/>
    <x v="750"/>
    <x v="732"/>
    <x v="754"/>
    <x v="164"/>
    <x v="53"/>
    <x v="29"/>
    <x v="685"/>
    <x v="53"/>
    <x v="2"/>
  </r>
  <r>
    <x v="25"/>
    <x v="0"/>
    <x v="1"/>
    <x v="0"/>
    <x v="3"/>
    <x v="2"/>
    <x v="69"/>
    <x v="35"/>
    <x v="52"/>
    <x v="157"/>
    <x v="18"/>
    <x v="715"/>
    <x v="751"/>
    <x v="733"/>
    <x v="755"/>
    <x v="572"/>
    <x v="176"/>
    <x v="136"/>
    <x v="686"/>
    <x v="176"/>
    <x v="0"/>
  </r>
  <r>
    <x v="52"/>
    <x v="1"/>
    <x v="0"/>
    <x v="1"/>
    <x v="0"/>
    <x v="1"/>
    <x v="60"/>
    <x v="16"/>
    <x v="22"/>
    <x v="18"/>
    <x v="363"/>
    <x v="716"/>
    <x v="752"/>
    <x v="734"/>
    <x v="756"/>
    <x v="636"/>
    <x v="118"/>
    <x v="175"/>
    <x v="687"/>
    <x v="118"/>
    <x v="2"/>
  </r>
  <r>
    <x v="27"/>
    <x v="1"/>
    <x v="0"/>
    <x v="4"/>
    <x v="2"/>
    <x v="2"/>
    <x v="60"/>
    <x v="9"/>
    <x v="44"/>
    <x v="149"/>
    <x v="364"/>
    <x v="717"/>
    <x v="753"/>
    <x v="735"/>
    <x v="757"/>
    <x v="637"/>
    <x v="108"/>
    <x v="90"/>
    <x v="688"/>
    <x v="108"/>
    <x v="0"/>
  </r>
  <r>
    <x v="40"/>
    <x v="0"/>
    <x v="2"/>
    <x v="0"/>
    <x v="0"/>
    <x v="3"/>
    <x v="0"/>
    <x v="35"/>
    <x v="28"/>
    <x v="159"/>
    <x v="328"/>
    <x v="718"/>
    <x v="754"/>
    <x v="736"/>
    <x v="758"/>
    <x v="638"/>
    <x v="123"/>
    <x v="199"/>
    <x v="689"/>
    <x v="123"/>
    <x v="2"/>
  </r>
  <r>
    <x v="18"/>
    <x v="1"/>
    <x v="7"/>
    <x v="3"/>
    <x v="2"/>
    <x v="3"/>
    <x v="97"/>
    <x v="14"/>
    <x v="19"/>
    <x v="23"/>
    <x v="365"/>
    <x v="719"/>
    <x v="755"/>
    <x v="737"/>
    <x v="759"/>
    <x v="639"/>
    <x v="111"/>
    <x v="145"/>
    <x v="690"/>
    <x v="111"/>
    <x v="2"/>
  </r>
  <r>
    <x v="53"/>
    <x v="1"/>
    <x v="8"/>
    <x v="2"/>
    <x v="0"/>
    <x v="0"/>
    <x v="23"/>
    <x v="39"/>
    <x v="37"/>
    <x v="47"/>
    <x v="347"/>
    <x v="720"/>
    <x v="756"/>
    <x v="738"/>
    <x v="760"/>
    <x v="640"/>
    <x v="176"/>
    <x v="47"/>
    <x v="691"/>
    <x v="176"/>
    <x v="1"/>
  </r>
  <r>
    <x v="38"/>
    <x v="1"/>
    <x v="5"/>
    <x v="4"/>
    <x v="1"/>
    <x v="1"/>
    <x v="59"/>
    <x v="11"/>
    <x v="86"/>
    <x v="128"/>
    <x v="169"/>
    <x v="721"/>
    <x v="757"/>
    <x v="739"/>
    <x v="761"/>
    <x v="641"/>
    <x v="113"/>
    <x v="200"/>
    <x v="692"/>
    <x v="113"/>
    <x v="2"/>
  </r>
  <r>
    <x v="54"/>
    <x v="1"/>
    <x v="1"/>
    <x v="3"/>
    <x v="3"/>
    <x v="3"/>
    <x v="67"/>
    <x v="58"/>
    <x v="89"/>
    <x v="56"/>
    <x v="185"/>
    <x v="638"/>
    <x v="758"/>
    <x v="740"/>
    <x v="762"/>
    <x v="515"/>
    <x v="62"/>
    <x v="61"/>
    <x v="693"/>
    <x v="62"/>
    <x v="0"/>
  </r>
  <r>
    <x v="21"/>
    <x v="0"/>
    <x v="6"/>
    <x v="0"/>
    <x v="6"/>
    <x v="2"/>
    <x v="78"/>
    <x v="22"/>
    <x v="38"/>
    <x v="43"/>
    <x v="69"/>
    <x v="722"/>
    <x v="759"/>
    <x v="741"/>
    <x v="763"/>
    <x v="642"/>
    <x v="139"/>
    <x v="20"/>
    <x v="694"/>
    <x v="139"/>
    <x v="0"/>
  </r>
  <r>
    <x v="22"/>
    <x v="0"/>
    <x v="9"/>
    <x v="0"/>
    <x v="3"/>
    <x v="2"/>
    <x v="25"/>
    <x v="1"/>
    <x v="54"/>
    <x v="17"/>
    <x v="215"/>
    <x v="723"/>
    <x v="760"/>
    <x v="742"/>
    <x v="764"/>
    <x v="643"/>
    <x v="24"/>
    <x v="120"/>
    <x v="695"/>
    <x v="24"/>
    <x v="0"/>
  </r>
  <r>
    <x v="38"/>
    <x v="1"/>
    <x v="5"/>
    <x v="1"/>
    <x v="6"/>
    <x v="2"/>
    <x v="55"/>
    <x v="37"/>
    <x v="68"/>
    <x v="99"/>
    <x v="72"/>
    <x v="724"/>
    <x v="761"/>
    <x v="743"/>
    <x v="765"/>
    <x v="644"/>
    <x v="59"/>
    <x v="40"/>
    <x v="696"/>
    <x v="59"/>
    <x v="2"/>
  </r>
  <r>
    <x v="3"/>
    <x v="1"/>
    <x v="9"/>
    <x v="4"/>
    <x v="2"/>
    <x v="3"/>
    <x v="47"/>
    <x v="73"/>
    <x v="87"/>
    <x v="41"/>
    <x v="164"/>
    <x v="725"/>
    <x v="762"/>
    <x v="706"/>
    <x v="766"/>
    <x v="645"/>
    <x v="38"/>
    <x v="6"/>
    <x v="697"/>
    <x v="38"/>
    <x v="0"/>
  </r>
  <r>
    <x v="20"/>
    <x v="1"/>
    <x v="2"/>
    <x v="0"/>
    <x v="0"/>
    <x v="0"/>
    <x v="9"/>
    <x v="47"/>
    <x v="12"/>
    <x v="66"/>
    <x v="215"/>
    <x v="726"/>
    <x v="763"/>
    <x v="744"/>
    <x v="767"/>
    <x v="646"/>
    <x v="21"/>
    <x v="43"/>
    <x v="698"/>
    <x v="21"/>
    <x v="1"/>
  </r>
  <r>
    <x v="50"/>
    <x v="0"/>
    <x v="2"/>
    <x v="4"/>
    <x v="2"/>
    <x v="0"/>
    <x v="20"/>
    <x v="64"/>
    <x v="81"/>
    <x v="153"/>
    <x v="365"/>
    <x v="727"/>
    <x v="764"/>
    <x v="656"/>
    <x v="768"/>
    <x v="442"/>
    <x v="57"/>
    <x v="59"/>
    <x v="699"/>
    <x v="57"/>
    <x v="2"/>
  </r>
  <r>
    <x v="32"/>
    <x v="0"/>
    <x v="7"/>
    <x v="3"/>
    <x v="2"/>
    <x v="3"/>
    <x v="115"/>
    <x v="43"/>
    <x v="56"/>
    <x v="32"/>
    <x v="5"/>
    <x v="728"/>
    <x v="765"/>
    <x v="745"/>
    <x v="769"/>
    <x v="647"/>
    <x v="43"/>
    <x v="8"/>
    <x v="700"/>
    <x v="43"/>
    <x v="1"/>
  </r>
  <r>
    <x v="38"/>
    <x v="1"/>
    <x v="1"/>
    <x v="1"/>
    <x v="5"/>
    <x v="2"/>
    <x v="51"/>
    <x v="24"/>
    <x v="40"/>
    <x v="65"/>
    <x v="366"/>
    <x v="729"/>
    <x v="766"/>
    <x v="746"/>
    <x v="770"/>
    <x v="648"/>
    <x v="110"/>
    <x v="119"/>
    <x v="701"/>
    <x v="110"/>
    <x v="2"/>
  </r>
  <r>
    <x v="7"/>
    <x v="0"/>
    <x v="0"/>
    <x v="2"/>
    <x v="3"/>
    <x v="2"/>
    <x v="74"/>
    <x v="62"/>
    <x v="68"/>
    <x v="77"/>
    <x v="233"/>
    <x v="730"/>
    <x v="767"/>
    <x v="747"/>
    <x v="771"/>
    <x v="649"/>
    <x v="141"/>
    <x v="48"/>
    <x v="702"/>
    <x v="141"/>
    <x v="2"/>
  </r>
  <r>
    <x v="23"/>
    <x v="0"/>
    <x v="3"/>
    <x v="4"/>
    <x v="5"/>
    <x v="3"/>
    <x v="56"/>
    <x v="36"/>
    <x v="0"/>
    <x v="157"/>
    <x v="367"/>
    <x v="731"/>
    <x v="768"/>
    <x v="748"/>
    <x v="772"/>
    <x v="526"/>
    <x v="8"/>
    <x v="160"/>
    <x v="703"/>
    <x v="8"/>
    <x v="1"/>
  </r>
  <r>
    <x v="16"/>
    <x v="1"/>
    <x v="0"/>
    <x v="0"/>
    <x v="4"/>
    <x v="0"/>
    <x v="96"/>
    <x v="5"/>
    <x v="62"/>
    <x v="69"/>
    <x v="368"/>
    <x v="732"/>
    <x v="769"/>
    <x v="749"/>
    <x v="773"/>
    <x v="650"/>
    <x v="35"/>
    <x v="15"/>
    <x v="704"/>
    <x v="35"/>
    <x v="0"/>
  </r>
  <r>
    <x v="4"/>
    <x v="0"/>
    <x v="2"/>
    <x v="4"/>
    <x v="1"/>
    <x v="3"/>
    <x v="40"/>
    <x v="28"/>
    <x v="11"/>
    <x v="22"/>
    <x v="161"/>
    <x v="733"/>
    <x v="770"/>
    <x v="337"/>
    <x v="774"/>
    <x v="651"/>
    <x v="117"/>
    <x v="2"/>
    <x v="705"/>
    <x v="117"/>
    <x v="1"/>
  </r>
  <r>
    <x v="15"/>
    <x v="0"/>
    <x v="1"/>
    <x v="3"/>
    <x v="2"/>
    <x v="1"/>
    <x v="82"/>
    <x v="39"/>
    <x v="13"/>
    <x v="50"/>
    <x v="169"/>
    <x v="510"/>
    <x v="771"/>
    <x v="750"/>
    <x v="775"/>
    <x v="652"/>
    <x v="180"/>
    <x v="201"/>
    <x v="706"/>
    <x v="180"/>
    <x v="2"/>
  </r>
  <r>
    <x v="21"/>
    <x v="0"/>
    <x v="8"/>
    <x v="0"/>
    <x v="3"/>
    <x v="3"/>
    <x v="111"/>
    <x v="75"/>
    <x v="39"/>
    <x v="61"/>
    <x v="251"/>
    <x v="734"/>
    <x v="772"/>
    <x v="751"/>
    <x v="776"/>
    <x v="358"/>
    <x v="15"/>
    <x v="165"/>
    <x v="707"/>
    <x v="15"/>
    <x v="0"/>
  </r>
  <r>
    <x v="43"/>
    <x v="1"/>
    <x v="9"/>
    <x v="4"/>
    <x v="4"/>
    <x v="2"/>
    <x v="68"/>
    <x v="9"/>
    <x v="52"/>
    <x v="130"/>
    <x v="232"/>
    <x v="735"/>
    <x v="773"/>
    <x v="752"/>
    <x v="777"/>
    <x v="425"/>
    <x v="111"/>
    <x v="127"/>
    <x v="708"/>
    <x v="111"/>
    <x v="2"/>
  </r>
  <r>
    <x v="1"/>
    <x v="1"/>
    <x v="5"/>
    <x v="4"/>
    <x v="0"/>
    <x v="0"/>
    <x v="85"/>
    <x v="23"/>
    <x v="56"/>
    <x v="61"/>
    <x v="90"/>
    <x v="416"/>
    <x v="774"/>
    <x v="753"/>
    <x v="778"/>
    <x v="375"/>
    <x v="104"/>
    <x v="8"/>
    <x v="709"/>
    <x v="104"/>
    <x v="1"/>
  </r>
  <r>
    <x v="42"/>
    <x v="0"/>
    <x v="2"/>
    <x v="3"/>
    <x v="0"/>
    <x v="2"/>
    <x v="4"/>
    <x v="45"/>
    <x v="87"/>
    <x v="156"/>
    <x v="369"/>
    <x v="736"/>
    <x v="775"/>
    <x v="754"/>
    <x v="779"/>
    <x v="653"/>
    <x v="102"/>
    <x v="119"/>
    <x v="156"/>
    <x v="102"/>
    <x v="2"/>
  </r>
  <r>
    <x v="56"/>
    <x v="0"/>
    <x v="9"/>
    <x v="0"/>
    <x v="0"/>
    <x v="3"/>
    <x v="43"/>
    <x v="11"/>
    <x v="22"/>
    <x v="80"/>
    <x v="370"/>
    <x v="737"/>
    <x v="776"/>
    <x v="755"/>
    <x v="780"/>
    <x v="654"/>
    <x v="111"/>
    <x v="10"/>
    <x v="710"/>
    <x v="111"/>
    <x v="2"/>
  </r>
  <r>
    <x v="43"/>
    <x v="0"/>
    <x v="8"/>
    <x v="2"/>
    <x v="5"/>
    <x v="2"/>
    <x v="64"/>
    <x v="76"/>
    <x v="25"/>
    <x v="11"/>
    <x v="301"/>
    <x v="738"/>
    <x v="777"/>
    <x v="756"/>
    <x v="781"/>
    <x v="389"/>
    <x v="76"/>
    <x v="105"/>
    <x v="711"/>
    <x v="76"/>
    <x v="2"/>
  </r>
  <r>
    <x v="14"/>
    <x v="0"/>
    <x v="9"/>
    <x v="2"/>
    <x v="3"/>
    <x v="3"/>
    <x v="31"/>
    <x v="29"/>
    <x v="26"/>
    <x v="46"/>
    <x v="220"/>
    <x v="739"/>
    <x v="778"/>
    <x v="757"/>
    <x v="782"/>
    <x v="655"/>
    <x v="134"/>
    <x v="104"/>
    <x v="712"/>
    <x v="134"/>
    <x v="2"/>
  </r>
  <r>
    <x v="12"/>
    <x v="1"/>
    <x v="3"/>
    <x v="3"/>
    <x v="2"/>
    <x v="0"/>
    <x v="19"/>
    <x v="52"/>
    <x v="32"/>
    <x v="87"/>
    <x v="310"/>
    <x v="740"/>
    <x v="779"/>
    <x v="758"/>
    <x v="783"/>
    <x v="656"/>
    <x v="124"/>
    <x v="32"/>
    <x v="713"/>
    <x v="124"/>
    <x v="0"/>
  </r>
  <r>
    <x v="21"/>
    <x v="1"/>
    <x v="6"/>
    <x v="4"/>
    <x v="1"/>
    <x v="3"/>
    <x v="12"/>
    <x v="13"/>
    <x v="26"/>
    <x v="144"/>
    <x v="342"/>
    <x v="741"/>
    <x v="780"/>
    <x v="759"/>
    <x v="784"/>
    <x v="657"/>
    <x v="133"/>
    <x v="99"/>
    <x v="714"/>
    <x v="133"/>
    <x v="0"/>
  </r>
  <r>
    <x v="37"/>
    <x v="0"/>
    <x v="3"/>
    <x v="2"/>
    <x v="0"/>
    <x v="3"/>
    <x v="61"/>
    <x v="5"/>
    <x v="64"/>
    <x v="151"/>
    <x v="278"/>
    <x v="742"/>
    <x v="781"/>
    <x v="760"/>
    <x v="785"/>
    <x v="658"/>
    <x v="86"/>
    <x v="202"/>
    <x v="715"/>
    <x v="86"/>
    <x v="2"/>
  </r>
  <r>
    <x v="3"/>
    <x v="1"/>
    <x v="1"/>
    <x v="0"/>
    <x v="4"/>
    <x v="2"/>
    <x v="59"/>
    <x v="76"/>
    <x v="12"/>
    <x v="147"/>
    <x v="139"/>
    <x v="743"/>
    <x v="70"/>
    <x v="761"/>
    <x v="786"/>
    <x v="431"/>
    <x v="108"/>
    <x v="95"/>
    <x v="716"/>
    <x v="108"/>
    <x v="0"/>
  </r>
  <r>
    <x v="58"/>
    <x v="1"/>
    <x v="5"/>
    <x v="3"/>
    <x v="0"/>
    <x v="2"/>
    <x v="61"/>
    <x v="18"/>
    <x v="44"/>
    <x v="137"/>
    <x v="339"/>
    <x v="744"/>
    <x v="782"/>
    <x v="762"/>
    <x v="787"/>
    <x v="451"/>
    <x v="84"/>
    <x v="153"/>
    <x v="717"/>
    <x v="84"/>
    <x v="0"/>
  </r>
  <r>
    <x v="14"/>
    <x v="0"/>
    <x v="3"/>
    <x v="3"/>
    <x v="0"/>
    <x v="1"/>
    <x v="60"/>
    <x v="2"/>
    <x v="57"/>
    <x v="136"/>
    <x v="163"/>
    <x v="745"/>
    <x v="783"/>
    <x v="763"/>
    <x v="788"/>
    <x v="659"/>
    <x v="72"/>
    <x v="93"/>
    <x v="718"/>
    <x v="72"/>
    <x v="2"/>
  </r>
  <r>
    <x v="42"/>
    <x v="1"/>
    <x v="3"/>
    <x v="3"/>
    <x v="1"/>
    <x v="3"/>
    <x v="68"/>
    <x v="68"/>
    <x v="8"/>
    <x v="141"/>
    <x v="230"/>
    <x v="746"/>
    <x v="784"/>
    <x v="764"/>
    <x v="789"/>
    <x v="660"/>
    <x v="135"/>
    <x v="154"/>
    <x v="719"/>
    <x v="135"/>
    <x v="2"/>
  </r>
  <r>
    <x v="2"/>
    <x v="0"/>
    <x v="8"/>
    <x v="3"/>
    <x v="1"/>
    <x v="2"/>
    <x v="53"/>
    <x v="35"/>
    <x v="30"/>
    <x v="4"/>
    <x v="371"/>
    <x v="747"/>
    <x v="785"/>
    <x v="765"/>
    <x v="790"/>
    <x v="661"/>
    <x v="30"/>
    <x v="88"/>
    <x v="463"/>
    <x v="30"/>
    <x v="2"/>
  </r>
  <r>
    <x v="46"/>
    <x v="1"/>
    <x v="8"/>
    <x v="4"/>
    <x v="0"/>
    <x v="2"/>
    <x v="47"/>
    <x v="72"/>
    <x v="15"/>
    <x v="47"/>
    <x v="4"/>
    <x v="748"/>
    <x v="786"/>
    <x v="766"/>
    <x v="791"/>
    <x v="662"/>
    <x v="25"/>
    <x v="19"/>
    <x v="511"/>
    <x v="25"/>
    <x v="1"/>
  </r>
  <r>
    <x v="39"/>
    <x v="1"/>
    <x v="1"/>
    <x v="0"/>
    <x v="0"/>
    <x v="3"/>
    <x v="65"/>
    <x v="9"/>
    <x v="24"/>
    <x v="108"/>
    <x v="79"/>
    <x v="749"/>
    <x v="787"/>
    <x v="767"/>
    <x v="792"/>
    <x v="663"/>
    <x v="84"/>
    <x v="141"/>
    <x v="720"/>
    <x v="84"/>
    <x v="2"/>
  </r>
  <r>
    <x v="18"/>
    <x v="0"/>
    <x v="2"/>
    <x v="0"/>
    <x v="1"/>
    <x v="3"/>
    <x v="35"/>
    <x v="28"/>
    <x v="89"/>
    <x v="23"/>
    <x v="237"/>
    <x v="750"/>
    <x v="788"/>
    <x v="768"/>
    <x v="793"/>
    <x v="664"/>
    <x v="62"/>
    <x v="154"/>
    <x v="693"/>
    <x v="62"/>
    <x v="2"/>
  </r>
  <r>
    <x v="51"/>
    <x v="1"/>
    <x v="6"/>
    <x v="0"/>
    <x v="6"/>
    <x v="3"/>
    <x v="39"/>
    <x v="2"/>
    <x v="47"/>
    <x v="101"/>
    <x v="13"/>
    <x v="30"/>
    <x v="789"/>
    <x v="769"/>
    <x v="794"/>
    <x v="629"/>
    <x v="127"/>
    <x v="73"/>
    <x v="721"/>
    <x v="127"/>
    <x v="2"/>
  </r>
  <r>
    <x v="36"/>
    <x v="1"/>
    <x v="1"/>
    <x v="3"/>
    <x v="2"/>
    <x v="0"/>
    <x v="105"/>
    <x v="77"/>
    <x v="81"/>
    <x v="138"/>
    <x v="372"/>
    <x v="751"/>
    <x v="790"/>
    <x v="770"/>
    <x v="795"/>
    <x v="665"/>
    <x v="144"/>
    <x v="26"/>
    <x v="722"/>
    <x v="144"/>
    <x v="1"/>
  </r>
  <r>
    <x v="57"/>
    <x v="1"/>
    <x v="9"/>
    <x v="4"/>
    <x v="5"/>
    <x v="3"/>
    <x v="109"/>
    <x v="8"/>
    <x v="4"/>
    <x v="25"/>
    <x v="302"/>
    <x v="752"/>
    <x v="791"/>
    <x v="771"/>
    <x v="796"/>
    <x v="666"/>
    <x v="160"/>
    <x v="27"/>
    <x v="723"/>
    <x v="160"/>
    <x v="0"/>
  </r>
  <r>
    <x v="41"/>
    <x v="1"/>
    <x v="7"/>
    <x v="2"/>
    <x v="6"/>
    <x v="2"/>
    <x v="39"/>
    <x v="77"/>
    <x v="12"/>
    <x v="78"/>
    <x v="140"/>
    <x v="753"/>
    <x v="792"/>
    <x v="653"/>
    <x v="797"/>
    <x v="667"/>
    <x v="24"/>
    <x v="90"/>
    <x v="724"/>
    <x v="24"/>
    <x v="2"/>
  </r>
  <r>
    <x v="44"/>
    <x v="0"/>
    <x v="6"/>
    <x v="0"/>
    <x v="4"/>
    <x v="1"/>
    <x v="31"/>
    <x v="35"/>
    <x v="9"/>
    <x v="54"/>
    <x v="123"/>
    <x v="231"/>
    <x v="793"/>
    <x v="772"/>
    <x v="798"/>
    <x v="668"/>
    <x v="135"/>
    <x v="67"/>
    <x v="725"/>
    <x v="135"/>
    <x v="2"/>
  </r>
  <r>
    <x v="18"/>
    <x v="0"/>
    <x v="8"/>
    <x v="3"/>
    <x v="6"/>
    <x v="3"/>
    <x v="30"/>
    <x v="17"/>
    <x v="59"/>
    <x v="4"/>
    <x v="105"/>
    <x v="754"/>
    <x v="794"/>
    <x v="773"/>
    <x v="799"/>
    <x v="669"/>
    <x v="106"/>
    <x v="155"/>
    <x v="726"/>
    <x v="106"/>
    <x v="2"/>
  </r>
  <r>
    <x v="57"/>
    <x v="1"/>
    <x v="6"/>
    <x v="1"/>
    <x v="5"/>
    <x v="2"/>
    <x v="74"/>
    <x v="68"/>
    <x v="80"/>
    <x v="78"/>
    <x v="365"/>
    <x v="755"/>
    <x v="795"/>
    <x v="774"/>
    <x v="800"/>
    <x v="225"/>
    <x v="1"/>
    <x v="119"/>
    <x v="727"/>
    <x v="1"/>
    <x v="0"/>
  </r>
  <r>
    <x v="48"/>
    <x v="1"/>
    <x v="0"/>
    <x v="2"/>
    <x v="5"/>
    <x v="3"/>
    <x v="46"/>
    <x v="14"/>
    <x v="28"/>
    <x v="127"/>
    <x v="158"/>
    <x v="170"/>
    <x v="796"/>
    <x v="775"/>
    <x v="801"/>
    <x v="670"/>
    <x v="18"/>
    <x v="14"/>
    <x v="728"/>
    <x v="18"/>
    <x v="2"/>
  </r>
  <r>
    <x v="59"/>
    <x v="0"/>
    <x v="2"/>
    <x v="4"/>
    <x v="2"/>
    <x v="3"/>
    <x v="62"/>
    <x v="53"/>
    <x v="84"/>
    <x v="124"/>
    <x v="318"/>
    <x v="756"/>
    <x v="797"/>
    <x v="776"/>
    <x v="802"/>
    <x v="671"/>
    <x v="128"/>
    <x v="8"/>
    <x v="729"/>
    <x v="128"/>
    <x v="0"/>
  </r>
  <r>
    <x v="45"/>
    <x v="0"/>
    <x v="0"/>
    <x v="1"/>
    <x v="2"/>
    <x v="1"/>
    <x v="113"/>
    <x v="75"/>
    <x v="67"/>
    <x v="17"/>
    <x v="373"/>
    <x v="757"/>
    <x v="798"/>
    <x v="777"/>
    <x v="803"/>
    <x v="517"/>
    <x v="13"/>
    <x v="101"/>
    <x v="256"/>
    <x v="13"/>
    <x v="2"/>
  </r>
  <r>
    <x v="21"/>
    <x v="0"/>
    <x v="4"/>
    <x v="2"/>
    <x v="3"/>
    <x v="0"/>
    <x v="26"/>
    <x v="34"/>
    <x v="43"/>
    <x v="94"/>
    <x v="280"/>
    <x v="758"/>
    <x v="799"/>
    <x v="778"/>
    <x v="804"/>
    <x v="672"/>
    <x v="72"/>
    <x v="23"/>
    <x v="730"/>
    <x v="72"/>
    <x v="0"/>
  </r>
  <r>
    <x v="12"/>
    <x v="1"/>
    <x v="6"/>
    <x v="4"/>
    <x v="5"/>
    <x v="2"/>
    <x v="104"/>
    <x v="42"/>
    <x v="29"/>
    <x v="86"/>
    <x v="106"/>
    <x v="759"/>
    <x v="800"/>
    <x v="779"/>
    <x v="805"/>
    <x v="673"/>
    <x v="106"/>
    <x v="119"/>
    <x v="731"/>
    <x v="106"/>
    <x v="0"/>
  </r>
  <r>
    <x v="45"/>
    <x v="0"/>
    <x v="7"/>
    <x v="2"/>
    <x v="0"/>
    <x v="1"/>
    <x v="38"/>
    <x v="58"/>
    <x v="58"/>
    <x v="73"/>
    <x v="359"/>
    <x v="760"/>
    <x v="312"/>
    <x v="780"/>
    <x v="806"/>
    <x v="674"/>
    <x v="155"/>
    <x v="29"/>
    <x v="91"/>
    <x v="155"/>
    <x v="2"/>
  </r>
  <r>
    <x v="29"/>
    <x v="1"/>
    <x v="9"/>
    <x v="3"/>
    <x v="4"/>
    <x v="2"/>
    <x v="90"/>
    <x v="60"/>
    <x v="24"/>
    <x v="88"/>
    <x v="269"/>
    <x v="761"/>
    <x v="801"/>
    <x v="447"/>
    <x v="807"/>
    <x v="135"/>
    <x v="116"/>
    <x v="46"/>
    <x v="732"/>
    <x v="116"/>
    <x v="2"/>
  </r>
  <r>
    <x v="11"/>
    <x v="0"/>
    <x v="6"/>
    <x v="1"/>
    <x v="5"/>
    <x v="2"/>
    <x v="12"/>
    <x v="48"/>
    <x v="75"/>
    <x v="116"/>
    <x v="266"/>
    <x v="762"/>
    <x v="802"/>
    <x v="781"/>
    <x v="808"/>
    <x v="675"/>
    <x v="81"/>
    <x v="203"/>
    <x v="733"/>
    <x v="81"/>
    <x v="1"/>
  </r>
  <r>
    <x v="3"/>
    <x v="0"/>
    <x v="7"/>
    <x v="1"/>
    <x v="1"/>
    <x v="1"/>
    <x v="1"/>
    <x v="51"/>
    <x v="7"/>
    <x v="107"/>
    <x v="374"/>
    <x v="609"/>
    <x v="803"/>
    <x v="782"/>
    <x v="809"/>
    <x v="676"/>
    <x v="61"/>
    <x v="171"/>
    <x v="684"/>
    <x v="61"/>
    <x v="0"/>
  </r>
  <r>
    <x v="53"/>
    <x v="0"/>
    <x v="9"/>
    <x v="3"/>
    <x v="0"/>
    <x v="1"/>
    <x v="86"/>
    <x v="61"/>
    <x v="27"/>
    <x v="46"/>
    <x v="294"/>
    <x v="763"/>
    <x v="804"/>
    <x v="783"/>
    <x v="810"/>
    <x v="557"/>
    <x v="24"/>
    <x v="177"/>
    <x v="321"/>
    <x v="24"/>
    <x v="1"/>
  </r>
  <r>
    <x v="0"/>
    <x v="1"/>
    <x v="4"/>
    <x v="1"/>
    <x v="6"/>
    <x v="3"/>
    <x v="92"/>
    <x v="69"/>
    <x v="76"/>
    <x v="108"/>
    <x v="252"/>
    <x v="764"/>
    <x v="805"/>
    <x v="784"/>
    <x v="811"/>
    <x v="179"/>
    <x v="72"/>
    <x v="137"/>
    <x v="734"/>
    <x v="72"/>
    <x v="0"/>
  </r>
  <r>
    <x v="24"/>
    <x v="1"/>
    <x v="4"/>
    <x v="2"/>
    <x v="2"/>
    <x v="0"/>
    <x v="56"/>
    <x v="52"/>
    <x v="47"/>
    <x v="153"/>
    <x v="349"/>
    <x v="308"/>
    <x v="806"/>
    <x v="632"/>
    <x v="812"/>
    <x v="677"/>
    <x v="112"/>
    <x v="60"/>
    <x v="735"/>
    <x v="112"/>
    <x v="1"/>
  </r>
  <r>
    <x v="55"/>
    <x v="0"/>
    <x v="3"/>
    <x v="0"/>
    <x v="1"/>
    <x v="3"/>
    <x v="54"/>
    <x v="42"/>
    <x v="8"/>
    <x v="101"/>
    <x v="53"/>
    <x v="765"/>
    <x v="807"/>
    <x v="785"/>
    <x v="813"/>
    <x v="678"/>
    <x v="119"/>
    <x v="37"/>
    <x v="736"/>
    <x v="119"/>
    <x v="2"/>
  </r>
  <r>
    <x v="56"/>
    <x v="1"/>
    <x v="9"/>
    <x v="0"/>
    <x v="5"/>
    <x v="0"/>
    <x v="28"/>
    <x v="7"/>
    <x v="45"/>
    <x v="79"/>
    <x v="375"/>
    <x v="766"/>
    <x v="808"/>
    <x v="786"/>
    <x v="814"/>
    <x v="679"/>
    <x v="127"/>
    <x v="118"/>
    <x v="737"/>
    <x v="127"/>
    <x v="2"/>
  </r>
  <r>
    <x v="58"/>
    <x v="0"/>
    <x v="0"/>
    <x v="4"/>
    <x v="1"/>
    <x v="3"/>
    <x v="3"/>
    <x v="76"/>
    <x v="82"/>
    <x v="46"/>
    <x v="180"/>
    <x v="767"/>
    <x v="809"/>
    <x v="787"/>
    <x v="815"/>
    <x v="289"/>
    <x v="117"/>
    <x v="77"/>
    <x v="738"/>
    <x v="117"/>
    <x v="0"/>
  </r>
  <r>
    <x v="48"/>
    <x v="0"/>
    <x v="2"/>
    <x v="0"/>
    <x v="6"/>
    <x v="0"/>
    <x v="10"/>
    <x v="48"/>
    <x v="3"/>
    <x v="151"/>
    <x v="63"/>
    <x v="768"/>
    <x v="810"/>
    <x v="788"/>
    <x v="816"/>
    <x v="680"/>
    <x v="120"/>
    <x v="119"/>
    <x v="614"/>
    <x v="120"/>
    <x v="2"/>
  </r>
  <r>
    <x v="32"/>
    <x v="1"/>
    <x v="0"/>
    <x v="4"/>
    <x v="5"/>
    <x v="3"/>
    <x v="114"/>
    <x v="58"/>
    <x v="32"/>
    <x v="123"/>
    <x v="355"/>
    <x v="601"/>
    <x v="811"/>
    <x v="789"/>
    <x v="817"/>
    <x v="310"/>
    <x v="66"/>
    <x v="24"/>
    <x v="739"/>
    <x v="66"/>
    <x v="1"/>
  </r>
  <r>
    <x v="59"/>
    <x v="0"/>
    <x v="3"/>
    <x v="2"/>
    <x v="2"/>
    <x v="1"/>
    <x v="89"/>
    <x v="23"/>
    <x v="86"/>
    <x v="58"/>
    <x v="217"/>
    <x v="769"/>
    <x v="812"/>
    <x v="790"/>
    <x v="818"/>
    <x v="271"/>
    <x v="117"/>
    <x v="11"/>
    <x v="740"/>
    <x v="117"/>
    <x v="0"/>
  </r>
  <r>
    <x v="27"/>
    <x v="1"/>
    <x v="0"/>
    <x v="2"/>
    <x v="6"/>
    <x v="1"/>
    <x v="26"/>
    <x v="35"/>
    <x v="11"/>
    <x v="155"/>
    <x v="376"/>
    <x v="770"/>
    <x v="813"/>
    <x v="791"/>
    <x v="819"/>
    <x v="681"/>
    <x v="139"/>
    <x v="0"/>
    <x v="741"/>
    <x v="139"/>
    <x v="0"/>
  </r>
  <r>
    <x v="38"/>
    <x v="1"/>
    <x v="4"/>
    <x v="4"/>
    <x v="1"/>
    <x v="1"/>
    <x v="39"/>
    <x v="43"/>
    <x v="6"/>
    <x v="7"/>
    <x v="189"/>
    <x v="771"/>
    <x v="814"/>
    <x v="792"/>
    <x v="820"/>
    <x v="319"/>
    <x v="41"/>
    <x v="13"/>
    <x v="574"/>
    <x v="41"/>
    <x v="2"/>
  </r>
  <r>
    <x v="54"/>
    <x v="1"/>
    <x v="0"/>
    <x v="0"/>
    <x v="1"/>
    <x v="0"/>
    <x v="94"/>
    <x v="14"/>
    <x v="50"/>
    <x v="158"/>
    <x v="374"/>
    <x v="772"/>
    <x v="815"/>
    <x v="793"/>
    <x v="821"/>
    <x v="682"/>
    <x v="83"/>
    <x v="8"/>
    <x v="742"/>
    <x v="83"/>
    <x v="0"/>
  </r>
  <r>
    <x v="58"/>
    <x v="1"/>
    <x v="3"/>
    <x v="1"/>
    <x v="4"/>
    <x v="1"/>
    <x v="71"/>
    <x v="20"/>
    <x v="17"/>
    <x v="82"/>
    <x v="332"/>
    <x v="773"/>
    <x v="816"/>
    <x v="794"/>
    <x v="822"/>
    <x v="683"/>
    <x v="93"/>
    <x v="129"/>
    <x v="743"/>
    <x v="93"/>
    <x v="0"/>
  </r>
  <r>
    <x v="17"/>
    <x v="1"/>
    <x v="5"/>
    <x v="1"/>
    <x v="6"/>
    <x v="2"/>
    <x v="8"/>
    <x v="40"/>
    <x v="53"/>
    <x v="93"/>
    <x v="366"/>
    <x v="774"/>
    <x v="817"/>
    <x v="795"/>
    <x v="823"/>
    <x v="485"/>
    <x v="3"/>
    <x v="90"/>
    <x v="744"/>
    <x v="3"/>
    <x v="1"/>
  </r>
  <r>
    <x v="1"/>
    <x v="0"/>
    <x v="4"/>
    <x v="3"/>
    <x v="4"/>
    <x v="0"/>
    <x v="68"/>
    <x v="3"/>
    <x v="29"/>
    <x v="102"/>
    <x v="375"/>
    <x v="775"/>
    <x v="818"/>
    <x v="796"/>
    <x v="824"/>
    <x v="684"/>
    <x v="25"/>
    <x v="81"/>
    <x v="745"/>
    <x v="25"/>
    <x v="1"/>
  </r>
  <r>
    <x v="35"/>
    <x v="1"/>
    <x v="6"/>
    <x v="1"/>
    <x v="4"/>
    <x v="0"/>
    <x v="113"/>
    <x v="3"/>
    <x v="10"/>
    <x v="150"/>
    <x v="54"/>
    <x v="776"/>
    <x v="819"/>
    <x v="797"/>
    <x v="825"/>
    <x v="116"/>
    <x v="20"/>
    <x v="15"/>
    <x v="746"/>
    <x v="20"/>
    <x v="2"/>
  </r>
  <r>
    <x v="49"/>
    <x v="1"/>
    <x v="8"/>
    <x v="4"/>
    <x v="4"/>
    <x v="2"/>
    <x v="47"/>
    <x v="39"/>
    <x v="86"/>
    <x v="26"/>
    <x v="377"/>
    <x v="777"/>
    <x v="820"/>
    <x v="798"/>
    <x v="826"/>
    <x v="292"/>
    <x v="171"/>
    <x v="59"/>
    <x v="747"/>
    <x v="171"/>
    <x v="1"/>
  </r>
  <r>
    <x v="40"/>
    <x v="0"/>
    <x v="0"/>
    <x v="0"/>
    <x v="6"/>
    <x v="2"/>
    <x v="118"/>
    <x v="33"/>
    <x v="24"/>
    <x v="82"/>
    <x v="337"/>
    <x v="778"/>
    <x v="821"/>
    <x v="799"/>
    <x v="827"/>
    <x v="489"/>
    <x v="155"/>
    <x v="84"/>
    <x v="748"/>
    <x v="155"/>
    <x v="2"/>
  </r>
  <r>
    <x v="19"/>
    <x v="1"/>
    <x v="2"/>
    <x v="2"/>
    <x v="0"/>
    <x v="2"/>
    <x v="19"/>
    <x v="12"/>
    <x v="87"/>
    <x v="59"/>
    <x v="179"/>
    <x v="779"/>
    <x v="822"/>
    <x v="800"/>
    <x v="828"/>
    <x v="685"/>
    <x v="164"/>
    <x v="34"/>
    <x v="459"/>
    <x v="164"/>
    <x v="1"/>
  </r>
  <r>
    <x v="44"/>
    <x v="0"/>
    <x v="1"/>
    <x v="1"/>
    <x v="3"/>
    <x v="1"/>
    <x v="61"/>
    <x v="42"/>
    <x v="6"/>
    <x v="131"/>
    <x v="323"/>
    <x v="780"/>
    <x v="823"/>
    <x v="801"/>
    <x v="829"/>
    <x v="686"/>
    <x v="148"/>
    <x v="35"/>
    <x v="749"/>
    <x v="148"/>
    <x v="2"/>
  </r>
  <r>
    <x v="46"/>
    <x v="1"/>
    <x v="3"/>
    <x v="0"/>
    <x v="5"/>
    <x v="3"/>
    <x v="94"/>
    <x v="69"/>
    <x v="14"/>
    <x v="31"/>
    <x v="378"/>
    <x v="781"/>
    <x v="824"/>
    <x v="802"/>
    <x v="830"/>
    <x v="687"/>
    <x v="66"/>
    <x v="140"/>
    <x v="750"/>
    <x v="66"/>
    <x v="1"/>
  </r>
  <r>
    <x v="0"/>
    <x v="0"/>
    <x v="6"/>
    <x v="2"/>
    <x v="1"/>
    <x v="3"/>
    <x v="28"/>
    <x v="68"/>
    <x v="51"/>
    <x v="33"/>
    <x v="379"/>
    <x v="782"/>
    <x v="825"/>
    <x v="803"/>
    <x v="831"/>
    <x v="688"/>
    <x v="126"/>
    <x v="17"/>
    <x v="546"/>
    <x v="126"/>
    <x v="0"/>
  </r>
  <r>
    <x v="39"/>
    <x v="0"/>
    <x v="8"/>
    <x v="0"/>
    <x v="6"/>
    <x v="0"/>
    <x v="76"/>
    <x v="51"/>
    <x v="80"/>
    <x v="101"/>
    <x v="153"/>
    <x v="783"/>
    <x v="826"/>
    <x v="804"/>
    <x v="832"/>
    <x v="582"/>
    <x v="132"/>
    <x v="20"/>
    <x v="557"/>
    <x v="132"/>
    <x v="2"/>
  </r>
  <r>
    <x v="55"/>
    <x v="1"/>
    <x v="3"/>
    <x v="1"/>
    <x v="2"/>
    <x v="0"/>
    <x v="97"/>
    <x v="47"/>
    <x v="85"/>
    <x v="90"/>
    <x v="133"/>
    <x v="166"/>
    <x v="827"/>
    <x v="805"/>
    <x v="833"/>
    <x v="689"/>
    <x v="110"/>
    <x v="51"/>
    <x v="751"/>
    <x v="110"/>
    <x v="2"/>
  </r>
  <r>
    <x v="30"/>
    <x v="1"/>
    <x v="5"/>
    <x v="1"/>
    <x v="4"/>
    <x v="2"/>
    <x v="113"/>
    <x v="53"/>
    <x v="19"/>
    <x v="63"/>
    <x v="116"/>
    <x v="784"/>
    <x v="828"/>
    <x v="806"/>
    <x v="834"/>
    <x v="690"/>
    <x v="132"/>
    <x v="203"/>
    <x v="430"/>
    <x v="132"/>
    <x v="1"/>
  </r>
  <r>
    <x v="43"/>
    <x v="0"/>
    <x v="4"/>
    <x v="1"/>
    <x v="1"/>
    <x v="3"/>
    <x v="82"/>
    <x v="14"/>
    <x v="65"/>
    <x v="108"/>
    <x v="200"/>
    <x v="785"/>
    <x v="829"/>
    <x v="807"/>
    <x v="835"/>
    <x v="504"/>
    <x v="16"/>
    <x v="182"/>
    <x v="752"/>
    <x v="16"/>
    <x v="2"/>
  </r>
  <r>
    <x v="55"/>
    <x v="0"/>
    <x v="4"/>
    <x v="0"/>
    <x v="0"/>
    <x v="0"/>
    <x v="10"/>
    <x v="29"/>
    <x v="59"/>
    <x v="152"/>
    <x v="380"/>
    <x v="786"/>
    <x v="830"/>
    <x v="808"/>
    <x v="836"/>
    <x v="688"/>
    <x v="41"/>
    <x v="115"/>
    <x v="753"/>
    <x v="41"/>
    <x v="2"/>
  </r>
  <r>
    <x v="21"/>
    <x v="0"/>
    <x v="3"/>
    <x v="4"/>
    <x v="5"/>
    <x v="2"/>
    <x v="76"/>
    <x v="34"/>
    <x v="60"/>
    <x v="109"/>
    <x v="381"/>
    <x v="787"/>
    <x v="831"/>
    <x v="809"/>
    <x v="837"/>
    <x v="691"/>
    <x v="28"/>
    <x v="39"/>
    <x v="754"/>
    <x v="28"/>
    <x v="0"/>
  </r>
  <r>
    <x v="27"/>
    <x v="1"/>
    <x v="0"/>
    <x v="2"/>
    <x v="1"/>
    <x v="1"/>
    <x v="34"/>
    <x v="9"/>
    <x v="88"/>
    <x v="131"/>
    <x v="367"/>
    <x v="788"/>
    <x v="832"/>
    <x v="810"/>
    <x v="838"/>
    <x v="660"/>
    <x v="114"/>
    <x v="162"/>
    <x v="755"/>
    <x v="114"/>
    <x v="0"/>
  </r>
  <r>
    <x v="6"/>
    <x v="0"/>
    <x v="1"/>
    <x v="3"/>
    <x v="3"/>
    <x v="0"/>
    <x v="45"/>
    <x v="75"/>
    <x v="61"/>
    <x v="71"/>
    <x v="102"/>
    <x v="789"/>
    <x v="833"/>
    <x v="811"/>
    <x v="839"/>
    <x v="692"/>
    <x v="176"/>
    <x v="46"/>
    <x v="48"/>
    <x v="176"/>
    <x v="2"/>
  </r>
  <r>
    <x v="50"/>
    <x v="1"/>
    <x v="5"/>
    <x v="1"/>
    <x v="2"/>
    <x v="2"/>
    <x v="77"/>
    <x v="41"/>
    <x v="59"/>
    <x v="152"/>
    <x v="179"/>
    <x v="719"/>
    <x v="834"/>
    <x v="418"/>
    <x v="840"/>
    <x v="693"/>
    <x v="50"/>
    <x v="39"/>
    <x v="756"/>
    <x v="50"/>
    <x v="2"/>
  </r>
  <r>
    <x v="54"/>
    <x v="1"/>
    <x v="6"/>
    <x v="2"/>
    <x v="0"/>
    <x v="2"/>
    <x v="90"/>
    <x v="78"/>
    <x v="79"/>
    <x v="111"/>
    <x v="15"/>
    <x v="446"/>
    <x v="835"/>
    <x v="812"/>
    <x v="841"/>
    <x v="592"/>
    <x v="99"/>
    <x v="152"/>
    <x v="757"/>
    <x v="99"/>
    <x v="0"/>
  </r>
  <r>
    <x v="36"/>
    <x v="0"/>
    <x v="4"/>
    <x v="0"/>
    <x v="1"/>
    <x v="3"/>
    <x v="91"/>
    <x v="32"/>
    <x v="41"/>
    <x v="47"/>
    <x v="293"/>
    <x v="790"/>
    <x v="836"/>
    <x v="813"/>
    <x v="842"/>
    <x v="694"/>
    <x v="49"/>
    <x v="89"/>
    <x v="114"/>
    <x v="49"/>
    <x v="1"/>
  </r>
  <r>
    <x v="11"/>
    <x v="0"/>
    <x v="5"/>
    <x v="1"/>
    <x v="4"/>
    <x v="1"/>
    <x v="72"/>
    <x v="24"/>
    <x v="12"/>
    <x v="34"/>
    <x v="256"/>
    <x v="791"/>
    <x v="837"/>
    <x v="814"/>
    <x v="843"/>
    <x v="695"/>
    <x v="21"/>
    <x v="0"/>
    <x v="698"/>
    <x v="21"/>
    <x v="1"/>
  </r>
  <r>
    <x v="20"/>
    <x v="0"/>
    <x v="3"/>
    <x v="0"/>
    <x v="1"/>
    <x v="3"/>
    <x v="33"/>
    <x v="8"/>
    <x v="42"/>
    <x v="59"/>
    <x v="106"/>
    <x v="792"/>
    <x v="838"/>
    <x v="815"/>
    <x v="844"/>
    <x v="696"/>
    <x v="150"/>
    <x v="131"/>
    <x v="758"/>
    <x v="150"/>
    <x v="1"/>
  </r>
  <r>
    <x v="21"/>
    <x v="1"/>
    <x v="8"/>
    <x v="0"/>
    <x v="3"/>
    <x v="2"/>
    <x v="58"/>
    <x v="54"/>
    <x v="30"/>
    <x v="58"/>
    <x v="382"/>
    <x v="188"/>
    <x v="839"/>
    <x v="816"/>
    <x v="845"/>
    <x v="697"/>
    <x v="62"/>
    <x v="174"/>
    <x v="759"/>
    <x v="62"/>
    <x v="0"/>
  </r>
  <r>
    <x v="7"/>
    <x v="1"/>
    <x v="4"/>
    <x v="3"/>
    <x v="3"/>
    <x v="1"/>
    <x v="63"/>
    <x v="45"/>
    <x v="22"/>
    <x v="9"/>
    <x v="123"/>
    <x v="793"/>
    <x v="840"/>
    <x v="817"/>
    <x v="846"/>
    <x v="698"/>
    <x v="149"/>
    <x v="151"/>
    <x v="760"/>
    <x v="149"/>
    <x v="2"/>
  </r>
  <r>
    <x v="25"/>
    <x v="0"/>
    <x v="7"/>
    <x v="0"/>
    <x v="6"/>
    <x v="2"/>
    <x v="104"/>
    <x v="42"/>
    <x v="65"/>
    <x v="73"/>
    <x v="292"/>
    <x v="794"/>
    <x v="841"/>
    <x v="818"/>
    <x v="847"/>
    <x v="699"/>
    <x v="106"/>
    <x v="163"/>
    <x v="761"/>
    <x v="106"/>
    <x v="0"/>
  </r>
  <r>
    <x v="4"/>
    <x v="1"/>
    <x v="7"/>
    <x v="1"/>
    <x v="5"/>
    <x v="0"/>
    <x v="66"/>
    <x v="63"/>
    <x v="45"/>
    <x v="16"/>
    <x v="226"/>
    <x v="795"/>
    <x v="842"/>
    <x v="101"/>
    <x v="848"/>
    <x v="700"/>
    <x v="30"/>
    <x v="105"/>
    <x v="762"/>
    <x v="30"/>
    <x v="1"/>
  </r>
  <r>
    <x v="0"/>
    <x v="0"/>
    <x v="3"/>
    <x v="2"/>
    <x v="6"/>
    <x v="1"/>
    <x v="113"/>
    <x v="0"/>
    <x v="70"/>
    <x v="100"/>
    <x v="383"/>
    <x v="796"/>
    <x v="843"/>
    <x v="801"/>
    <x v="849"/>
    <x v="701"/>
    <x v="147"/>
    <x v="114"/>
    <x v="298"/>
    <x v="147"/>
    <x v="0"/>
  </r>
  <r>
    <x v="58"/>
    <x v="0"/>
    <x v="8"/>
    <x v="0"/>
    <x v="1"/>
    <x v="2"/>
    <x v="111"/>
    <x v="38"/>
    <x v="10"/>
    <x v="16"/>
    <x v="172"/>
    <x v="392"/>
    <x v="844"/>
    <x v="819"/>
    <x v="850"/>
    <x v="702"/>
    <x v="85"/>
    <x v="185"/>
    <x v="763"/>
    <x v="85"/>
    <x v="0"/>
  </r>
  <r>
    <x v="17"/>
    <x v="1"/>
    <x v="6"/>
    <x v="2"/>
    <x v="2"/>
    <x v="0"/>
    <x v="12"/>
    <x v="21"/>
    <x v="35"/>
    <x v="11"/>
    <x v="220"/>
    <x v="797"/>
    <x v="845"/>
    <x v="820"/>
    <x v="851"/>
    <x v="263"/>
    <x v="67"/>
    <x v="120"/>
    <x v="764"/>
    <x v="67"/>
    <x v="1"/>
  </r>
  <r>
    <x v="16"/>
    <x v="1"/>
    <x v="2"/>
    <x v="1"/>
    <x v="2"/>
    <x v="1"/>
    <x v="86"/>
    <x v="63"/>
    <x v="43"/>
    <x v="72"/>
    <x v="200"/>
    <x v="798"/>
    <x v="846"/>
    <x v="821"/>
    <x v="852"/>
    <x v="349"/>
    <x v="23"/>
    <x v="59"/>
    <x v="765"/>
    <x v="23"/>
    <x v="0"/>
  </r>
  <r>
    <x v="33"/>
    <x v="0"/>
    <x v="8"/>
    <x v="3"/>
    <x v="1"/>
    <x v="1"/>
    <x v="49"/>
    <x v="79"/>
    <x v="10"/>
    <x v="149"/>
    <x v="117"/>
    <x v="799"/>
    <x v="847"/>
    <x v="822"/>
    <x v="853"/>
    <x v="703"/>
    <x v="134"/>
    <x v="8"/>
    <x v="766"/>
    <x v="134"/>
    <x v="2"/>
  </r>
  <r>
    <x v="23"/>
    <x v="0"/>
    <x v="4"/>
    <x v="0"/>
    <x v="6"/>
    <x v="2"/>
    <x v="109"/>
    <x v="34"/>
    <x v="36"/>
    <x v="74"/>
    <x v="384"/>
    <x v="524"/>
    <x v="848"/>
    <x v="823"/>
    <x v="854"/>
    <x v="704"/>
    <x v="24"/>
    <x v="73"/>
    <x v="767"/>
    <x v="24"/>
    <x v="1"/>
  </r>
  <r>
    <x v="17"/>
    <x v="0"/>
    <x v="4"/>
    <x v="4"/>
    <x v="6"/>
    <x v="2"/>
    <x v="62"/>
    <x v="51"/>
    <x v="67"/>
    <x v="70"/>
    <x v="338"/>
    <x v="800"/>
    <x v="849"/>
    <x v="824"/>
    <x v="855"/>
    <x v="705"/>
    <x v="8"/>
    <x v="199"/>
    <x v="768"/>
    <x v="8"/>
    <x v="1"/>
  </r>
  <r>
    <x v="53"/>
    <x v="1"/>
    <x v="1"/>
    <x v="4"/>
    <x v="3"/>
    <x v="1"/>
    <x v="70"/>
    <x v="34"/>
    <x v="77"/>
    <x v="61"/>
    <x v="6"/>
    <x v="801"/>
    <x v="850"/>
    <x v="825"/>
    <x v="856"/>
    <x v="346"/>
    <x v="116"/>
    <x v="204"/>
    <x v="769"/>
    <x v="116"/>
    <x v="1"/>
  </r>
  <r>
    <x v="33"/>
    <x v="0"/>
    <x v="1"/>
    <x v="3"/>
    <x v="2"/>
    <x v="0"/>
    <x v="53"/>
    <x v="25"/>
    <x v="50"/>
    <x v="135"/>
    <x v="385"/>
    <x v="325"/>
    <x v="851"/>
    <x v="826"/>
    <x v="857"/>
    <x v="71"/>
    <x v="1"/>
    <x v="181"/>
    <x v="770"/>
    <x v="1"/>
    <x v="2"/>
  </r>
  <r>
    <x v="46"/>
    <x v="1"/>
    <x v="0"/>
    <x v="1"/>
    <x v="1"/>
    <x v="3"/>
    <x v="17"/>
    <x v="26"/>
    <x v="53"/>
    <x v="66"/>
    <x v="83"/>
    <x v="802"/>
    <x v="852"/>
    <x v="827"/>
    <x v="858"/>
    <x v="19"/>
    <x v="55"/>
    <x v="38"/>
    <x v="771"/>
    <x v="55"/>
    <x v="1"/>
  </r>
  <r>
    <x v="7"/>
    <x v="0"/>
    <x v="9"/>
    <x v="0"/>
    <x v="5"/>
    <x v="3"/>
    <x v="113"/>
    <x v="71"/>
    <x v="14"/>
    <x v="101"/>
    <x v="386"/>
    <x v="803"/>
    <x v="853"/>
    <x v="828"/>
    <x v="859"/>
    <x v="706"/>
    <x v="34"/>
    <x v="205"/>
    <x v="772"/>
    <x v="34"/>
    <x v="2"/>
  </r>
  <r>
    <x v="1"/>
    <x v="1"/>
    <x v="4"/>
    <x v="4"/>
    <x v="1"/>
    <x v="0"/>
    <x v="76"/>
    <x v="44"/>
    <x v="25"/>
    <x v="138"/>
    <x v="255"/>
    <x v="804"/>
    <x v="854"/>
    <x v="829"/>
    <x v="860"/>
    <x v="145"/>
    <x v="31"/>
    <x v="69"/>
    <x v="773"/>
    <x v="31"/>
    <x v="1"/>
  </r>
  <r>
    <x v="46"/>
    <x v="0"/>
    <x v="9"/>
    <x v="1"/>
    <x v="1"/>
    <x v="0"/>
    <x v="69"/>
    <x v="45"/>
    <x v="25"/>
    <x v="116"/>
    <x v="207"/>
    <x v="805"/>
    <x v="855"/>
    <x v="830"/>
    <x v="861"/>
    <x v="707"/>
    <x v="54"/>
    <x v="162"/>
    <x v="774"/>
    <x v="54"/>
    <x v="1"/>
  </r>
  <r>
    <x v="35"/>
    <x v="0"/>
    <x v="5"/>
    <x v="3"/>
    <x v="1"/>
    <x v="0"/>
    <x v="2"/>
    <x v="51"/>
    <x v="12"/>
    <x v="154"/>
    <x v="133"/>
    <x v="806"/>
    <x v="856"/>
    <x v="831"/>
    <x v="862"/>
    <x v="114"/>
    <x v="59"/>
    <x v="66"/>
    <x v="775"/>
    <x v="59"/>
    <x v="2"/>
  </r>
  <r>
    <x v="44"/>
    <x v="1"/>
    <x v="9"/>
    <x v="2"/>
    <x v="6"/>
    <x v="0"/>
    <x v="56"/>
    <x v="17"/>
    <x v="5"/>
    <x v="5"/>
    <x v="131"/>
    <x v="807"/>
    <x v="857"/>
    <x v="832"/>
    <x v="863"/>
    <x v="708"/>
    <x v="66"/>
    <x v="179"/>
    <x v="776"/>
    <x v="66"/>
    <x v="2"/>
  </r>
  <r>
    <x v="53"/>
    <x v="1"/>
    <x v="7"/>
    <x v="0"/>
    <x v="0"/>
    <x v="2"/>
    <x v="112"/>
    <x v="16"/>
    <x v="64"/>
    <x v="144"/>
    <x v="119"/>
    <x v="163"/>
    <x v="858"/>
    <x v="833"/>
    <x v="864"/>
    <x v="709"/>
    <x v="81"/>
    <x v="200"/>
    <x v="777"/>
    <x v="81"/>
    <x v="1"/>
  </r>
  <r>
    <x v="26"/>
    <x v="1"/>
    <x v="7"/>
    <x v="1"/>
    <x v="4"/>
    <x v="1"/>
    <x v="90"/>
    <x v="56"/>
    <x v="70"/>
    <x v="61"/>
    <x v="244"/>
    <x v="808"/>
    <x v="859"/>
    <x v="834"/>
    <x v="865"/>
    <x v="506"/>
    <x v="36"/>
    <x v="37"/>
    <x v="778"/>
    <x v="36"/>
    <x v="2"/>
  </r>
  <r>
    <x v="19"/>
    <x v="0"/>
    <x v="9"/>
    <x v="4"/>
    <x v="6"/>
    <x v="2"/>
    <x v="60"/>
    <x v="20"/>
    <x v="47"/>
    <x v="92"/>
    <x v="226"/>
    <x v="809"/>
    <x v="860"/>
    <x v="835"/>
    <x v="866"/>
    <x v="710"/>
    <x v="74"/>
    <x v="48"/>
    <x v="779"/>
    <x v="74"/>
    <x v="1"/>
  </r>
  <r>
    <x v="39"/>
    <x v="0"/>
    <x v="3"/>
    <x v="0"/>
    <x v="4"/>
    <x v="0"/>
    <x v="79"/>
    <x v="10"/>
    <x v="37"/>
    <x v="84"/>
    <x v="32"/>
    <x v="113"/>
    <x v="861"/>
    <x v="836"/>
    <x v="867"/>
    <x v="711"/>
    <x v="55"/>
    <x v="143"/>
    <x v="596"/>
    <x v="55"/>
    <x v="2"/>
  </r>
  <r>
    <x v="31"/>
    <x v="1"/>
    <x v="8"/>
    <x v="2"/>
    <x v="0"/>
    <x v="3"/>
    <x v="80"/>
    <x v="19"/>
    <x v="8"/>
    <x v="125"/>
    <x v="223"/>
    <x v="810"/>
    <x v="862"/>
    <x v="837"/>
    <x v="868"/>
    <x v="712"/>
    <x v="93"/>
    <x v="178"/>
    <x v="780"/>
    <x v="93"/>
    <x v="2"/>
  </r>
  <r>
    <x v="50"/>
    <x v="1"/>
    <x v="6"/>
    <x v="4"/>
    <x v="0"/>
    <x v="1"/>
    <x v="59"/>
    <x v="13"/>
    <x v="22"/>
    <x v="123"/>
    <x v="378"/>
    <x v="811"/>
    <x v="863"/>
    <x v="838"/>
    <x v="869"/>
    <x v="200"/>
    <x v="80"/>
    <x v="200"/>
    <x v="781"/>
    <x v="80"/>
    <x v="2"/>
  </r>
  <r>
    <x v="0"/>
    <x v="0"/>
    <x v="4"/>
    <x v="0"/>
    <x v="5"/>
    <x v="2"/>
    <x v="83"/>
    <x v="20"/>
    <x v="21"/>
    <x v="144"/>
    <x v="68"/>
    <x v="812"/>
    <x v="864"/>
    <x v="839"/>
    <x v="870"/>
    <x v="713"/>
    <x v="180"/>
    <x v="70"/>
    <x v="782"/>
    <x v="180"/>
    <x v="0"/>
  </r>
  <r>
    <x v="14"/>
    <x v="0"/>
    <x v="3"/>
    <x v="2"/>
    <x v="5"/>
    <x v="2"/>
    <x v="85"/>
    <x v="52"/>
    <x v="42"/>
    <x v="134"/>
    <x v="158"/>
    <x v="813"/>
    <x v="865"/>
    <x v="840"/>
    <x v="871"/>
    <x v="714"/>
    <x v="123"/>
    <x v="158"/>
    <x v="783"/>
    <x v="123"/>
    <x v="2"/>
  </r>
  <r>
    <x v="35"/>
    <x v="1"/>
    <x v="6"/>
    <x v="4"/>
    <x v="4"/>
    <x v="3"/>
    <x v="9"/>
    <x v="36"/>
    <x v="47"/>
    <x v="8"/>
    <x v="1"/>
    <x v="543"/>
    <x v="866"/>
    <x v="739"/>
    <x v="872"/>
    <x v="715"/>
    <x v="71"/>
    <x v="136"/>
    <x v="784"/>
    <x v="71"/>
    <x v="2"/>
  </r>
  <r>
    <x v="52"/>
    <x v="0"/>
    <x v="9"/>
    <x v="3"/>
    <x v="2"/>
    <x v="1"/>
    <x v="31"/>
    <x v="66"/>
    <x v="74"/>
    <x v="146"/>
    <x v="206"/>
    <x v="814"/>
    <x v="867"/>
    <x v="841"/>
    <x v="873"/>
    <x v="716"/>
    <x v="82"/>
    <x v="141"/>
    <x v="48"/>
    <x v="82"/>
    <x v="2"/>
  </r>
  <r>
    <x v="1"/>
    <x v="0"/>
    <x v="3"/>
    <x v="2"/>
    <x v="1"/>
    <x v="3"/>
    <x v="102"/>
    <x v="44"/>
    <x v="16"/>
    <x v="27"/>
    <x v="203"/>
    <x v="815"/>
    <x v="868"/>
    <x v="842"/>
    <x v="874"/>
    <x v="717"/>
    <x v="126"/>
    <x v="154"/>
    <x v="785"/>
    <x v="126"/>
    <x v="1"/>
  </r>
  <r>
    <x v="39"/>
    <x v="1"/>
    <x v="3"/>
    <x v="4"/>
    <x v="6"/>
    <x v="2"/>
    <x v="53"/>
    <x v="1"/>
    <x v="46"/>
    <x v="58"/>
    <x v="164"/>
    <x v="181"/>
    <x v="869"/>
    <x v="843"/>
    <x v="875"/>
    <x v="718"/>
    <x v="132"/>
    <x v="17"/>
    <x v="786"/>
    <x v="132"/>
    <x v="2"/>
  </r>
  <r>
    <x v="12"/>
    <x v="1"/>
    <x v="2"/>
    <x v="2"/>
    <x v="0"/>
    <x v="3"/>
    <x v="7"/>
    <x v="11"/>
    <x v="54"/>
    <x v="154"/>
    <x v="387"/>
    <x v="816"/>
    <x v="870"/>
    <x v="844"/>
    <x v="876"/>
    <x v="719"/>
    <x v="16"/>
    <x v="128"/>
    <x v="787"/>
    <x v="16"/>
    <x v="0"/>
  </r>
  <r>
    <x v="42"/>
    <x v="1"/>
    <x v="5"/>
    <x v="0"/>
    <x v="5"/>
    <x v="0"/>
    <x v="27"/>
    <x v="40"/>
    <x v="33"/>
    <x v="24"/>
    <x v="232"/>
    <x v="598"/>
    <x v="871"/>
    <x v="845"/>
    <x v="877"/>
    <x v="720"/>
    <x v="54"/>
    <x v="55"/>
    <x v="788"/>
    <x v="54"/>
    <x v="2"/>
  </r>
  <r>
    <x v="18"/>
    <x v="1"/>
    <x v="1"/>
    <x v="3"/>
    <x v="4"/>
    <x v="0"/>
    <x v="102"/>
    <x v="39"/>
    <x v="26"/>
    <x v="120"/>
    <x v="272"/>
    <x v="817"/>
    <x v="872"/>
    <x v="234"/>
    <x v="878"/>
    <x v="721"/>
    <x v="181"/>
    <x v="60"/>
    <x v="789"/>
    <x v="181"/>
    <x v="2"/>
  </r>
  <r>
    <x v="25"/>
    <x v="0"/>
    <x v="1"/>
    <x v="4"/>
    <x v="4"/>
    <x v="2"/>
    <x v="92"/>
    <x v="61"/>
    <x v="9"/>
    <x v="24"/>
    <x v="155"/>
    <x v="818"/>
    <x v="873"/>
    <x v="846"/>
    <x v="879"/>
    <x v="662"/>
    <x v="3"/>
    <x v="133"/>
    <x v="790"/>
    <x v="3"/>
    <x v="0"/>
  </r>
  <r>
    <x v="36"/>
    <x v="0"/>
    <x v="2"/>
    <x v="0"/>
    <x v="4"/>
    <x v="2"/>
    <x v="46"/>
    <x v="49"/>
    <x v="13"/>
    <x v="42"/>
    <x v="343"/>
    <x v="819"/>
    <x v="874"/>
    <x v="847"/>
    <x v="880"/>
    <x v="722"/>
    <x v="10"/>
    <x v="206"/>
    <x v="791"/>
    <x v="10"/>
    <x v="1"/>
  </r>
  <r>
    <x v="42"/>
    <x v="0"/>
    <x v="1"/>
    <x v="4"/>
    <x v="5"/>
    <x v="0"/>
    <x v="111"/>
    <x v="77"/>
    <x v="22"/>
    <x v="149"/>
    <x v="210"/>
    <x v="820"/>
    <x v="875"/>
    <x v="848"/>
    <x v="881"/>
    <x v="723"/>
    <x v="8"/>
    <x v="137"/>
    <x v="225"/>
    <x v="8"/>
    <x v="2"/>
  </r>
  <r>
    <x v="19"/>
    <x v="1"/>
    <x v="6"/>
    <x v="4"/>
    <x v="5"/>
    <x v="3"/>
    <x v="32"/>
    <x v="4"/>
    <x v="77"/>
    <x v="92"/>
    <x v="56"/>
    <x v="821"/>
    <x v="876"/>
    <x v="849"/>
    <x v="882"/>
    <x v="696"/>
    <x v="92"/>
    <x v="53"/>
    <x v="792"/>
    <x v="92"/>
    <x v="1"/>
  </r>
  <r>
    <x v="39"/>
    <x v="0"/>
    <x v="3"/>
    <x v="4"/>
    <x v="5"/>
    <x v="2"/>
    <x v="64"/>
    <x v="23"/>
    <x v="73"/>
    <x v="149"/>
    <x v="214"/>
    <x v="822"/>
    <x v="877"/>
    <x v="850"/>
    <x v="883"/>
    <x v="724"/>
    <x v="35"/>
    <x v="1"/>
    <x v="793"/>
    <x v="35"/>
    <x v="2"/>
  </r>
  <r>
    <x v="2"/>
    <x v="0"/>
    <x v="3"/>
    <x v="1"/>
    <x v="2"/>
    <x v="1"/>
    <x v="17"/>
    <x v="30"/>
    <x v="33"/>
    <x v="135"/>
    <x v="358"/>
    <x v="823"/>
    <x v="878"/>
    <x v="851"/>
    <x v="884"/>
    <x v="725"/>
    <x v="92"/>
    <x v="207"/>
    <x v="794"/>
    <x v="92"/>
    <x v="2"/>
  </r>
  <r>
    <x v="59"/>
    <x v="1"/>
    <x v="8"/>
    <x v="0"/>
    <x v="5"/>
    <x v="3"/>
    <x v="108"/>
    <x v="20"/>
    <x v="18"/>
    <x v="68"/>
    <x v="117"/>
    <x v="824"/>
    <x v="879"/>
    <x v="852"/>
    <x v="885"/>
    <x v="726"/>
    <x v="118"/>
    <x v="131"/>
    <x v="795"/>
    <x v="118"/>
    <x v="0"/>
  </r>
  <r>
    <x v="4"/>
    <x v="1"/>
    <x v="8"/>
    <x v="2"/>
    <x v="6"/>
    <x v="0"/>
    <x v="75"/>
    <x v="0"/>
    <x v="60"/>
    <x v="116"/>
    <x v="59"/>
    <x v="825"/>
    <x v="880"/>
    <x v="853"/>
    <x v="886"/>
    <x v="727"/>
    <x v="49"/>
    <x v="208"/>
    <x v="796"/>
    <x v="49"/>
    <x v="1"/>
  </r>
  <r>
    <x v="24"/>
    <x v="1"/>
    <x v="7"/>
    <x v="2"/>
    <x v="6"/>
    <x v="3"/>
    <x v="3"/>
    <x v="2"/>
    <x v="7"/>
    <x v="115"/>
    <x v="179"/>
    <x v="826"/>
    <x v="881"/>
    <x v="854"/>
    <x v="887"/>
    <x v="627"/>
    <x v="145"/>
    <x v="146"/>
    <x v="797"/>
    <x v="145"/>
    <x v="1"/>
  </r>
  <r>
    <x v="19"/>
    <x v="1"/>
    <x v="7"/>
    <x v="2"/>
    <x v="4"/>
    <x v="0"/>
    <x v="40"/>
    <x v="76"/>
    <x v="88"/>
    <x v="41"/>
    <x v="388"/>
    <x v="827"/>
    <x v="882"/>
    <x v="855"/>
    <x v="888"/>
    <x v="117"/>
    <x v="74"/>
    <x v="200"/>
    <x v="798"/>
    <x v="74"/>
    <x v="1"/>
  </r>
  <r>
    <x v="59"/>
    <x v="0"/>
    <x v="6"/>
    <x v="1"/>
    <x v="1"/>
    <x v="0"/>
    <x v="79"/>
    <x v="1"/>
    <x v="5"/>
    <x v="26"/>
    <x v="389"/>
    <x v="828"/>
    <x v="883"/>
    <x v="856"/>
    <x v="889"/>
    <x v="728"/>
    <x v="31"/>
    <x v="37"/>
    <x v="799"/>
    <x v="31"/>
    <x v="0"/>
  </r>
  <r>
    <x v="45"/>
    <x v="0"/>
    <x v="8"/>
    <x v="4"/>
    <x v="4"/>
    <x v="2"/>
    <x v="37"/>
    <x v="41"/>
    <x v="87"/>
    <x v="42"/>
    <x v="67"/>
    <x v="741"/>
    <x v="884"/>
    <x v="857"/>
    <x v="890"/>
    <x v="621"/>
    <x v="54"/>
    <x v="53"/>
    <x v="509"/>
    <x v="54"/>
    <x v="2"/>
  </r>
  <r>
    <x v="36"/>
    <x v="1"/>
    <x v="8"/>
    <x v="4"/>
    <x v="1"/>
    <x v="3"/>
    <x v="44"/>
    <x v="50"/>
    <x v="14"/>
    <x v="155"/>
    <x v="29"/>
    <x v="829"/>
    <x v="885"/>
    <x v="858"/>
    <x v="891"/>
    <x v="425"/>
    <x v="147"/>
    <x v="182"/>
    <x v="800"/>
    <x v="147"/>
    <x v="1"/>
  </r>
  <r>
    <x v="7"/>
    <x v="1"/>
    <x v="9"/>
    <x v="2"/>
    <x v="0"/>
    <x v="1"/>
    <x v="8"/>
    <x v="20"/>
    <x v="82"/>
    <x v="35"/>
    <x v="390"/>
    <x v="830"/>
    <x v="886"/>
    <x v="859"/>
    <x v="892"/>
    <x v="729"/>
    <x v="13"/>
    <x v="42"/>
    <x v="362"/>
    <x v="13"/>
    <x v="2"/>
  </r>
  <r>
    <x v="6"/>
    <x v="1"/>
    <x v="8"/>
    <x v="1"/>
    <x v="0"/>
    <x v="3"/>
    <x v="67"/>
    <x v="60"/>
    <x v="8"/>
    <x v="74"/>
    <x v="109"/>
    <x v="831"/>
    <x v="887"/>
    <x v="860"/>
    <x v="893"/>
    <x v="730"/>
    <x v="94"/>
    <x v="199"/>
    <x v="801"/>
    <x v="94"/>
    <x v="2"/>
  </r>
  <r>
    <x v="7"/>
    <x v="0"/>
    <x v="3"/>
    <x v="3"/>
    <x v="2"/>
    <x v="0"/>
    <x v="99"/>
    <x v="37"/>
    <x v="64"/>
    <x v="66"/>
    <x v="31"/>
    <x v="832"/>
    <x v="888"/>
    <x v="861"/>
    <x v="894"/>
    <x v="731"/>
    <x v="63"/>
    <x v="31"/>
    <x v="802"/>
    <x v="63"/>
    <x v="2"/>
  </r>
  <r>
    <x v="46"/>
    <x v="1"/>
    <x v="0"/>
    <x v="2"/>
    <x v="4"/>
    <x v="3"/>
    <x v="53"/>
    <x v="49"/>
    <x v="2"/>
    <x v="142"/>
    <x v="314"/>
    <x v="833"/>
    <x v="889"/>
    <x v="862"/>
    <x v="895"/>
    <x v="617"/>
    <x v="36"/>
    <x v="115"/>
    <x v="803"/>
    <x v="36"/>
    <x v="1"/>
  </r>
  <r>
    <x v="5"/>
    <x v="0"/>
    <x v="2"/>
    <x v="3"/>
    <x v="3"/>
    <x v="2"/>
    <x v="55"/>
    <x v="31"/>
    <x v="39"/>
    <x v="145"/>
    <x v="391"/>
    <x v="834"/>
    <x v="890"/>
    <x v="863"/>
    <x v="896"/>
    <x v="732"/>
    <x v="116"/>
    <x v="179"/>
    <x v="804"/>
    <x v="116"/>
    <x v="2"/>
  </r>
  <r>
    <x v="55"/>
    <x v="0"/>
    <x v="4"/>
    <x v="4"/>
    <x v="2"/>
    <x v="0"/>
    <x v="74"/>
    <x v="3"/>
    <x v="2"/>
    <x v="42"/>
    <x v="21"/>
    <x v="835"/>
    <x v="891"/>
    <x v="864"/>
    <x v="897"/>
    <x v="619"/>
    <x v="58"/>
    <x v="142"/>
    <x v="805"/>
    <x v="58"/>
    <x v="2"/>
  </r>
  <r>
    <x v="49"/>
    <x v="0"/>
    <x v="8"/>
    <x v="4"/>
    <x v="5"/>
    <x v="1"/>
    <x v="64"/>
    <x v="19"/>
    <x v="49"/>
    <x v="134"/>
    <x v="98"/>
    <x v="836"/>
    <x v="892"/>
    <x v="865"/>
    <x v="898"/>
    <x v="733"/>
    <x v="62"/>
    <x v="88"/>
    <x v="806"/>
    <x v="62"/>
    <x v="1"/>
  </r>
  <r>
    <x v="54"/>
    <x v="0"/>
    <x v="9"/>
    <x v="1"/>
    <x v="5"/>
    <x v="2"/>
    <x v="101"/>
    <x v="46"/>
    <x v="15"/>
    <x v="80"/>
    <x v="178"/>
    <x v="837"/>
    <x v="893"/>
    <x v="866"/>
    <x v="899"/>
    <x v="734"/>
    <x v="127"/>
    <x v="31"/>
    <x v="807"/>
    <x v="127"/>
    <x v="0"/>
  </r>
  <r>
    <x v="26"/>
    <x v="1"/>
    <x v="1"/>
    <x v="3"/>
    <x v="1"/>
    <x v="3"/>
    <x v="56"/>
    <x v="75"/>
    <x v="8"/>
    <x v="122"/>
    <x v="154"/>
    <x v="838"/>
    <x v="894"/>
    <x v="867"/>
    <x v="900"/>
    <x v="735"/>
    <x v="88"/>
    <x v="22"/>
    <x v="808"/>
    <x v="88"/>
    <x v="2"/>
  </r>
  <r>
    <x v="46"/>
    <x v="1"/>
    <x v="9"/>
    <x v="0"/>
    <x v="6"/>
    <x v="0"/>
    <x v="63"/>
    <x v="5"/>
    <x v="19"/>
    <x v="23"/>
    <x v="392"/>
    <x v="150"/>
    <x v="895"/>
    <x v="868"/>
    <x v="901"/>
    <x v="736"/>
    <x v="24"/>
    <x v="161"/>
    <x v="482"/>
    <x v="24"/>
    <x v="1"/>
  </r>
  <r>
    <x v="17"/>
    <x v="0"/>
    <x v="6"/>
    <x v="0"/>
    <x v="5"/>
    <x v="3"/>
    <x v="83"/>
    <x v="1"/>
    <x v="10"/>
    <x v="22"/>
    <x v="316"/>
    <x v="573"/>
    <x v="896"/>
    <x v="869"/>
    <x v="902"/>
    <x v="737"/>
    <x v="171"/>
    <x v="136"/>
    <x v="809"/>
    <x v="171"/>
    <x v="1"/>
  </r>
  <r>
    <x v="8"/>
    <x v="0"/>
    <x v="3"/>
    <x v="2"/>
    <x v="4"/>
    <x v="0"/>
    <x v="10"/>
    <x v="55"/>
    <x v="24"/>
    <x v="42"/>
    <x v="49"/>
    <x v="839"/>
    <x v="897"/>
    <x v="870"/>
    <x v="903"/>
    <x v="738"/>
    <x v="49"/>
    <x v="203"/>
    <x v="810"/>
    <x v="49"/>
    <x v="2"/>
  </r>
  <r>
    <x v="44"/>
    <x v="0"/>
    <x v="8"/>
    <x v="4"/>
    <x v="0"/>
    <x v="0"/>
    <x v="32"/>
    <x v="75"/>
    <x v="0"/>
    <x v="51"/>
    <x v="151"/>
    <x v="840"/>
    <x v="898"/>
    <x v="871"/>
    <x v="904"/>
    <x v="493"/>
    <x v="57"/>
    <x v="73"/>
    <x v="811"/>
    <x v="57"/>
    <x v="2"/>
  </r>
  <r>
    <x v="17"/>
    <x v="1"/>
    <x v="1"/>
    <x v="4"/>
    <x v="4"/>
    <x v="0"/>
    <x v="71"/>
    <x v="24"/>
    <x v="13"/>
    <x v="129"/>
    <x v="393"/>
    <x v="841"/>
    <x v="899"/>
    <x v="872"/>
    <x v="905"/>
    <x v="151"/>
    <x v="129"/>
    <x v="169"/>
    <x v="812"/>
    <x v="129"/>
    <x v="1"/>
  </r>
  <r>
    <x v="28"/>
    <x v="1"/>
    <x v="8"/>
    <x v="1"/>
    <x v="5"/>
    <x v="2"/>
    <x v="62"/>
    <x v="14"/>
    <x v="80"/>
    <x v="2"/>
    <x v="394"/>
    <x v="842"/>
    <x v="900"/>
    <x v="873"/>
    <x v="906"/>
    <x v="739"/>
    <x v="110"/>
    <x v="131"/>
    <x v="813"/>
    <x v="110"/>
    <x v="0"/>
  </r>
  <r>
    <x v="47"/>
    <x v="1"/>
    <x v="9"/>
    <x v="0"/>
    <x v="6"/>
    <x v="0"/>
    <x v="16"/>
    <x v="16"/>
    <x v="22"/>
    <x v="81"/>
    <x v="258"/>
    <x v="843"/>
    <x v="901"/>
    <x v="874"/>
    <x v="907"/>
    <x v="740"/>
    <x v="113"/>
    <x v="49"/>
    <x v="814"/>
    <x v="113"/>
    <x v="0"/>
  </r>
  <r>
    <x v="37"/>
    <x v="0"/>
    <x v="7"/>
    <x v="1"/>
    <x v="3"/>
    <x v="0"/>
    <x v="92"/>
    <x v="51"/>
    <x v="3"/>
    <x v="154"/>
    <x v="347"/>
    <x v="844"/>
    <x v="902"/>
    <x v="875"/>
    <x v="908"/>
    <x v="741"/>
    <x v="146"/>
    <x v="66"/>
    <x v="815"/>
    <x v="146"/>
    <x v="2"/>
  </r>
  <r>
    <x v="31"/>
    <x v="1"/>
    <x v="3"/>
    <x v="4"/>
    <x v="3"/>
    <x v="1"/>
    <x v="100"/>
    <x v="74"/>
    <x v="1"/>
    <x v="20"/>
    <x v="181"/>
    <x v="845"/>
    <x v="903"/>
    <x v="876"/>
    <x v="909"/>
    <x v="742"/>
    <x v="123"/>
    <x v="121"/>
    <x v="816"/>
    <x v="123"/>
    <x v="2"/>
  </r>
  <r>
    <x v="38"/>
    <x v="1"/>
    <x v="5"/>
    <x v="4"/>
    <x v="2"/>
    <x v="0"/>
    <x v="58"/>
    <x v="50"/>
    <x v="45"/>
    <x v="134"/>
    <x v="395"/>
    <x v="846"/>
    <x v="904"/>
    <x v="877"/>
    <x v="910"/>
    <x v="743"/>
    <x v="12"/>
    <x v="114"/>
    <x v="817"/>
    <x v="12"/>
    <x v="2"/>
  </r>
  <r>
    <x v="47"/>
    <x v="0"/>
    <x v="4"/>
    <x v="3"/>
    <x v="6"/>
    <x v="1"/>
    <x v="66"/>
    <x v="0"/>
    <x v="69"/>
    <x v="57"/>
    <x v="290"/>
    <x v="847"/>
    <x v="905"/>
    <x v="878"/>
    <x v="911"/>
    <x v="608"/>
    <x v="160"/>
    <x v="203"/>
    <x v="818"/>
    <x v="160"/>
    <x v="0"/>
  </r>
  <r>
    <x v="2"/>
    <x v="1"/>
    <x v="6"/>
    <x v="3"/>
    <x v="5"/>
    <x v="2"/>
    <x v="41"/>
    <x v="25"/>
    <x v="9"/>
    <x v="8"/>
    <x v="26"/>
    <x v="848"/>
    <x v="906"/>
    <x v="879"/>
    <x v="912"/>
    <x v="744"/>
    <x v="116"/>
    <x v="205"/>
    <x v="819"/>
    <x v="116"/>
    <x v="2"/>
  </r>
  <r>
    <x v="37"/>
    <x v="1"/>
    <x v="5"/>
    <x v="2"/>
    <x v="3"/>
    <x v="1"/>
    <x v="91"/>
    <x v="14"/>
    <x v="3"/>
    <x v="157"/>
    <x v="211"/>
    <x v="849"/>
    <x v="907"/>
    <x v="880"/>
    <x v="913"/>
    <x v="745"/>
    <x v="30"/>
    <x v="24"/>
    <x v="259"/>
    <x v="30"/>
    <x v="2"/>
  </r>
  <r>
    <x v="51"/>
    <x v="1"/>
    <x v="3"/>
    <x v="4"/>
    <x v="5"/>
    <x v="0"/>
    <x v="23"/>
    <x v="27"/>
    <x v="76"/>
    <x v="140"/>
    <x v="396"/>
    <x v="850"/>
    <x v="908"/>
    <x v="881"/>
    <x v="914"/>
    <x v="697"/>
    <x v="126"/>
    <x v="180"/>
    <x v="820"/>
    <x v="126"/>
    <x v="2"/>
  </r>
  <r>
    <x v="22"/>
    <x v="0"/>
    <x v="8"/>
    <x v="1"/>
    <x v="6"/>
    <x v="1"/>
    <x v="111"/>
    <x v="69"/>
    <x v="47"/>
    <x v="68"/>
    <x v="255"/>
    <x v="851"/>
    <x v="909"/>
    <x v="882"/>
    <x v="915"/>
    <x v="630"/>
    <x v="94"/>
    <x v="116"/>
    <x v="821"/>
    <x v="94"/>
    <x v="0"/>
  </r>
  <r>
    <x v="58"/>
    <x v="1"/>
    <x v="5"/>
    <x v="4"/>
    <x v="6"/>
    <x v="2"/>
    <x v="26"/>
    <x v="31"/>
    <x v="74"/>
    <x v="103"/>
    <x v="80"/>
    <x v="852"/>
    <x v="910"/>
    <x v="883"/>
    <x v="916"/>
    <x v="280"/>
    <x v="97"/>
    <x v="86"/>
    <x v="822"/>
    <x v="97"/>
    <x v="0"/>
  </r>
  <r>
    <x v="24"/>
    <x v="1"/>
    <x v="3"/>
    <x v="0"/>
    <x v="2"/>
    <x v="0"/>
    <x v="41"/>
    <x v="50"/>
    <x v="54"/>
    <x v="125"/>
    <x v="360"/>
    <x v="853"/>
    <x v="911"/>
    <x v="884"/>
    <x v="917"/>
    <x v="746"/>
    <x v="149"/>
    <x v="87"/>
    <x v="823"/>
    <x v="149"/>
    <x v="1"/>
  </r>
  <r>
    <x v="3"/>
    <x v="0"/>
    <x v="2"/>
    <x v="4"/>
    <x v="5"/>
    <x v="0"/>
    <x v="28"/>
    <x v="21"/>
    <x v="36"/>
    <x v="81"/>
    <x v="102"/>
    <x v="854"/>
    <x v="912"/>
    <x v="885"/>
    <x v="918"/>
    <x v="747"/>
    <x v="133"/>
    <x v="159"/>
    <x v="824"/>
    <x v="133"/>
    <x v="0"/>
  </r>
  <r>
    <x v="31"/>
    <x v="1"/>
    <x v="2"/>
    <x v="0"/>
    <x v="0"/>
    <x v="3"/>
    <x v="117"/>
    <x v="28"/>
    <x v="32"/>
    <x v="135"/>
    <x v="39"/>
    <x v="568"/>
    <x v="913"/>
    <x v="886"/>
    <x v="919"/>
    <x v="748"/>
    <x v="84"/>
    <x v="209"/>
    <x v="825"/>
    <x v="84"/>
    <x v="2"/>
  </r>
  <r>
    <x v="52"/>
    <x v="0"/>
    <x v="0"/>
    <x v="2"/>
    <x v="1"/>
    <x v="0"/>
    <x v="55"/>
    <x v="37"/>
    <x v="83"/>
    <x v="79"/>
    <x v="333"/>
    <x v="855"/>
    <x v="914"/>
    <x v="887"/>
    <x v="920"/>
    <x v="749"/>
    <x v="59"/>
    <x v="2"/>
    <x v="826"/>
    <x v="59"/>
    <x v="2"/>
  </r>
  <r>
    <x v="56"/>
    <x v="1"/>
    <x v="4"/>
    <x v="3"/>
    <x v="6"/>
    <x v="1"/>
    <x v="109"/>
    <x v="0"/>
    <x v="51"/>
    <x v="93"/>
    <x v="281"/>
    <x v="856"/>
    <x v="915"/>
    <x v="888"/>
    <x v="921"/>
    <x v="750"/>
    <x v="151"/>
    <x v="155"/>
    <x v="827"/>
    <x v="151"/>
    <x v="2"/>
  </r>
  <r>
    <x v="1"/>
    <x v="1"/>
    <x v="5"/>
    <x v="1"/>
    <x v="5"/>
    <x v="0"/>
    <x v="113"/>
    <x v="1"/>
    <x v="16"/>
    <x v="129"/>
    <x v="191"/>
    <x v="857"/>
    <x v="916"/>
    <x v="889"/>
    <x v="922"/>
    <x v="397"/>
    <x v="4"/>
    <x v="72"/>
    <x v="828"/>
    <x v="4"/>
    <x v="1"/>
  </r>
  <r>
    <x v="42"/>
    <x v="1"/>
    <x v="8"/>
    <x v="3"/>
    <x v="4"/>
    <x v="0"/>
    <x v="84"/>
    <x v="18"/>
    <x v="19"/>
    <x v="141"/>
    <x v="117"/>
    <x v="858"/>
    <x v="917"/>
    <x v="890"/>
    <x v="923"/>
    <x v="751"/>
    <x v="144"/>
    <x v="51"/>
    <x v="829"/>
    <x v="144"/>
    <x v="2"/>
  </r>
  <r>
    <x v="11"/>
    <x v="0"/>
    <x v="2"/>
    <x v="2"/>
    <x v="3"/>
    <x v="0"/>
    <x v="104"/>
    <x v="13"/>
    <x v="7"/>
    <x v="131"/>
    <x v="70"/>
    <x v="859"/>
    <x v="918"/>
    <x v="891"/>
    <x v="924"/>
    <x v="528"/>
    <x v="9"/>
    <x v="106"/>
    <x v="381"/>
    <x v="9"/>
    <x v="1"/>
  </r>
  <r>
    <x v="32"/>
    <x v="0"/>
    <x v="7"/>
    <x v="2"/>
    <x v="1"/>
    <x v="2"/>
    <x v="73"/>
    <x v="34"/>
    <x v="15"/>
    <x v="100"/>
    <x v="144"/>
    <x v="860"/>
    <x v="919"/>
    <x v="892"/>
    <x v="925"/>
    <x v="752"/>
    <x v="132"/>
    <x v="132"/>
    <x v="830"/>
    <x v="132"/>
    <x v="1"/>
  </r>
  <r>
    <x v="51"/>
    <x v="0"/>
    <x v="2"/>
    <x v="1"/>
    <x v="1"/>
    <x v="0"/>
    <x v="10"/>
    <x v="10"/>
    <x v="72"/>
    <x v="114"/>
    <x v="185"/>
    <x v="861"/>
    <x v="920"/>
    <x v="893"/>
    <x v="926"/>
    <x v="280"/>
    <x v="10"/>
    <x v="95"/>
    <x v="434"/>
    <x v="10"/>
    <x v="2"/>
  </r>
  <r>
    <x v="46"/>
    <x v="1"/>
    <x v="3"/>
    <x v="4"/>
    <x v="4"/>
    <x v="3"/>
    <x v="22"/>
    <x v="71"/>
    <x v="62"/>
    <x v="126"/>
    <x v="397"/>
    <x v="612"/>
    <x v="921"/>
    <x v="894"/>
    <x v="927"/>
    <x v="753"/>
    <x v="13"/>
    <x v="10"/>
    <x v="831"/>
    <x v="13"/>
    <x v="1"/>
  </r>
  <r>
    <x v="12"/>
    <x v="0"/>
    <x v="8"/>
    <x v="2"/>
    <x v="6"/>
    <x v="0"/>
    <x v="97"/>
    <x v="7"/>
    <x v="79"/>
    <x v="148"/>
    <x v="398"/>
    <x v="862"/>
    <x v="922"/>
    <x v="895"/>
    <x v="928"/>
    <x v="503"/>
    <x v="133"/>
    <x v="106"/>
    <x v="832"/>
    <x v="133"/>
    <x v="0"/>
  </r>
  <r>
    <x v="50"/>
    <x v="0"/>
    <x v="0"/>
    <x v="0"/>
    <x v="4"/>
    <x v="0"/>
    <x v="35"/>
    <x v="24"/>
    <x v="48"/>
    <x v="57"/>
    <x v="226"/>
    <x v="863"/>
    <x v="923"/>
    <x v="896"/>
    <x v="929"/>
    <x v="754"/>
    <x v="98"/>
    <x v="210"/>
    <x v="24"/>
    <x v="98"/>
    <x v="2"/>
  </r>
  <r>
    <x v="53"/>
    <x v="1"/>
    <x v="3"/>
    <x v="0"/>
    <x v="1"/>
    <x v="2"/>
    <x v="99"/>
    <x v="70"/>
    <x v="87"/>
    <x v="71"/>
    <x v="399"/>
    <x v="864"/>
    <x v="924"/>
    <x v="897"/>
    <x v="930"/>
    <x v="755"/>
    <x v="46"/>
    <x v="160"/>
    <x v="833"/>
    <x v="46"/>
    <x v="1"/>
  </r>
  <r>
    <x v="11"/>
    <x v="1"/>
    <x v="8"/>
    <x v="3"/>
    <x v="4"/>
    <x v="3"/>
    <x v="99"/>
    <x v="55"/>
    <x v="5"/>
    <x v="38"/>
    <x v="4"/>
    <x v="865"/>
    <x v="925"/>
    <x v="898"/>
    <x v="931"/>
    <x v="756"/>
    <x v="76"/>
    <x v="110"/>
    <x v="834"/>
    <x v="76"/>
    <x v="1"/>
  </r>
  <r>
    <x v="39"/>
    <x v="0"/>
    <x v="7"/>
    <x v="3"/>
    <x v="1"/>
    <x v="0"/>
    <x v="92"/>
    <x v="70"/>
    <x v="25"/>
    <x v="140"/>
    <x v="289"/>
    <x v="866"/>
    <x v="926"/>
    <x v="899"/>
    <x v="932"/>
    <x v="757"/>
    <x v="2"/>
    <x v="5"/>
    <x v="835"/>
    <x v="2"/>
    <x v="2"/>
  </r>
  <r>
    <x v="20"/>
    <x v="1"/>
    <x v="5"/>
    <x v="1"/>
    <x v="3"/>
    <x v="3"/>
    <x v="20"/>
    <x v="19"/>
    <x v="54"/>
    <x v="4"/>
    <x v="312"/>
    <x v="867"/>
    <x v="927"/>
    <x v="900"/>
    <x v="933"/>
    <x v="758"/>
    <x v="22"/>
    <x v="208"/>
    <x v="459"/>
    <x v="22"/>
    <x v="1"/>
  </r>
  <r>
    <x v="19"/>
    <x v="0"/>
    <x v="1"/>
    <x v="4"/>
    <x v="6"/>
    <x v="1"/>
    <x v="6"/>
    <x v="56"/>
    <x v="71"/>
    <x v="74"/>
    <x v="400"/>
    <x v="868"/>
    <x v="928"/>
    <x v="901"/>
    <x v="934"/>
    <x v="759"/>
    <x v="76"/>
    <x v="22"/>
    <x v="836"/>
    <x v="76"/>
    <x v="1"/>
  </r>
  <r>
    <x v="36"/>
    <x v="1"/>
    <x v="7"/>
    <x v="2"/>
    <x v="0"/>
    <x v="1"/>
    <x v="113"/>
    <x v="43"/>
    <x v="35"/>
    <x v="11"/>
    <x v="365"/>
    <x v="869"/>
    <x v="929"/>
    <x v="902"/>
    <x v="935"/>
    <x v="760"/>
    <x v="134"/>
    <x v="20"/>
    <x v="837"/>
    <x v="134"/>
    <x v="1"/>
  </r>
  <r>
    <x v="37"/>
    <x v="1"/>
    <x v="5"/>
    <x v="2"/>
    <x v="0"/>
    <x v="3"/>
    <x v="19"/>
    <x v="5"/>
    <x v="8"/>
    <x v="99"/>
    <x v="389"/>
    <x v="870"/>
    <x v="930"/>
    <x v="903"/>
    <x v="936"/>
    <x v="377"/>
    <x v="2"/>
    <x v="131"/>
    <x v="838"/>
    <x v="2"/>
    <x v="2"/>
  </r>
  <r>
    <x v="25"/>
    <x v="1"/>
    <x v="0"/>
    <x v="3"/>
    <x v="6"/>
    <x v="3"/>
    <x v="10"/>
    <x v="67"/>
    <x v="68"/>
    <x v="75"/>
    <x v="360"/>
    <x v="871"/>
    <x v="931"/>
    <x v="904"/>
    <x v="937"/>
    <x v="761"/>
    <x v="74"/>
    <x v="129"/>
    <x v="839"/>
    <x v="74"/>
    <x v="0"/>
  </r>
  <r>
    <x v="57"/>
    <x v="1"/>
    <x v="1"/>
    <x v="1"/>
    <x v="5"/>
    <x v="2"/>
    <x v="117"/>
    <x v="32"/>
    <x v="11"/>
    <x v="87"/>
    <x v="219"/>
    <x v="872"/>
    <x v="932"/>
    <x v="905"/>
    <x v="938"/>
    <x v="762"/>
    <x v="8"/>
    <x v="111"/>
    <x v="840"/>
    <x v="8"/>
    <x v="0"/>
  </r>
  <r>
    <x v="41"/>
    <x v="1"/>
    <x v="4"/>
    <x v="3"/>
    <x v="1"/>
    <x v="2"/>
    <x v="15"/>
    <x v="13"/>
    <x v="83"/>
    <x v="6"/>
    <x v="30"/>
    <x v="873"/>
    <x v="933"/>
    <x v="906"/>
    <x v="939"/>
    <x v="142"/>
    <x v="68"/>
    <x v="36"/>
    <x v="375"/>
    <x v="68"/>
    <x v="2"/>
  </r>
  <r>
    <x v="42"/>
    <x v="0"/>
    <x v="7"/>
    <x v="3"/>
    <x v="0"/>
    <x v="1"/>
    <x v="37"/>
    <x v="1"/>
    <x v="49"/>
    <x v="132"/>
    <x v="220"/>
    <x v="874"/>
    <x v="934"/>
    <x v="907"/>
    <x v="940"/>
    <x v="557"/>
    <x v="95"/>
    <x v="48"/>
    <x v="683"/>
    <x v="95"/>
    <x v="2"/>
  </r>
  <r>
    <x v="34"/>
    <x v="1"/>
    <x v="5"/>
    <x v="4"/>
    <x v="2"/>
    <x v="3"/>
    <x v="14"/>
    <x v="57"/>
    <x v="89"/>
    <x v="38"/>
    <x v="136"/>
    <x v="875"/>
    <x v="935"/>
    <x v="908"/>
    <x v="941"/>
    <x v="731"/>
    <x v="79"/>
    <x v="65"/>
    <x v="841"/>
    <x v="79"/>
    <x v="2"/>
  </r>
  <r>
    <x v="20"/>
    <x v="1"/>
    <x v="7"/>
    <x v="4"/>
    <x v="0"/>
    <x v="3"/>
    <x v="79"/>
    <x v="22"/>
    <x v="33"/>
    <x v="72"/>
    <x v="36"/>
    <x v="876"/>
    <x v="936"/>
    <x v="909"/>
    <x v="942"/>
    <x v="83"/>
    <x v="61"/>
    <x v="165"/>
    <x v="842"/>
    <x v="61"/>
    <x v="1"/>
  </r>
  <r>
    <x v="34"/>
    <x v="1"/>
    <x v="2"/>
    <x v="2"/>
    <x v="5"/>
    <x v="2"/>
    <x v="36"/>
    <x v="20"/>
    <x v="77"/>
    <x v="30"/>
    <x v="51"/>
    <x v="272"/>
    <x v="937"/>
    <x v="910"/>
    <x v="943"/>
    <x v="763"/>
    <x v="79"/>
    <x v="109"/>
    <x v="843"/>
    <x v="79"/>
    <x v="2"/>
  </r>
  <r>
    <x v="40"/>
    <x v="1"/>
    <x v="3"/>
    <x v="4"/>
    <x v="2"/>
    <x v="0"/>
    <x v="5"/>
    <x v="41"/>
    <x v="40"/>
    <x v="89"/>
    <x v="140"/>
    <x v="877"/>
    <x v="938"/>
    <x v="911"/>
    <x v="944"/>
    <x v="764"/>
    <x v="56"/>
    <x v="117"/>
    <x v="844"/>
    <x v="56"/>
    <x v="2"/>
  </r>
  <r>
    <x v="41"/>
    <x v="0"/>
    <x v="8"/>
    <x v="4"/>
    <x v="4"/>
    <x v="0"/>
    <x v="33"/>
    <x v="13"/>
    <x v="89"/>
    <x v="14"/>
    <x v="231"/>
    <x v="878"/>
    <x v="939"/>
    <x v="912"/>
    <x v="945"/>
    <x v="765"/>
    <x v="105"/>
    <x v="9"/>
    <x v="845"/>
    <x v="105"/>
    <x v="2"/>
  </r>
  <r>
    <x v="30"/>
    <x v="1"/>
    <x v="2"/>
    <x v="1"/>
    <x v="1"/>
    <x v="3"/>
    <x v="35"/>
    <x v="23"/>
    <x v="50"/>
    <x v="134"/>
    <x v="49"/>
    <x v="879"/>
    <x v="940"/>
    <x v="913"/>
    <x v="946"/>
    <x v="3"/>
    <x v="5"/>
    <x v="100"/>
    <x v="846"/>
    <x v="5"/>
    <x v="1"/>
  </r>
  <r>
    <x v="35"/>
    <x v="0"/>
    <x v="0"/>
    <x v="0"/>
    <x v="6"/>
    <x v="1"/>
    <x v="97"/>
    <x v="76"/>
    <x v="7"/>
    <x v="54"/>
    <x v="167"/>
    <x v="880"/>
    <x v="941"/>
    <x v="914"/>
    <x v="947"/>
    <x v="766"/>
    <x v="61"/>
    <x v="106"/>
    <x v="684"/>
    <x v="61"/>
    <x v="2"/>
  </r>
  <r>
    <x v="10"/>
    <x v="1"/>
    <x v="5"/>
    <x v="3"/>
    <x v="5"/>
    <x v="1"/>
    <x v="2"/>
    <x v="17"/>
    <x v="23"/>
    <x v="42"/>
    <x v="195"/>
    <x v="881"/>
    <x v="942"/>
    <x v="915"/>
    <x v="948"/>
    <x v="767"/>
    <x v="126"/>
    <x v="181"/>
    <x v="847"/>
    <x v="126"/>
    <x v="2"/>
  </r>
  <r>
    <x v="46"/>
    <x v="0"/>
    <x v="5"/>
    <x v="1"/>
    <x v="1"/>
    <x v="0"/>
    <x v="46"/>
    <x v="74"/>
    <x v="35"/>
    <x v="118"/>
    <x v="140"/>
    <x v="882"/>
    <x v="943"/>
    <x v="916"/>
    <x v="949"/>
    <x v="768"/>
    <x v="63"/>
    <x v="35"/>
    <x v="848"/>
    <x v="63"/>
    <x v="1"/>
  </r>
  <r>
    <x v="30"/>
    <x v="1"/>
    <x v="5"/>
    <x v="1"/>
    <x v="2"/>
    <x v="1"/>
    <x v="95"/>
    <x v="44"/>
    <x v="53"/>
    <x v="125"/>
    <x v="290"/>
    <x v="883"/>
    <x v="944"/>
    <x v="917"/>
    <x v="950"/>
    <x v="769"/>
    <x v="55"/>
    <x v="109"/>
    <x v="771"/>
    <x v="55"/>
    <x v="1"/>
  </r>
  <r>
    <x v="20"/>
    <x v="0"/>
    <x v="5"/>
    <x v="4"/>
    <x v="3"/>
    <x v="0"/>
    <x v="64"/>
    <x v="45"/>
    <x v="5"/>
    <x v="92"/>
    <x v="23"/>
    <x v="884"/>
    <x v="945"/>
    <x v="918"/>
    <x v="951"/>
    <x v="770"/>
    <x v="74"/>
    <x v="6"/>
    <x v="849"/>
    <x v="74"/>
    <x v="1"/>
  </r>
  <r>
    <x v="3"/>
    <x v="0"/>
    <x v="8"/>
    <x v="1"/>
    <x v="0"/>
    <x v="2"/>
    <x v="54"/>
    <x v="14"/>
    <x v="44"/>
    <x v="48"/>
    <x v="298"/>
    <x v="885"/>
    <x v="946"/>
    <x v="919"/>
    <x v="952"/>
    <x v="771"/>
    <x v="39"/>
    <x v="38"/>
    <x v="850"/>
    <x v="39"/>
    <x v="0"/>
  </r>
  <r>
    <x v="9"/>
    <x v="0"/>
    <x v="9"/>
    <x v="0"/>
    <x v="1"/>
    <x v="2"/>
    <x v="112"/>
    <x v="28"/>
    <x v="70"/>
    <x v="85"/>
    <x v="125"/>
    <x v="493"/>
    <x v="947"/>
    <x v="843"/>
    <x v="953"/>
    <x v="772"/>
    <x v="66"/>
    <x v="124"/>
    <x v="851"/>
    <x v="66"/>
    <x v="0"/>
  </r>
  <r>
    <x v="9"/>
    <x v="0"/>
    <x v="6"/>
    <x v="4"/>
    <x v="5"/>
    <x v="0"/>
    <x v="51"/>
    <x v="2"/>
    <x v="19"/>
    <x v="83"/>
    <x v="295"/>
    <x v="886"/>
    <x v="948"/>
    <x v="920"/>
    <x v="954"/>
    <x v="772"/>
    <x v="66"/>
    <x v="198"/>
    <x v="852"/>
    <x v="66"/>
    <x v="0"/>
  </r>
  <r>
    <x v="32"/>
    <x v="1"/>
    <x v="4"/>
    <x v="1"/>
    <x v="6"/>
    <x v="2"/>
    <x v="86"/>
    <x v="32"/>
    <x v="37"/>
    <x v="79"/>
    <x v="401"/>
    <x v="887"/>
    <x v="949"/>
    <x v="921"/>
    <x v="955"/>
    <x v="773"/>
    <x v="78"/>
    <x v="57"/>
    <x v="853"/>
    <x v="78"/>
    <x v="1"/>
  </r>
  <r>
    <x v="29"/>
    <x v="1"/>
    <x v="5"/>
    <x v="4"/>
    <x v="4"/>
    <x v="1"/>
    <x v="53"/>
    <x v="15"/>
    <x v="25"/>
    <x v="40"/>
    <x v="105"/>
    <x v="253"/>
    <x v="950"/>
    <x v="922"/>
    <x v="956"/>
    <x v="194"/>
    <x v="20"/>
    <x v="149"/>
    <x v="854"/>
    <x v="20"/>
    <x v="2"/>
  </r>
  <r>
    <x v="45"/>
    <x v="0"/>
    <x v="2"/>
    <x v="4"/>
    <x v="5"/>
    <x v="2"/>
    <x v="52"/>
    <x v="79"/>
    <x v="87"/>
    <x v="41"/>
    <x v="157"/>
    <x v="888"/>
    <x v="951"/>
    <x v="854"/>
    <x v="957"/>
    <x v="774"/>
    <x v="138"/>
    <x v="55"/>
    <x v="855"/>
    <x v="138"/>
    <x v="2"/>
  </r>
  <r>
    <x v="24"/>
    <x v="1"/>
    <x v="3"/>
    <x v="1"/>
    <x v="3"/>
    <x v="1"/>
    <x v="78"/>
    <x v="49"/>
    <x v="2"/>
    <x v="37"/>
    <x v="402"/>
    <x v="889"/>
    <x v="952"/>
    <x v="923"/>
    <x v="958"/>
    <x v="775"/>
    <x v="106"/>
    <x v="13"/>
    <x v="856"/>
    <x v="106"/>
    <x v="1"/>
  </r>
  <r>
    <x v="0"/>
    <x v="1"/>
    <x v="4"/>
    <x v="0"/>
    <x v="3"/>
    <x v="0"/>
    <x v="102"/>
    <x v="15"/>
    <x v="18"/>
    <x v="108"/>
    <x v="42"/>
    <x v="890"/>
    <x v="953"/>
    <x v="924"/>
    <x v="959"/>
    <x v="258"/>
    <x v="182"/>
    <x v="34"/>
    <x v="857"/>
    <x v="182"/>
    <x v="0"/>
  </r>
  <r>
    <x v="28"/>
    <x v="0"/>
    <x v="0"/>
    <x v="4"/>
    <x v="2"/>
    <x v="2"/>
    <x v="47"/>
    <x v="63"/>
    <x v="72"/>
    <x v="147"/>
    <x v="61"/>
    <x v="847"/>
    <x v="954"/>
    <x v="925"/>
    <x v="960"/>
    <x v="776"/>
    <x v="117"/>
    <x v="151"/>
    <x v="858"/>
    <x v="117"/>
    <x v="0"/>
  </r>
  <r>
    <x v="15"/>
    <x v="0"/>
    <x v="5"/>
    <x v="2"/>
    <x v="0"/>
    <x v="0"/>
    <x v="21"/>
    <x v="39"/>
    <x v="0"/>
    <x v="36"/>
    <x v="392"/>
    <x v="891"/>
    <x v="955"/>
    <x v="926"/>
    <x v="961"/>
    <x v="727"/>
    <x v="38"/>
    <x v="61"/>
    <x v="859"/>
    <x v="38"/>
    <x v="2"/>
  </r>
  <r>
    <x v="34"/>
    <x v="0"/>
    <x v="7"/>
    <x v="4"/>
    <x v="6"/>
    <x v="0"/>
    <x v="100"/>
    <x v="79"/>
    <x v="28"/>
    <x v="84"/>
    <x v="234"/>
    <x v="892"/>
    <x v="956"/>
    <x v="927"/>
    <x v="962"/>
    <x v="106"/>
    <x v="63"/>
    <x v="53"/>
    <x v="860"/>
    <x v="63"/>
    <x v="2"/>
  </r>
  <r>
    <x v="47"/>
    <x v="1"/>
    <x v="1"/>
    <x v="0"/>
    <x v="3"/>
    <x v="3"/>
    <x v="45"/>
    <x v="53"/>
    <x v="33"/>
    <x v="88"/>
    <x v="321"/>
    <x v="893"/>
    <x v="957"/>
    <x v="928"/>
    <x v="963"/>
    <x v="777"/>
    <x v="117"/>
    <x v="103"/>
    <x v="306"/>
    <x v="117"/>
    <x v="0"/>
  </r>
  <r>
    <x v="10"/>
    <x v="1"/>
    <x v="1"/>
    <x v="0"/>
    <x v="1"/>
    <x v="1"/>
    <x v="46"/>
    <x v="44"/>
    <x v="9"/>
    <x v="140"/>
    <x v="61"/>
    <x v="894"/>
    <x v="958"/>
    <x v="929"/>
    <x v="964"/>
    <x v="129"/>
    <x v="25"/>
    <x v="20"/>
    <x v="861"/>
    <x v="25"/>
    <x v="2"/>
  </r>
  <r>
    <x v="3"/>
    <x v="1"/>
    <x v="4"/>
    <x v="1"/>
    <x v="2"/>
    <x v="3"/>
    <x v="113"/>
    <x v="11"/>
    <x v="61"/>
    <x v="73"/>
    <x v="353"/>
    <x v="895"/>
    <x v="959"/>
    <x v="707"/>
    <x v="965"/>
    <x v="746"/>
    <x v="66"/>
    <x v="118"/>
    <x v="862"/>
    <x v="66"/>
    <x v="0"/>
  </r>
  <r>
    <x v="25"/>
    <x v="0"/>
    <x v="6"/>
    <x v="3"/>
    <x v="4"/>
    <x v="0"/>
    <x v="58"/>
    <x v="67"/>
    <x v="72"/>
    <x v="113"/>
    <x v="273"/>
    <x v="896"/>
    <x v="960"/>
    <x v="930"/>
    <x v="966"/>
    <x v="778"/>
    <x v="119"/>
    <x v="68"/>
    <x v="863"/>
    <x v="119"/>
    <x v="0"/>
  </r>
  <r>
    <x v="45"/>
    <x v="1"/>
    <x v="0"/>
    <x v="3"/>
    <x v="2"/>
    <x v="3"/>
    <x v="11"/>
    <x v="44"/>
    <x v="0"/>
    <x v="106"/>
    <x v="282"/>
    <x v="897"/>
    <x v="961"/>
    <x v="931"/>
    <x v="967"/>
    <x v="779"/>
    <x v="20"/>
    <x v="130"/>
    <x v="864"/>
    <x v="20"/>
    <x v="2"/>
  </r>
  <r>
    <x v="55"/>
    <x v="0"/>
    <x v="4"/>
    <x v="4"/>
    <x v="1"/>
    <x v="2"/>
    <x v="82"/>
    <x v="20"/>
    <x v="65"/>
    <x v="62"/>
    <x v="213"/>
    <x v="707"/>
    <x v="962"/>
    <x v="932"/>
    <x v="968"/>
    <x v="780"/>
    <x v="164"/>
    <x v="5"/>
    <x v="865"/>
    <x v="164"/>
    <x v="2"/>
  </r>
  <r>
    <x v="33"/>
    <x v="1"/>
    <x v="4"/>
    <x v="2"/>
    <x v="2"/>
    <x v="0"/>
    <x v="28"/>
    <x v="52"/>
    <x v="70"/>
    <x v="5"/>
    <x v="209"/>
    <x v="898"/>
    <x v="963"/>
    <x v="933"/>
    <x v="969"/>
    <x v="200"/>
    <x v="149"/>
    <x v="34"/>
    <x v="866"/>
    <x v="149"/>
    <x v="2"/>
  </r>
  <r>
    <x v="16"/>
    <x v="0"/>
    <x v="3"/>
    <x v="2"/>
    <x v="3"/>
    <x v="1"/>
    <x v="13"/>
    <x v="22"/>
    <x v="39"/>
    <x v="116"/>
    <x v="50"/>
    <x v="899"/>
    <x v="964"/>
    <x v="934"/>
    <x v="970"/>
    <x v="270"/>
    <x v="173"/>
    <x v="100"/>
    <x v="867"/>
    <x v="173"/>
    <x v="0"/>
  </r>
  <r>
    <x v="24"/>
    <x v="0"/>
    <x v="7"/>
    <x v="0"/>
    <x v="5"/>
    <x v="3"/>
    <x v="81"/>
    <x v="64"/>
    <x v="17"/>
    <x v="17"/>
    <x v="160"/>
    <x v="134"/>
    <x v="965"/>
    <x v="935"/>
    <x v="971"/>
    <x v="781"/>
    <x v="148"/>
    <x v="11"/>
    <x v="868"/>
    <x v="148"/>
    <x v="1"/>
  </r>
  <r>
    <x v="57"/>
    <x v="1"/>
    <x v="6"/>
    <x v="1"/>
    <x v="0"/>
    <x v="1"/>
    <x v="2"/>
    <x v="33"/>
    <x v="27"/>
    <x v="92"/>
    <x v="299"/>
    <x v="900"/>
    <x v="966"/>
    <x v="936"/>
    <x v="972"/>
    <x v="405"/>
    <x v="96"/>
    <x v="23"/>
    <x v="869"/>
    <x v="96"/>
    <x v="0"/>
  </r>
  <r>
    <x v="7"/>
    <x v="1"/>
    <x v="4"/>
    <x v="3"/>
    <x v="4"/>
    <x v="2"/>
    <x v="41"/>
    <x v="11"/>
    <x v="85"/>
    <x v="127"/>
    <x v="113"/>
    <x v="901"/>
    <x v="967"/>
    <x v="424"/>
    <x v="973"/>
    <x v="385"/>
    <x v="61"/>
    <x v="107"/>
    <x v="870"/>
    <x v="61"/>
    <x v="2"/>
  </r>
  <r>
    <x v="51"/>
    <x v="0"/>
    <x v="8"/>
    <x v="4"/>
    <x v="3"/>
    <x v="3"/>
    <x v="18"/>
    <x v="4"/>
    <x v="19"/>
    <x v="68"/>
    <x v="104"/>
    <x v="902"/>
    <x v="968"/>
    <x v="937"/>
    <x v="974"/>
    <x v="374"/>
    <x v="120"/>
    <x v="81"/>
    <x v="379"/>
    <x v="120"/>
    <x v="2"/>
  </r>
  <r>
    <x v="46"/>
    <x v="0"/>
    <x v="7"/>
    <x v="2"/>
    <x v="6"/>
    <x v="2"/>
    <x v="95"/>
    <x v="16"/>
    <x v="74"/>
    <x v="117"/>
    <x v="288"/>
    <x v="903"/>
    <x v="969"/>
    <x v="938"/>
    <x v="975"/>
    <x v="782"/>
    <x v="173"/>
    <x v="69"/>
    <x v="128"/>
    <x v="173"/>
    <x v="1"/>
  </r>
  <r>
    <x v="55"/>
    <x v="1"/>
    <x v="8"/>
    <x v="1"/>
    <x v="4"/>
    <x v="0"/>
    <x v="93"/>
    <x v="47"/>
    <x v="23"/>
    <x v="19"/>
    <x v="60"/>
    <x v="904"/>
    <x v="970"/>
    <x v="939"/>
    <x v="976"/>
    <x v="783"/>
    <x v="33"/>
    <x v="143"/>
    <x v="871"/>
    <x v="33"/>
    <x v="2"/>
  </r>
  <r>
    <x v="1"/>
    <x v="0"/>
    <x v="9"/>
    <x v="0"/>
    <x v="5"/>
    <x v="1"/>
    <x v="12"/>
    <x v="78"/>
    <x v="6"/>
    <x v="2"/>
    <x v="73"/>
    <x v="905"/>
    <x v="971"/>
    <x v="940"/>
    <x v="977"/>
    <x v="784"/>
    <x v="155"/>
    <x v="6"/>
    <x v="872"/>
    <x v="155"/>
    <x v="1"/>
  </r>
  <r>
    <x v="12"/>
    <x v="1"/>
    <x v="7"/>
    <x v="3"/>
    <x v="3"/>
    <x v="2"/>
    <x v="96"/>
    <x v="19"/>
    <x v="50"/>
    <x v="33"/>
    <x v="386"/>
    <x v="906"/>
    <x v="972"/>
    <x v="941"/>
    <x v="978"/>
    <x v="785"/>
    <x v="148"/>
    <x v="20"/>
    <x v="873"/>
    <x v="148"/>
    <x v="0"/>
  </r>
  <r>
    <x v="41"/>
    <x v="1"/>
    <x v="4"/>
    <x v="1"/>
    <x v="1"/>
    <x v="0"/>
    <x v="73"/>
    <x v="75"/>
    <x v="6"/>
    <x v="133"/>
    <x v="201"/>
    <x v="220"/>
    <x v="973"/>
    <x v="942"/>
    <x v="979"/>
    <x v="352"/>
    <x v="68"/>
    <x v="184"/>
    <x v="874"/>
    <x v="68"/>
    <x v="2"/>
  </r>
  <r>
    <x v="7"/>
    <x v="0"/>
    <x v="1"/>
    <x v="2"/>
    <x v="1"/>
    <x v="1"/>
    <x v="55"/>
    <x v="53"/>
    <x v="44"/>
    <x v="118"/>
    <x v="177"/>
    <x v="907"/>
    <x v="974"/>
    <x v="943"/>
    <x v="980"/>
    <x v="786"/>
    <x v="112"/>
    <x v="68"/>
    <x v="875"/>
    <x v="112"/>
    <x v="2"/>
  </r>
  <r>
    <x v="58"/>
    <x v="1"/>
    <x v="4"/>
    <x v="0"/>
    <x v="0"/>
    <x v="0"/>
    <x v="54"/>
    <x v="53"/>
    <x v="41"/>
    <x v="63"/>
    <x v="384"/>
    <x v="908"/>
    <x v="975"/>
    <x v="944"/>
    <x v="981"/>
    <x v="332"/>
    <x v="121"/>
    <x v="203"/>
    <x v="876"/>
    <x v="121"/>
    <x v="0"/>
  </r>
  <r>
    <x v="38"/>
    <x v="1"/>
    <x v="7"/>
    <x v="3"/>
    <x v="0"/>
    <x v="1"/>
    <x v="56"/>
    <x v="50"/>
    <x v="0"/>
    <x v="22"/>
    <x v="245"/>
    <x v="909"/>
    <x v="976"/>
    <x v="945"/>
    <x v="982"/>
    <x v="787"/>
    <x v="85"/>
    <x v="146"/>
    <x v="877"/>
    <x v="85"/>
    <x v="2"/>
  </r>
  <r>
    <x v="26"/>
    <x v="1"/>
    <x v="0"/>
    <x v="1"/>
    <x v="0"/>
    <x v="3"/>
    <x v="45"/>
    <x v="23"/>
    <x v="79"/>
    <x v="110"/>
    <x v="403"/>
    <x v="910"/>
    <x v="977"/>
    <x v="946"/>
    <x v="983"/>
    <x v="788"/>
    <x v="167"/>
    <x v="210"/>
    <x v="878"/>
    <x v="167"/>
    <x v="2"/>
  </r>
  <r>
    <x v="57"/>
    <x v="1"/>
    <x v="7"/>
    <x v="0"/>
    <x v="4"/>
    <x v="1"/>
    <x v="78"/>
    <x v="39"/>
    <x v="11"/>
    <x v="21"/>
    <x v="404"/>
    <x v="911"/>
    <x v="978"/>
    <x v="947"/>
    <x v="984"/>
    <x v="789"/>
    <x v="120"/>
    <x v="120"/>
    <x v="879"/>
    <x v="120"/>
    <x v="0"/>
  </r>
  <r>
    <x v="3"/>
    <x v="1"/>
    <x v="7"/>
    <x v="1"/>
    <x v="1"/>
    <x v="1"/>
    <x v="116"/>
    <x v="63"/>
    <x v="82"/>
    <x v="58"/>
    <x v="362"/>
    <x v="912"/>
    <x v="979"/>
    <x v="948"/>
    <x v="985"/>
    <x v="462"/>
    <x v="19"/>
    <x v="80"/>
    <x v="880"/>
    <x v="19"/>
    <x v="0"/>
  </r>
  <r>
    <x v="36"/>
    <x v="1"/>
    <x v="0"/>
    <x v="1"/>
    <x v="5"/>
    <x v="3"/>
    <x v="79"/>
    <x v="21"/>
    <x v="49"/>
    <x v="37"/>
    <x v="405"/>
    <x v="913"/>
    <x v="980"/>
    <x v="949"/>
    <x v="986"/>
    <x v="204"/>
    <x v="76"/>
    <x v="11"/>
    <x v="881"/>
    <x v="76"/>
    <x v="1"/>
  </r>
  <r>
    <x v="33"/>
    <x v="0"/>
    <x v="6"/>
    <x v="0"/>
    <x v="1"/>
    <x v="1"/>
    <x v="91"/>
    <x v="39"/>
    <x v="84"/>
    <x v="53"/>
    <x v="302"/>
    <x v="119"/>
    <x v="981"/>
    <x v="950"/>
    <x v="987"/>
    <x v="604"/>
    <x v="13"/>
    <x v="24"/>
    <x v="882"/>
    <x v="13"/>
    <x v="2"/>
  </r>
  <r>
    <x v="37"/>
    <x v="1"/>
    <x v="2"/>
    <x v="1"/>
    <x v="3"/>
    <x v="3"/>
    <x v="119"/>
    <x v="68"/>
    <x v="46"/>
    <x v="96"/>
    <x v="363"/>
    <x v="718"/>
    <x v="982"/>
    <x v="951"/>
    <x v="988"/>
    <x v="697"/>
    <x v="53"/>
    <x v="53"/>
    <x v="883"/>
    <x v="53"/>
    <x v="2"/>
  </r>
  <r>
    <x v="38"/>
    <x v="1"/>
    <x v="3"/>
    <x v="1"/>
    <x v="3"/>
    <x v="0"/>
    <x v="115"/>
    <x v="24"/>
    <x v="41"/>
    <x v="114"/>
    <x v="91"/>
    <x v="914"/>
    <x v="983"/>
    <x v="219"/>
    <x v="989"/>
    <x v="377"/>
    <x v="68"/>
    <x v="75"/>
    <x v="884"/>
    <x v="68"/>
    <x v="2"/>
  </r>
  <r>
    <x v="21"/>
    <x v="0"/>
    <x v="7"/>
    <x v="4"/>
    <x v="5"/>
    <x v="3"/>
    <x v="28"/>
    <x v="11"/>
    <x v="76"/>
    <x v="72"/>
    <x v="370"/>
    <x v="380"/>
    <x v="984"/>
    <x v="952"/>
    <x v="990"/>
    <x v="790"/>
    <x v="35"/>
    <x v="161"/>
    <x v="885"/>
    <x v="35"/>
    <x v="0"/>
  </r>
  <r>
    <x v="58"/>
    <x v="0"/>
    <x v="9"/>
    <x v="4"/>
    <x v="3"/>
    <x v="0"/>
    <x v="60"/>
    <x v="17"/>
    <x v="14"/>
    <x v="95"/>
    <x v="104"/>
    <x v="503"/>
    <x v="985"/>
    <x v="953"/>
    <x v="991"/>
    <x v="764"/>
    <x v="35"/>
    <x v="101"/>
    <x v="886"/>
    <x v="35"/>
    <x v="0"/>
  </r>
  <r>
    <x v="50"/>
    <x v="1"/>
    <x v="5"/>
    <x v="3"/>
    <x v="3"/>
    <x v="3"/>
    <x v="34"/>
    <x v="10"/>
    <x v="40"/>
    <x v="123"/>
    <x v="94"/>
    <x v="915"/>
    <x v="986"/>
    <x v="954"/>
    <x v="992"/>
    <x v="791"/>
    <x v="32"/>
    <x v="154"/>
    <x v="887"/>
    <x v="32"/>
    <x v="2"/>
  </r>
  <r>
    <x v="22"/>
    <x v="0"/>
    <x v="0"/>
    <x v="1"/>
    <x v="3"/>
    <x v="3"/>
    <x v="10"/>
    <x v="24"/>
    <x v="40"/>
    <x v="19"/>
    <x v="78"/>
    <x v="916"/>
    <x v="987"/>
    <x v="955"/>
    <x v="993"/>
    <x v="792"/>
    <x v="11"/>
    <x v="167"/>
    <x v="663"/>
    <x v="11"/>
    <x v="0"/>
  </r>
  <r>
    <x v="5"/>
    <x v="0"/>
    <x v="2"/>
    <x v="1"/>
    <x v="6"/>
    <x v="2"/>
    <x v="84"/>
    <x v="39"/>
    <x v="36"/>
    <x v="31"/>
    <x v="51"/>
    <x v="917"/>
    <x v="988"/>
    <x v="956"/>
    <x v="994"/>
    <x v="394"/>
    <x v="5"/>
    <x v="62"/>
    <x v="888"/>
    <x v="5"/>
    <x v="2"/>
  </r>
  <r>
    <x v="48"/>
    <x v="1"/>
    <x v="1"/>
    <x v="2"/>
    <x v="3"/>
    <x v="1"/>
    <x v="17"/>
    <x v="11"/>
    <x v="78"/>
    <x v="52"/>
    <x v="375"/>
    <x v="918"/>
    <x v="989"/>
    <x v="957"/>
    <x v="995"/>
    <x v="793"/>
    <x v="121"/>
    <x v="25"/>
    <x v="889"/>
    <x v="121"/>
    <x v="2"/>
  </r>
  <r>
    <x v="18"/>
    <x v="0"/>
    <x v="1"/>
    <x v="0"/>
    <x v="6"/>
    <x v="1"/>
    <x v="43"/>
    <x v="17"/>
    <x v="27"/>
    <x v="21"/>
    <x v="150"/>
    <x v="205"/>
    <x v="990"/>
    <x v="958"/>
    <x v="996"/>
    <x v="794"/>
    <x v="146"/>
    <x v="185"/>
    <x v="890"/>
    <x v="146"/>
    <x v="2"/>
  </r>
  <r>
    <x v="48"/>
    <x v="0"/>
    <x v="9"/>
    <x v="2"/>
    <x v="4"/>
    <x v="3"/>
    <x v="119"/>
    <x v="16"/>
    <x v="6"/>
    <x v="135"/>
    <x v="226"/>
    <x v="919"/>
    <x v="991"/>
    <x v="959"/>
    <x v="997"/>
    <x v="795"/>
    <x v="35"/>
    <x v="190"/>
    <x v="891"/>
    <x v="35"/>
    <x v="2"/>
  </r>
  <r>
    <x v="9"/>
    <x v="0"/>
    <x v="0"/>
    <x v="3"/>
    <x v="4"/>
    <x v="0"/>
    <x v="105"/>
    <x v="18"/>
    <x v="86"/>
    <x v="104"/>
    <x v="106"/>
    <x v="920"/>
    <x v="992"/>
    <x v="563"/>
    <x v="998"/>
    <x v="796"/>
    <x v="77"/>
    <x v="169"/>
    <x v="892"/>
    <x v="77"/>
    <x v="0"/>
  </r>
  <r>
    <x v="19"/>
    <x v="1"/>
    <x v="7"/>
    <x v="1"/>
    <x v="4"/>
    <x v="0"/>
    <x v="25"/>
    <x v="53"/>
    <x v="78"/>
    <x v="12"/>
    <x v="46"/>
    <x v="921"/>
    <x v="993"/>
    <x v="960"/>
    <x v="999"/>
    <x v="797"/>
    <x v="31"/>
    <x v="36"/>
    <x v="893"/>
    <x v="31"/>
    <x v="1"/>
  </r>
  <r>
    <x v="9"/>
    <x v="0"/>
    <x v="7"/>
    <x v="0"/>
    <x v="0"/>
    <x v="2"/>
    <x v="10"/>
    <x v="8"/>
    <x v="83"/>
    <x v="1"/>
    <x v="53"/>
    <x v="922"/>
    <x v="994"/>
    <x v="42"/>
    <x v="1000"/>
    <x v="798"/>
    <x v="42"/>
    <x v="114"/>
    <x v="894"/>
    <x v="42"/>
    <x v="0"/>
  </r>
  <r>
    <x v="49"/>
    <x v="0"/>
    <x v="8"/>
    <x v="3"/>
    <x v="2"/>
    <x v="0"/>
    <x v="119"/>
    <x v="77"/>
    <x v="67"/>
    <x v="137"/>
    <x v="242"/>
    <x v="923"/>
    <x v="995"/>
    <x v="961"/>
    <x v="1001"/>
    <x v="799"/>
    <x v="38"/>
    <x v="103"/>
    <x v="895"/>
    <x v="38"/>
    <x v="1"/>
  </r>
  <r>
    <x v="59"/>
    <x v="0"/>
    <x v="8"/>
    <x v="4"/>
    <x v="1"/>
    <x v="3"/>
    <x v="7"/>
    <x v="36"/>
    <x v="15"/>
    <x v="48"/>
    <x v="315"/>
    <x v="924"/>
    <x v="996"/>
    <x v="962"/>
    <x v="1002"/>
    <x v="800"/>
    <x v="101"/>
    <x v="127"/>
    <x v="75"/>
    <x v="101"/>
    <x v="0"/>
  </r>
  <r>
    <x v="39"/>
    <x v="0"/>
    <x v="0"/>
    <x v="3"/>
    <x v="5"/>
    <x v="1"/>
    <x v="58"/>
    <x v="43"/>
    <x v="58"/>
    <x v="143"/>
    <x v="181"/>
    <x v="925"/>
    <x v="997"/>
    <x v="963"/>
    <x v="1003"/>
    <x v="801"/>
    <x v="105"/>
    <x v="133"/>
    <x v="91"/>
    <x v="105"/>
    <x v="2"/>
  </r>
  <r>
    <x v="33"/>
    <x v="1"/>
    <x v="8"/>
    <x v="0"/>
    <x v="1"/>
    <x v="0"/>
    <x v="88"/>
    <x v="18"/>
    <x v="76"/>
    <x v="140"/>
    <x v="406"/>
    <x v="742"/>
    <x v="998"/>
    <x v="964"/>
    <x v="1004"/>
    <x v="802"/>
    <x v="173"/>
    <x v="66"/>
    <x v="896"/>
    <x v="173"/>
    <x v="2"/>
  </r>
  <r>
    <x v="12"/>
    <x v="1"/>
    <x v="3"/>
    <x v="0"/>
    <x v="5"/>
    <x v="2"/>
    <x v="18"/>
    <x v="36"/>
    <x v="43"/>
    <x v="101"/>
    <x v="203"/>
    <x v="926"/>
    <x v="999"/>
    <x v="965"/>
    <x v="1005"/>
    <x v="803"/>
    <x v="147"/>
    <x v="133"/>
    <x v="897"/>
    <x v="147"/>
    <x v="0"/>
  </r>
  <r>
    <x v="42"/>
    <x v="1"/>
    <x v="8"/>
    <x v="1"/>
    <x v="0"/>
    <x v="3"/>
    <x v="54"/>
    <x v="70"/>
    <x v="51"/>
    <x v="65"/>
    <x v="90"/>
    <x v="927"/>
    <x v="1000"/>
    <x v="966"/>
    <x v="1006"/>
    <x v="804"/>
    <x v="147"/>
    <x v="49"/>
    <x v="898"/>
    <x v="147"/>
    <x v="2"/>
  </r>
  <r>
    <x v="48"/>
    <x v="1"/>
    <x v="3"/>
    <x v="4"/>
    <x v="6"/>
    <x v="0"/>
    <x v="19"/>
    <x v="0"/>
    <x v="3"/>
    <x v="45"/>
    <x v="407"/>
    <x v="928"/>
    <x v="1001"/>
    <x v="967"/>
    <x v="1007"/>
    <x v="805"/>
    <x v="103"/>
    <x v="104"/>
    <x v="899"/>
    <x v="103"/>
    <x v="2"/>
  </r>
  <r>
    <x v="52"/>
    <x v="0"/>
    <x v="3"/>
    <x v="0"/>
    <x v="3"/>
    <x v="2"/>
    <x v="73"/>
    <x v="73"/>
    <x v="16"/>
    <x v="92"/>
    <x v="229"/>
    <x v="929"/>
    <x v="1002"/>
    <x v="968"/>
    <x v="1008"/>
    <x v="806"/>
    <x v="65"/>
    <x v="181"/>
    <x v="900"/>
    <x v="65"/>
    <x v="2"/>
  </r>
  <r>
    <x v="13"/>
    <x v="0"/>
    <x v="7"/>
    <x v="1"/>
    <x v="1"/>
    <x v="2"/>
    <x v="50"/>
    <x v="46"/>
    <x v="15"/>
    <x v="138"/>
    <x v="316"/>
    <x v="710"/>
    <x v="1003"/>
    <x v="969"/>
    <x v="1009"/>
    <x v="183"/>
    <x v="149"/>
    <x v="1"/>
    <x v="901"/>
    <x v="149"/>
    <x v="2"/>
  </r>
  <r>
    <x v="22"/>
    <x v="1"/>
    <x v="7"/>
    <x v="0"/>
    <x v="4"/>
    <x v="3"/>
    <x v="27"/>
    <x v="51"/>
    <x v="36"/>
    <x v="54"/>
    <x v="408"/>
    <x v="930"/>
    <x v="1004"/>
    <x v="970"/>
    <x v="1010"/>
    <x v="87"/>
    <x v="104"/>
    <x v="10"/>
    <x v="902"/>
    <x v="104"/>
    <x v="0"/>
  </r>
  <r>
    <x v="8"/>
    <x v="1"/>
    <x v="6"/>
    <x v="1"/>
    <x v="5"/>
    <x v="0"/>
    <x v="105"/>
    <x v="35"/>
    <x v="13"/>
    <x v="3"/>
    <x v="308"/>
    <x v="345"/>
    <x v="1005"/>
    <x v="971"/>
    <x v="1011"/>
    <x v="807"/>
    <x v="70"/>
    <x v="127"/>
    <x v="903"/>
    <x v="70"/>
    <x v="2"/>
  </r>
  <r>
    <x v="5"/>
    <x v="0"/>
    <x v="6"/>
    <x v="1"/>
    <x v="3"/>
    <x v="3"/>
    <x v="0"/>
    <x v="55"/>
    <x v="35"/>
    <x v="145"/>
    <x v="252"/>
    <x v="931"/>
    <x v="1006"/>
    <x v="972"/>
    <x v="1012"/>
    <x v="808"/>
    <x v="118"/>
    <x v="138"/>
    <x v="904"/>
    <x v="118"/>
    <x v="2"/>
  </r>
  <r>
    <x v="36"/>
    <x v="0"/>
    <x v="4"/>
    <x v="3"/>
    <x v="1"/>
    <x v="3"/>
    <x v="17"/>
    <x v="3"/>
    <x v="88"/>
    <x v="157"/>
    <x v="337"/>
    <x v="932"/>
    <x v="1007"/>
    <x v="973"/>
    <x v="1013"/>
    <x v="809"/>
    <x v="129"/>
    <x v="146"/>
    <x v="42"/>
    <x v="129"/>
    <x v="1"/>
  </r>
  <r>
    <x v="0"/>
    <x v="1"/>
    <x v="4"/>
    <x v="3"/>
    <x v="3"/>
    <x v="1"/>
    <x v="98"/>
    <x v="41"/>
    <x v="72"/>
    <x v="143"/>
    <x v="295"/>
    <x v="933"/>
    <x v="1008"/>
    <x v="974"/>
    <x v="1014"/>
    <x v="810"/>
    <x v="67"/>
    <x v="185"/>
    <x v="383"/>
    <x v="67"/>
    <x v="0"/>
  </r>
  <r>
    <x v="27"/>
    <x v="0"/>
    <x v="2"/>
    <x v="3"/>
    <x v="4"/>
    <x v="0"/>
    <x v="29"/>
    <x v="41"/>
    <x v="32"/>
    <x v="20"/>
    <x v="409"/>
    <x v="855"/>
    <x v="1009"/>
    <x v="975"/>
    <x v="1015"/>
    <x v="811"/>
    <x v="13"/>
    <x v="17"/>
    <x v="905"/>
    <x v="13"/>
    <x v="0"/>
  </r>
  <r>
    <x v="18"/>
    <x v="1"/>
    <x v="4"/>
    <x v="3"/>
    <x v="6"/>
    <x v="1"/>
    <x v="96"/>
    <x v="49"/>
    <x v="30"/>
    <x v="158"/>
    <x v="246"/>
    <x v="934"/>
    <x v="1010"/>
    <x v="976"/>
    <x v="1016"/>
    <x v="812"/>
    <x v="55"/>
    <x v="91"/>
    <x v="906"/>
    <x v="55"/>
    <x v="2"/>
  </r>
  <r>
    <x v="50"/>
    <x v="1"/>
    <x v="0"/>
    <x v="1"/>
    <x v="0"/>
    <x v="3"/>
    <x v="112"/>
    <x v="72"/>
    <x v="10"/>
    <x v="47"/>
    <x v="122"/>
    <x v="935"/>
    <x v="1011"/>
    <x v="977"/>
    <x v="1017"/>
    <x v="168"/>
    <x v="11"/>
    <x v="19"/>
    <x v="907"/>
    <x v="11"/>
    <x v="2"/>
  </r>
  <r>
    <x v="2"/>
    <x v="1"/>
    <x v="1"/>
    <x v="3"/>
    <x v="3"/>
    <x v="3"/>
    <x v="86"/>
    <x v="45"/>
    <x v="82"/>
    <x v="145"/>
    <x v="2"/>
    <x v="936"/>
    <x v="1012"/>
    <x v="978"/>
    <x v="1018"/>
    <x v="659"/>
    <x v="120"/>
    <x v="45"/>
    <x v="193"/>
    <x v="120"/>
    <x v="2"/>
  </r>
  <r>
    <x v="19"/>
    <x v="1"/>
    <x v="9"/>
    <x v="0"/>
    <x v="5"/>
    <x v="3"/>
    <x v="40"/>
    <x v="4"/>
    <x v="21"/>
    <x v="54"/>
    <x v="410"/>
    <x v="414"/>
    <x v="1013"/>
    <x v="979"/>
    <x v="1019"/>
    <x v="659"/>
    <x v="60"/>
    <x v="99"/>
    <x v="908"/>
    <x v="60"/>
    <x v="1"/>
  </r>
  <r>
    <x v="26"/>
    <x v="0"/>
    <x v="7"/>
    <x v="4"/>
    <x v="5"/>
    <x v="2"/>
    <x v="63"/>
    <x v="70"/>
    <x v="23"/>
    <x v="105"/>
    <x v="204"/>
    <x v="937"/>
    <x v="1014"/>
    <x v="980"/>
    <x v="1020"/>
    <x v="813"/>
    <x v="78"/>
    <x v="201"/>
    <x v="909"/>
    <x v="78"/>
    <x v="2"/>
  </r>
  <r>
    <x v="38"/>
    <x v="1"/>
    <x v="2"/>
    <x v="1"/>
    <x v="5"/>
    <x v="0"/>
    <x v="87"/>
    <x v="23"/>
    <x v="58"/>
    <x v="154"/>
    <x v="411"/>
    <x v="938"/>
    <x v="1015"/>
    <x v="591"/>
    <x v="1021"/>
    <x v="814"/>
    <x v="38"/>
    <x v="15"/>
    <x v="91"/>
    <x v="38"/>
    <x v="2"/>
  </r>
  <r>
    <x v="7"/>
    <x v="1"/>
    <x v="7"/>
    <x v="3"/>
    <x v="1"/>
    <x v="3"/>
    <x v="92"/>
    <x v="28"/>
    <x v="88"/>
    <x v="106"/>
    <x v="19"/>
    <x v="939"/>
    <x v="1016"/>
    <x v="981"/>
    <x v="1022"/>
    <x v="69"/>
    <x v="116"/>
    <x v="41"/>
    <x v="910"/>
    <x v="116"/>
    <x v="2"/>
  </r>
  <r>
    <x v="16"/>
    <x v="1"/>
    <x v="6"/>
    <x v="2"/>
    <x v="2"/>
    <x v="0"/>
    <x v="54"/>
    <x v="29"/>
    <x v="33"/>
    <x v="20"/>
    <x v="28"/>
    <x v="940"/>
    <x v="1017"/>
    <x v="982"/>
    <x v="1023"/>
    <x v="815"/>
    <x v="73"/>
    <x v="129"/>
    <x v="911"/>
    <x v="73"/>
    <x v="0"/>
  </r>
  <r>
    <x v="10"/>
    <x v="1"/>
    <x v="3"/>
    <x v="1"/>
    <x v="3"/>
    <x v="0"/>
    <x v="82"/>
    <x v="11"/>
    <x v="27"/>
    <x v="21"/>
    <x v="191"/>
    <x v="941"/>
    <x v="1018"/>
    <x v="983"/>
    <x v="1024"/>
    <x v="630"/>
    <x v="116"/>
    <x v="24"/>
    <x v="912"/>
    <x v="116"/>
    <x v="2"/>
  </r>
  <r>
    <x v="44"/>
    <x v="0"/>
    <x v="1"/>
    <x v="3"/>
    <x v="6"/>
    <x v="0"/>
    <x v="14"/>
    <x v="9"/>
    <x v="36"/>
    <x v="152"/>
    <x v="346"/>
    <x v="942"/>
    <x v="1019"/>
    <x v="984"/>
    <x v="1025"/>
    <x v="602"/>
    <x v="36"/>
    <x v="107"/>
    <x v="43"/>
    <x v="36"/>
    <x v="2"/>
  </r>
  <r>
    <x v="22"/>
    <x v="1"/>
    <x v="6"/>
    <x v="4"/>
    <x v="1"/>
    <x v="0"/>
    <x v="62"/>
    <x v="55"/>
    <x v="26"/>
    <x v="129"/>
    <x v="412"/>
    <x v="70"/>
    <x v="1020"/>
    <x v="985"/>
    <x v="1026"/>
    <x v="816"/>
    <x v="21"/>
    <x v="4"/>
    <x v="913"/>
    <x v="21"/>
    <x v="0"/>
  </r>
  <r>
    <x v="7"/>
    <x v="0"/>
    <x v="9"/>
    <x v="2"/>
    <x v="1"/>
    <x v="2"/>
    <x v="76"/>
    <x v="5"/>
    <x v="45"/>
    <x v="142"/>
    <x v="147"/>
    <x v="943"/>
    <x v="1021"/>
    <x v="986"/>
    <x v="1027"/>
    <x v="817"/>
    <x v="104"/>
    <x v="39"/>
    <x v="914"/>
    <x v="104"/>
    <x v="2"/>
  </r>
  <r>
    <x v="10"/>
    <x v="0"/>
    <x v="9"/>
    <x v="2"/>
    <x v="3"/>
    <x v="3"/>
    <x v="90"/>
    <x v="79"/>
    <x v="73"/>
    <x v="79"/>
    <x v="358"/>
    <x v="513"/>
    <x v="1022"/>
    <x v="987"/>
    <x v="1028"/>
    <x v="818"/>
    <x v="15"/>
    <x v="39"/>
    <x v="915"/>
    <x v="15"/>
    <x v="2"/>
  </r>
  <r>
    <x v="42"/>
    <x v="0"/>
    <x v="5"/>
    <x v="3"/>
    <x v="5"/>
    <x v="2"/>
    <x v="93"/>
    <x v="47"/>
    <x v="37"/>
    <x v="38"/>
    <x v="74"/>
    <x v="944"/>
    <x v="1023"/>
    <x v="988"/>
    <x v="1029"/>
    <x v="791"/>
    <x v="33"/>
    <x v="103"/>
    <x v="916"/>
    <x v="33"/>
    <x v="2"/>
  </r>
  <r>
    <x v="58"/>
    <x v="1"/>
    <x v="2"/>
    <x v="2"/>
    <x v="2"/>
    <x v="3"/>
    <x v="57"/>
    <x v="55"/>
    <x v="21"/>
    <x v="38"/>
    <x v="44"/>
    <x v="414"/>
    <x v="1024"/>
    <x v="989"/>
    <x v="1030"/>
    <x v="819"/>
    <x v="179"/>
    <x v="110"/>
    <x v="917"/>
    <x v="179"/>
    <x v="0"/>
  </r>
  <r>
    <x v="57"/>
    <x v="0"/>
    <x v="6"/>
    <x v="2"/>
    <x v="2"/>
    <x v="1"/>
    <x v="33"/>
    <x v="53"/>
    <x v="85"/>
    <x v="74"/>
    <x v="355"/>
    <x v="945"/>
    <x v="1025"/>
    <x v="990"/>
    <x v="1031"/>
    <x v="270"/>
    <x v="148"/>
    <x v="111"/>
    <x v="918"/>
    <x v="148"/>
    <x v="0"/>
  </r>
  <r>
    <x v="16"/>
    <x v="0"/>
    <x v="3"/>
    <x v="4"/>
    <x v="1"/>
    <x v="1"/>
    <x v="19"/>
    <x v="17"/>
    <x v="52"/>
    <x v="135"/>
    <x v="286"/>
    <x v="946"/>
    <x v="1026"/>
    <x v="991"/>
    <x v="1032"/>
    <x v="132"/>
    <x v="16"/>
    <x v="167"/>
    <x v="919"/>
    <x v="16"/>
    <x v="0"/>
  </r>
  <r>
    <x v="46"/>
    <x v="1"/>
    <x v="6"/>
    <x v="0"/>
    <x v="0"/>
    <x v="1"/>
    <x v="22"/>
    <x v="8"/>
    <x v="19"/>
    <x v="133"/>
    <x v="31"/>
    <x v="947"/>
    <x v="1027"/>
    <x v="992"/>
    <x v="1033"/>
    <x v="820"/>
    <x v="108"/>
    <x v="210"/>
    <x v="245"/>
    <x v="108"/>
    <x v="1"/>
  </r>
  <r>
    <x v="3"/>
    <x v="0"/>
    <x v="4"/>
    <x v="2"/>
    <x v="5"/>
    <x v="0"/>
    <x v="92"/>
    <x v="77"/>
    <x v="8"/>
    <x v="5"/>
    <x v="204"/>
    <x v="948"/>
    <x v="1028"/>
    <x v="993"/>
    <x v="1034"/>
    <x v="701"/>
    <x v="83"/>
    <x v="185"/>
    <x v="920"/>
    <x v="83"/>
    <x v="0"/>
  </r>
  <r>
    <x v="45"/>
    <x v="1"/>
    <x v="9"/>
    <x v="1"/>
    <x v="2"/>
    <x v="0"/>
    <x v="81"/>
    <x v="37"/>
    <x v="2"/>
    <x v="117"/>
    <x v="413"/>
    <x v="949"/>
    <x v="1029"/>
    <x v="994"/>
    <x v="1035"/>
    <x v="821"/>
    <x v="97"/>
    <x v="76"/>
    <x v="921"/>
    <x v="97"/>
    <x v="2"/>
  </r>
  <r>
    <x v="25"/>
    <x v="1"/>
    <x v="1"/>
    <x v="0"/>
    <x v="3"/>
    <x v="1"/>
    <x v="17"/>
    <x v="10"/>
    <x v="40"/>
    <x v="88"/>
    <x v="369"/>
    <x v="950"/>
    <x v="1030"/>
    <x v="995"/>
    <x v="1036"/>
    <x v="581"/>
    <x v="150"/>
    <x v="104"/>
    <x v="922"/>
    <x v="150"/>
    <x v="0"/>
  </r>
  <r>
    <x v="32"/>
    <x v="1"/>
    <x v="9"/>
    <x v="0"/>
    <x v="4"/>
    <x v="3"/>
    <x v="77"/>
    <x v="19"/>
    <x v="17"/>
    <x v="134"/>
    <x v="183"/>
    <x v="56"/>
    <x v="1031"/>
    <x v="996"/>
    <x v="1037"/>
    <x v="552"/>
    <x v="31"/>
    <x v="88"/>
    <x v="923"/>
    <x v="31"/>
    <x v="1"/>
  </r>
  <r>
    <x v="12"/>
    <x v="0"/>
    <x v="5"/>
    <x v="3"/>
    <x v="0"/>
    <x v="1"/>
    <x v="39"/>
    <x v="66"/>
    <x v="86"/>
    <x v="117"/>
    <x v="68"/>
    <x v="951"/>
    <x v="1032"/>
    <x v="997"/>
    <x v="1038"/>
    <x v="375"/>
    <x v="64"/>
    <x v="38"/>
    <x v="333"/>
    <x v="64"/>
    <x v="0"/>
  </r>
  <r>
    <x v="46"/>
    <x v="1"/>
    <x v="7"/>
    <x v="2"/>
    <x v="5"/>
    <x v="0"/>
    <x v="34"/>
    <x v="15"/>
    <x v="69"/>
    <x v="82"/>
    <x v="398"/>
    <x v="952"/>
    <x v="1033"/>
    <x v="998"/>
    <x v="1039"/>
    <x v="303"/>
    <x v="56"/>
    <x v="24"/>
    <x v="924"/>
    <x v="56"/>
    <x v="1"/>
  </r>
  <r>
    <x v="47"/>
    <x v="0"/>
    <x v="1"/>
    <x v="3"/>
    <x v="3"/>
    <x v="0"/>
    <x v="14"/>
    <x v="66"/>
    <x v="0"/>
    <x v="155"/>
    <x v="333"/>
    <x v="953"/>
    <x v="1034"/>
    <x v="999"/>
    <x v="1040"/>
    <x v="738"/>
    <x v="132"/>
    <x v="163"/>
    <x v="925"/>
    <x v="132"/>
    <x v="0"/>
  </r>
  <r>
    <x v="0"/>
    <x v="1"/>
    <x v="9"/>
    <x v="0"/>
    <x v="6"/>
    <x v="2"/>
    <x v="21"/>
    <x v="67"/>
    <x v="79"/>
    <x v="151"/>
    <x v="377"/>
    <x v="954"/>
    <x v="1035"/>
    <x v="1000"/>
    <x v="1041"/>
    <x v="822"/>
    <x v="178"/>
    <x v="37"/>
    <x v="926"/>
    <x v="178"/>
    <x v="0"/>
  </r>
  <r>
    <x v="43"/>
    <x v="1"/>
    <x v="8"/>
    <x v="3"/>
    <x v="0"/>
    <x v="2"/>
    <x v="6"/>
    <x v="51"/>
    <x v="22"/>
    <x v="19"/>
    <x v="222"/>
    <x v="955"/>
    <x v="1036"/>
    <x v="1001"/>
    <x v="1042"/>
    <x v="823"/>
    <x v="83"/>
    <x v="116"/>
    <x v="927"/>
    <x v="83"/>
    <x v="2"/>
  </r>
  <r>
    <x v="30"/>
    <x v="1"/>
    <x v="2"/>
    <x v="3"/>
    <x v="3"/>
    <x v="2"/>
    <x v="39"/>
    <x v="6"/>
    <x v="27"/>
    <x v="143"/>
    <x v="296"/>
    <x v="956"/>
    <x v="1037"/>
    <x v="1002"/>
    <x v="1043"/>
    <x v="824"/>
    <x v="35"/>
    <x v="67"/>
    <x v="198"/>
    <x v="35"/>
    <x v="1"/>
  </r>
  <r>
    <x v="6"/>
    <x v="0"/>
    <x v="1"/>
    <x v="0"/>
    <x v="1"/>
    <x v="3"/>
    <x v="16"/>
    <x v="32"/>
    <x v="24"/>
    <x v="53"/>
    <x v="33"/>
    <x v="957"/>
    <x v="1038"/>
    <x v="1003"/>
    <x v="1044"/>
    <x v="45"/>
    <x v="38"/>
    <x v="137"/>
    <x v="928"/>
    <x v="38"/>
    <x v="2"/>
  </r>
  <r>
    <x v="16"/>
    <x v="0"/>
    <x v="3"/>
    <x v="4"/>
    <x v="3"/>
    <x v="1"/>
    <x v="112"/>
    <x v="41"/>
    <x v="56"/>
    <x v="141"/>
    <x v="84"/>
    <x v="958"/>
    <x v="1039"/>
    <x v="1004"/>
    <x v="1045"/>
    <x v="166"/>
    <x v="64"/>
    <x v="99"/>
    <x v="642"/>
    <x v="64"/>
    <x v="0"/>
  </r>
  <r>
    <x v="1"/>
    <x v="0"/>
    <x v="9"/>
    <x v="3"/>
    <x v="6"/>
    <x v="2"/>
    <x v="16"/>
    <x v="20"/>
    <x v="65"/>
    <x v="118"/>
    <x v="400"/>
    <x v="959"/>
    <x v="1040"/>
    <x v="1005"/>
    <x v="1046"/>
    <x v="180"/>
    <x v="15"/>
    <x v="76"/>
    <x v="669"/>
    <x v="15"/>
    <x v="1"/>
  </r>
  <r>
    <x v="59"/>
    <x v="0"/>
    <x v="2"/>
    <x v="4"/>
    <x v="0"/>
    <x v="1"/>
    <x v="90"/>
    <x v="50"/>
    <x v="45"/>
    <x v="84"/>
    <x v="307"/>
    <x v="960"/>
    <x v="1041"/>
    <x v="1006"/>
    <x v="1047"/>
    <x v="825"/>
    <x v="68"/>
    <x v="51"/>
    <x v="929"/>
    <x v="68"/>
    <x v="0"/>
  </r>
  <r>
    <x v="18"/>
    <x v="1"/>
    <x v="5"/>
    <x v="3"/>
    <x v="5"/>
    <x v="0"/>
    <x v="15"/>
    <x v="56"/>
    <x v="79"/>
    <x v="65"/>
    <x v="402"/>
    <x v="1"/>
    <x v="1042"/>
    <x v="1007"/>
    <x v="1048"/>
    <x v="826"/>
    <x v="8"/>
    <x v="146"/>
    <x v="930"/>
    <x v="8"/>
    <x v="2"/>
  </r>
  <r>
    <x v="40"/>
    <x v="1"/>
    <x v="0"/>
    <x v="4"/>
    <x v="6"/>
    <x v="3"/>
    <x v="6"/>
    <x v="60"/>
    <x v="86"/>
    <x v="21"/>
    <x v="65"/>
    <x v="961"/>
    <x v="1043"/>
    <x v="1008"/>
    <x v="1049"/>
    <x v="827"/>
    <x v="60"/>
    <x v="180"/>
    <x v="931"/>
    <x v="60"/>
    <x v="2"/>
  </r>
  <r>
    <x v="43"/>
    <x v="1"/>
    <x v="6"/>
    <x v="0"/>
    <x v="0"/>
    <x v="3"/>
    <x v="71"/>
    <x v="40"/>
    <x v="34"/>
    <x v="27"/>
    <x v="106"/>
    <x v="962"/>
    <x v="1044"/>
    <x v="1009"/>
    <x v="1050"/>
    <x v="491"/>
    <x v="139"/>
    <x v="146"/>
    <x v="932"/>
    <x v="139"/>
    <x v="2"/>
  </r>
  <r>
    <x v="33"/>
    <x v="1"/>
    <x v="9"/>
    <x v="1"/>
    <x v="5"/>
    <x v="2"/>
    <x v="44"/>
    <x v="26"/>
    <x v="14"/>
    <x v="94"/>
    <x v="236"/>
    <x v="963"/>
    <x v="1045"/>
    <x v="1010"/>
    <x v="1051"/>
    <x v="828"/>
    <x v="56"/>
    <x v="68"/>
    <x v="933"/>
    <x v="56"/>
    <x v="2"/>
  </r>
  <r>
    <x v="24"/>
    <x v="1"/>
    <x v="5"/>
    <x v="1"/>
    <x v="5"/>
    <x v="2"/>
    <x v="81"/>
    <x v="76"/>
    <x v="68"/>
    <x v="74"/>
    <x v="414"/>
    <x v="945"/>
    <x v="1046"/>
    <x v="1011"/>
    <x v="1052"/>
    <x v="829"/>
    <x v="162"/>
    <x v="91"/>
    <x v="934"/>
    <x v="162"/>
    <x v="1"/>
  </r>
  <r>
    <x v="54"/>
    <x v="0"/>
    <x v="6"/>
    <x v="3"/>
    <x v="5"/>
    <x v="3"/>
    <x v="24"/>
    <x v="0"/>
    <x v="65"/>
    <x v="73"/>
    <x v="415"/>
    <x v="964"/>
    <x v="1047"/>
    <x v="1012"/>
    <x v="1053"/>
    <x v="830"/>
    <x v="62"/>
    <x v="133"/>
    <x v="935"/>
    <x v="62"/>
    <x v="0"/>
  </r>
  <r>
    <x v="7"/>
    <x v="0"/>
    <x v="0"/>
    <x v="4"/>
    <x v="1"/>
    <x v="3"/>
    <x v="16"/>
    <x v="16"/>
    <x v="52"/>
    <x v="84"/>
    <x v="123"/>
    <x v="965"/>
    <x v="1048"/>
    <x v="1013"/>
    <x v="1054"/>
    <x v="305"/>
    <x v="113"/>
    <x v="158"/>
    <x v="936"/>
    <x v="113"/>
    <x v="2"/>
  </r>
  <r>
    <x v="59"/>
    <x v="1"/>
    <x v="8"/>
    <x v="2"/>
    <x v="0"/>
    <x v="1"/>
    <x v="118"/>
    <x v="47"/>
    <x v="7"/>
    <x v="12"/>
    <x v="245"/>
    <x v="966"/>
    <x v="1049"/>
    <x v="1014"/>
    <x v="1055"/>
    <x v="831"/>
    <x v="94"/>
    <x v="42"/>
    <x v="937"/>
    <x v="94"/>
    <x v="0"/>
  </r>
  <r>
    <x v="32"/>
    <x v="0"/>
    <x v="6"/>
    <x v="3"/>
    <x v="0"/>
    <x v="2"/>
    <x v="91"/>
    <x v="21"/>
    <x v="56"/>
    <x v="126"/>
    <x v="359"/>
    <x v="967"/>
    <x v="149"/>
    <x v="1015"/>
    <x v="1056"/>
    <x v="378"/>
    <x v="20"/>
    <x v="25"/>
    <x v="938"/>
    <x v="20"/>
    <x v="1"/>
  </r>
  <r>
    <x v="14"/>
    <x v="0"/>
    <x v="9"/>
    <x v="0"/>
    <x v="6"/>
    <x v="2"/>
    <x v="30"/>
    <x v="63"/>
    <x v="74"/>
    <x v="129"/>
    <x v="172"/>
    <x v="968"/>
    <x v="1050"/>
    <x v="1016"/>
    <x v="1057"/>
    <x v="832"/>
    <x v="14"/>
    <x v="178"/>
    <x v="939"/>
    <x v="14"/>
    <x v="2"/>
  </r>
  <r>
    <x v="38"/>
    <x v="0"/>
    <x v="6"/>
    <x v="2"/>
    <x v="0"/>
    <x v="3"/>
    <x v="10"/>
    <x v="72"/>
    <x v="16"/>
    <x v="144"/>
    <x v="82"/>
    <x v="969"/>
    <x v="1051"/>
    <x v="266"/>
    <x v="1058"/>
    <x v="454"/>
    <x v="171"/>
    <x v="90"/>
    <x v="940"/>
    <x v="171"/>
    <x v="2"/>
  </r>
  <r>
    <x v="0"/>
    <x v="1"/>
    <x v="7"/>
    <x v="3"/>
    <x v="1"/>
    <x v="0"/>
    <x v="41"/>
    <x v="0"/>
    <x v="50"/>
    <x v="69"/>
    <x v="407"/>
    <x v="970"/>
    <x v="1052"/>
    <x v="1017"/>
    <x v="1059"/>
    <x v="365"/>
    <x v="110"/>
    <x v="46"/>
    <x v="173"/>
    <x v="110"/>
    <x v="0"/>
  </r>
  <r>
    <x v="22"/>
    <x v="1"/>
    <x v="8"/>
    <x v="0"/>
    <x v="3"/>
    <x v="1"/>
    <x v="110"/>
    <x v="52"/>
    <x v="80"/>
    <x v="99"/>
    <x v="84"/>
    <x v="971"/>
    <x v="1053"/>
    <x v="1018"/>
    <x v="1060"/>
    <x v="833"/>
    <x v="117"/>
    <x v="167"/>
    <x v="941"/>
    <x v="117"/>
    <x v="0"/>
  </r>
  <r>
    <x v="53"/>
    <x v="0"/>
    <x v="8"/>
    <x v="4"/>
    <x v="0"/>
    <x v="1"/>
    <x v="106"/>
    <x v="12"/>
    <x v="35"/>
    <x v="76"/>
    <x v="175"/>
    <x v="972"/>
    <x v="1054"/>
    <x v="1019"/>
    <x v="1061"/>
    <x v="694"/>
    <x v="82"/>
    <x v="47"/>
    <x v="942"/>
    <x v="82"/>
    <x v="1"/>
  </r>
  <r>
    <x v="20"/>
    <x v="0"/>
    <x v="4"/>
    <x v="2"/>
    <x v="0"/>
    <x v="2"/>
    <x v="49"/>
    <x v="57"/>
    <x v="42"/>
    <x v="104"/>
    <x v="38"/>
    <x v="973"/>
    <x v="1055"/>
    <x v="1020"/>
    <x v="1062"/>
    <x v="834"/>
    <x v="141"/>
    <x v="148"/>
    <x v="943"/>
    <x v="141"/>
    <x v="1"/>
  </r>
  <r>
    <x v="7"/>
    <x v="1"/>
    <x v="8"/>
    <x v="3"/>
    <x v="4"/>
    <x v="3"/>
    <x v="77"/>
    <x v="29"/>
    <x v="31"/>
    <x v="24"/>
    <x v="386"/>
    <x v="506"/>
    <x v="1056"/>
    <x v="1021"/>
    <x v="1063"/>
    <x v="835"/>
    <x v="12"/>
    <x v="116"/>
    <x v="200"/>
    <x v="12"/>
    <x v="2"/>
  </r>
  <r>
    <x v="20"/>
    <x v="1"/>
    <x v="3"/>
    <x v="1"/>
    <x v="3"/>
    <x v="2"/>
    <x v="86"/>
    <x v="58"/>
    <x v="38"/>
    <x v="102"/>
    <x v="234"/>
    <x v="974"/>
    <x v="1057"/>
    <x v="1022"/>
    <x v="1064"/>
    <x v="356"/>
    <x v="60"/>
    <x v="139"/>
    <x v="944"/>
    <x v="60"/>
    <x v="1"/>
  </r>
  <r>
    <x v="41"/>
    <x v="0"/>
    <x v="5"/>
    <x v="0"/>
    <x v="6"/>
    <x v="0"/>
    <x v="6"/>
    <x v="12"/>
    <x v="13"/>
    <x v="82"/>
    <x v="357"/>
    <x v="975"/>
    <x v="1058"/>
    <x v="1023"/>
    <x v="1065"/>
    <x v="836"/>
    <x v="126"/>
    <x v="132"/>
    <x v="945"/>
    <x v="126"/>
    <x v="2"/>
  </r>
  <r>
    <x v="44"/>
    <x v="0"/>
    <x v="1"/>
    <x v="1"/>
    <x v="6"/>
    <x v="1"/>
    <x v="96"/>
    <x v="27"/>
    <x v="9"/>
    <x v="10"/>
    <x v="137"/>
    <x v="412"/>
    <x v="1059"/>
    <x v="1024"/>
    <x v="1066"/>
    <x v="837"/>
    <x v="94"/>
    <x v="63"/>
    <x v="946"/>
    <x v="94"/>
    <x v="2"/>
  </r>
  <r>
    <x v="3"/>
    <x v="1"/>
    <x v="8"/>
    <x v="2"/>
    <x v="6"/>
    <x v="3"/>
    <x v="56"/>
    <x v="64"/>
    <x v="48"/>
    <x v="131"/>
    <x v="361"/>
    <x v="976"/>
    <x v="1060"/>
    <x v="1025"/>
    <x v="1067"/>
    <x v="838"/>
    <x v="93"/>
    <x v="109"/>
    <x v="947"/>
    <x v="93"/>
    <x v="0"/>
  </r>
  <r>
    <x v="26"/>
    <x v="0"/>
    <x v="3"/>
    <x v="1"/>
    <x v="0"/>
    <x v="1"/>
    <x v="110"/>
    <x v="1"/>
    <x v="23"/>
    <x v="23"/>
    <x v="376"/>
    <x v="977"/>
    <x v="1061"/>
    <x v="1026"/>
    <x v="1068"/>
    <x v="638"/>
    <x v="40"/>
    <x v="36"/>
    <x v="948"/>
    <x v="40"/>
    <x v="2"/>
  </r>
  <r>
    <x v="14"/>
    <x v="0"/>
    <x v="8"/>
    <x v="1"/>
    <x v="3"/>
    <x v="0"/>
    <x v="90"/>
    <x v="39"/>
    <x v="19"/>
    <x v="19"/>
    <x v="223"/>
    <x v="324"/>
    <x v="1062"/>
    <x v="1027"/>
    <x v="1069"/>
    <x v="839"/>
    <x v="101"/>
    <x v="38"/>
    <x v="949"/>
    <x v="101"/>
    <x v="2"/>
  </r>
  <r>
    <x v="51"/>
    <x v="1"/>
    <x v="7"/>
    <x v="0"/>
    <x v="2"/>
    <x v="2"/>
    <x v="54"/>
    <x v="0"/>
    <x v="56"/>
    <x v="104"/>
    <x v="131"/>
    <x v="978"/>
    <x v="1063"/>
    <x v="1028"/>
    <x v="1024"/>
    <x v="201"/>
    <x v="178"/>
    <x v="211"/>
    <x v="622"/>
    <x v="178"/>
    <x v="2"/>
  </r>
  <r>
    <x v="38"/>
    <x v="0"/>
    <x v="7"/>
    <x v="4"/>
    <x v="4"/>
    <x v="1"/>
    <x v="21"/>
    <x v="79"/>
    <x v="14"/>
    <x v="67"/>
    <x v="124"/>
    <x v="979"/>
    <x v="1064"/>
    <x v="1029"/>
    <x v="1070"/>
    <x v="840"/>
    <x v="91"/>
    <x v="173"/>
    <x v="950"/>
    <x v="91"/>
    <x v="2"/>
  </r>
  <r>
    <x v="15"/>
    <x v="1"/>
    <x v="9"/>
    <x v="2"/>
    <x v="4"/>
    <x v="1"/>
    <x v="8"/>
    <x v="6"/>
    <x v="56"/>
    <x v="50"/>
    <x v="6"/>
    <x v="980"/>
    <x v="1065"/>
    <x v="1030"/>
    <x v="1071"/>
    <x v="12"/>
    <x v="12"/>
    <x v="135"/>
    <x v="320"/>
    <x v="12"/>
    <x v="2"/>
  </r>
  <r>
    <x v="9"/>
    <x v="0"/>
    <x v="2"/>
    <x v="0"/>
    <x v="2"/>
    <x v="1"/>
    <x v="81"/>
    <x v="64"/>
    <x v="42"/>
    <x v="129"/>
    <x v="255"/>
    <x v="981"/>
    <x v="1066"/>
    <x v="557"/>
    <x v="1072"/>
    <x v="408"/>
    <x v="148"/>
    <x v="77"/>
    <x v="951"/>
    <x v="148"/>
    <x v="0"/>
  </r>
  <r>
    <x v="58"/>
    <x v="1"/>
    <x v="2"/>
    <x v="1"/>
    <x v="2"/>
    <x v="1"/>
    <x v="45"/>
    <x v="27"/>
    <x v="62"/>
    <x v="44"/>
    <x v="17"/>
    <x v="982"/>
    <x v="1067"/>
    <x v="1031"/>
    <x v="1073"/>
    <x v="841"/>
    <x v="102"/>
    <x v="53"/>
    <x v="48"/>
    <x v="102"/>
    <x v="0"/>
  </r>
  <r>
    <x v="8"/>
    <x v="1"/>
    <x v="9"/>
    <x v="1"/>
    <x v="1"/>
    <x v="2"/>
    <x v="83"/>
    <x v="41"/>
    <x v="78"/>
    <x v="108"/>
    <x v="175"/>
    <x v="983"/>
    <x v="1068"/>
    <x v="635"/>
    <x v="1074"/>
    <x v="842"/>
    <x v="136"/>
    <x v="75"/>
    <x v="952"/>
    <x v="136"/>
    <x v="2"/>
  </r>
  <r>
    <x v="48"/>
    <x v="0"/>
    <x v="2"/>
    <x v="3"/>
    <x v="5"/>
    <x v="1"/>
    <x v="111"/>
    <x v="22"/>
    <x v="5"/>
    <x v="30"/>
    <x v="413"/>
    <x v="984"/>
    <x v="1069"/>
    <x v="1032"/>
    <x v="1075"/>
    <x v="843"/>
    <x v="30"/>
    <x v="18"/>
    <x v="953"/>
    <x v="30"/>
    <x v="2"/>
  </r>
  <r>
    <x v="16"/>
    <x v="1"/>
    <x v="6"/>
    <x v="3"/>
    <x v="4"/>
    <x v="0"/>
    <x v="47"/>
    <x v="55"/>
    <x v="24"/>
    <x v="62"/>
    <x v="261"/>
    <x v="468"/>
    <x v="1070"/>
    <x v="1033"/>
    <x v="1076"/>
    <x v="844"/>
    <x v="93"/>
    <x v="30"/>
    <x v="954"/>
    <x v="93"/>
    <x v="0"/>
  </r>
  <r>
    <x v="32"/>
    <x v="0"/>
    <x v="1"/>
    <x v="0"/>
    <x v="3"/>
    <x v="2"/>
    <x v="116"/>
    <x v="18"/>
    <x v="28"/>
    <x v="15"/>
    <x v="370"/>
    <x v="985"/>
    <x v="1071"/>
    <x v="1034"/>
    <x v="1077"/>
    <x v="845"/>
    <x v="81"/>
    <x v="189"/>
    <x v="955"/>
    <x v="81"/>
    <x v="1"/>
  </r>
  <r>
    <x v="18"/>
    <x v="0"/>
    <x v="9"/>
    <x v="0"/>
    <x v="5"/>
    <x v="0"/>
    <x v="111"/>
    <x v="45"/>
    <x v="65"/>
    <x v="16"/>
    <x v="385"/>
    <x v="734"/>
    <x v="1072"/>
    <x v="1035"/>
    <x v="1078"/>
    <x v="846"/>
    <x v="35"/>
    <x v="138"/>
    <x v="956"/>
    <x v="35"/>
    <x v="2"/>
  </r>
  <r>
    <x v="36"/>
    <x v="0"/>
    <x v="6"/>
    <x v="3"/>
    <x v="3"/>
    <x v="1"/>
    <x v="106"/>
    <x v="13"/>
    <x v="1"/>
    <x v="156"/>
    <x v="50"/>
    <x v="986"/>
    <x v="1073"/>
    <x v="1036"/>
    <x v="1079"/>
    <x v="599"/>
    <x v="52"/>
    <x v="23"/>
    <x v="957"/>
    <x v="52"/>
    <x v="1"/>
  </r>
  <r>
    <x v="36"/>
    <x v="1"/>
    <x v="5"/>
    <x v="3"/>
    <x v="6"/>
    <x v="1"/>
    <x v="43"/>
    <x v="51"/>
    <x v="0"/>
    <x v="46"/>
    <x v="69"/>
    <x v="987"/>
    <x v="1074"/>
    <x v="1037"/>
    <x v="1080"/>
    <x v="587"/>
    <x v="16"/>
    <x v="127"/>
    <x v="599"/>
    <x v="16"/>
    <x v="1"/>
  </r>
  <r>
    <x v="16"/>
    <x v="1"/>
    <x v="8"/>
    <x v="0"/>
    <x v="0"/>
    <x v="1"/>
    <x v="115"/>
    <x v="52"/>
    <x v="3"/>
    <x v="45"/>
    <x v="380"/>
    <x v="988"/>
    <x v="1075"/>
    <x v="1038"/>
    <x v="1081"/>
    <x v="793"/>
    <x v="99"/>
    <x v="169"/>
    <x v="958"/>
    <x v="99"/>
    <x v="0"/>
  </r>
  <r>
    <x v="56"/>
    <x v="0"/>
    <x v="5"/>
    <x v="4"/>
    <x v="0"/>
    <x v="1"/>
    <x v="82"/>
    <x v="63"/>
    <x v="62"/>
    <x v="142"/>
    <x v="329"/>
    <x v="989"/>
    <x v="1076"/>
    <x v="1039"/>
    <x v="1082"/>
    <x v="790"/>
    <x v="3"/>
    <x v="35"/>
    <x v="959"/>
    <x v="3"/>
    <x v="2"/>
  </r>
  <r>
    <x v="46"/>
    <x v="0"/>
    <x v="0"/>
    <x v="3"/>
    <x v="3"/>
    <x v="1"/>
    <x v="96"/>
    <x v="38"/>
    <x v="89"/>
    <x v="150"/>
    <x v="150"/>
    <x v="990"/>
    <x v="1077"/>
    <x v="1040"/>
    <x v="1083"/>
    <x v="439"/>
    <x v="62"/>
    <x v="73"/>
    <x v="693"/>
    <x v="62"/>
    <x v="1"/>
  </r>
  <r>
    <x v="34"/>
    <x v="0"/>
    <x v="9"/>
    <x v="3"/>
    <x v="2"/>
    <x v="2"/>
    <x v="24"/>
    <x v="0"/>
    <x v="19"/>
    <x v="87"/>
    <x v="379"/>
    <x v="315"/>
    <x v="1078"/>
    <x v="1041"/>
    <x v="1084"/>
    <x v="847"/>
    <x v="62"/>
    <x v="100"/>
    <x v="960"/>
    <x v="62"/>
    <x v="2"/>
  </r>
  <r>
    <x v="7"/>
    <x v="1"/>
    <x v="7"/>
    <x v="2"/>
    <x v="2"/>
    <x v="0"/>
    <x v="25"/>
    <x v="3"/>
    <x v="0"/>
    <x v="46"/>
    <x v="320"/>
    <x v="991"/>
    <x v="1079"/>
    <x v="1042"/>
    <x v="1085"/>
    <x v="848"/>
    <x v="79"/>
    <x v="124"/>
    <x v="106"/>
    <x v="79"/>
    <x v="2"/>
  </r>
  <r>
    <x v="34"/>
    <x v="0"/>
    <x v="8"/>
    <x v="4"/>
    <x v="5"/>
    <x v="0"/>
    <x v="16"/>
    <x v="22"/>
    <x v="57"/>
    <x v="132"/>
    <x v="405"/>
    <x v="992"/>
    <x v="1080"/>
    <x v="1043"/>
    <x v="1086"/>
    <x v="849"/>
    <x v="86"/>
    <x v="42"/>
    <x v="961"/>
    <x v="86"/>
    <x v="2"/>
  </r>
  <r>
    <x v="57"/>
    <x v="1"/>
    <x v="2"/>
    <x v="0"/>
    <x v="5"/>
    <x v="1"/>
    <x v="66"/>
    <x v="4"/>
    <x v="72"/>
    <x v="104"/>
    <x v="55"/>
    <x v="969"/>
    <x v="1081"/>
    <x v="1044"/>
    <x v="1087"/>
    <x v="5"/>
    <x v="56"/>
    <x v="77"/>
    <x v="962"/>
    <x v="56"/>
    <x v="0"/>
  </r>
  <r>
    <x v="52"/>
    <x v="0"/>
    <x v="5"/>
    <x v="0"/>
    <x v="4"/>
    <x v="2"/>
    <x v="117"/>
    <x v="54"/>
    <x v="62"/>
    <x v="89"/>
    <x v="370"/>
    <x v="5"/>
    <x v="1082"/>
    <x v="1045"/>
    <x v="1088"/>
    <x v="850"/>
    <x v="14"/>
    <x v="33"/>
    <x v="963"/>
    <x v="14"/>
    <x v="2"/>
  </r>
  <r>
    <x v="59"/>
    <x v="1"/>
    <x v="7"/>
    <x v="1"/>
    <x v="0"/>
    <x v="3"/>
    <x v="67"/>
    <x v="37"/>
    <x v="85"/>
    <x v="38"/>
    <x v="411"/>
    <x v="993"/>
    <x v="1083"/>
    <x v="1046"/>
    <x v="1089"/>
    <x v="851"/>
    <x v="61"/>
    <x v="6"/>
    <x v="870"/>
    <x v="61"/>
    <x v="0"/>
  </r>
  <r>
    <x v="9"/>
    <x v="0"/>
    <x v="2"/>
    <x v="2"/>
    <x v="4"/>
    <x v="1"/>
    <x v="55"/>
    <x v="68"/>
    <x v="42"/>
    <x v="57"/>
    <x v="416"/>
    <x v="994"/>
    <x v="1084"/>
    <x v="1047"/>
    <x v="1090"/>
    <x v="852"/>
    <x v="123"/>
    <x v="41"/>
    <x v="783"/>
    <x v="123"/>
    <x v="0"/>
  </r>
  <r>
    <x v="23"/>
    <x v="0"/>
    <x v="0"/>
    <x v="0"/>
    <x v="5"/>
    <x v="3"/>
    <x v="37"/>
    <x v="44"/>
    <x v="3"/>
    <x v="119"/>
    <x v="369"/>
    <x v="581"/>
    <x v="1085"/>
    <x v="1048"/>
    <x v="1091"/>
    <x v="49"/>
    <x v="49"/>
    <x v="77"/>
    <x v="38"/>
    <x v="49"/>
    <x v="1"/>
  </r>
  <r>
    <x v="9"/>
    <x v="0"/>
    <x v="2"/>
    <x v="1"/>
    <x v="2"/>
    <x v="3"/>
    <x v="5"/>
    <x v="11"/>
    <x v="51"/>
    <x v="65"/>
    <x v="315"/>
    <x v="995"/>
    <x v="1086"/>
    <x v="977"/>
    <x v="1092"/>
    <x v="563"/>
    <x v="162"/>
    <x v="182"/>
    <x v="964"/>
    <x v="162"/>
    <x v="0"/>
  </r>
  <r>
    <x v="51"/>
    <x v="0"/>
    <x v="2"/>
    <x v="4"/>
    <x v="2"/>
    <x v="2"/>
    <x v="20"/>
    <x v="26"/>
    <x v="53"/>
    <x v="42"/>
    <x v="184"/>
    <x v="996"/>
    <x v="1087"/>
    <x v="1049"/>
    <x v="1093"/>
    <x v="853"/>
    <x v="36"/>
    <x v="92"/>
    <x v="965"/>
    <x v="36"/>
    <x v="2"/>
  </r>
  <r>
    <x v="55"/>
    <x v="0"/>
    <x v="7"/>
    <x v="4"/>
    <x v="4"/>
    <x v="0"/>
    <x v="60"/>
    <x v="40"/>
    <x v="20"/>
    <x v="15"/>
    <x v="52"/>
    <x v="997"/>
    <x v="1088"/>
    <x v="1050"/>
    <x v="1094"/>
    <x v="854"/>
    <x v="146"/>
    <x v="82"/>
    <x v="966"/>
    <x v="146"/>
    <x v="2"/>
  </r>
  <r>
    <x v="11"/>
    <x v="1"/>
    <x v="3"/>
    <x v="3"/>
    <x v="0"/>
    <x v="2"/>
    <x v="95"/>
    <x v="26"/>
    <x v="18"/>
    <x v="45"/>
    <x v="182"/>
    <x v="998"/>
    <x v="1089"/>
    <x v="1051"/>
    <x v="1095"/>
    <x v="855"/>
    <x v="84"/>
    <x v="110"/>
    <x v="967"/>
    <x v="84"/>
    <x v="1"/>
  </r>
  <r>
    <x v="45"/>
    <x v="0"/>
    <x v="6"/>
    <x v="2"/>
    <x v="5"/>
    <x v="2"/>
    <x v="97"/>
    <x v="27"/>
    <x v="64"/>
    <x v="6"/>
    <x v="205"/>
    <x v="999"/>
    <x v="1090"/>
    <x v="1052"/>
    <x v="1096"/>
    <x v="856"/>
    <x v="72"/>
    <x v="37"/>
    <x v="968"/>
    <x v="72"/>
    <x v="2"/>
  </r>
  <r>
    <x v="34"/>
    <x v="0"/>
    <x v="9"/>
    <x v="1"/>
    <x v="1"/>
    <x v="0"/>
    <x v="1"/>
    <x v="27"/>
    <x v="2"/>
    <x v="100"/>
    <x v="417"/>
    <x v="1000"/>
    <x v="1091"/>
    <x v="1053"/>
    <x v="1097"/>
    <x v="689"/>
    <x v="139"/>
    <x v="1"/>
    <x v="969"/>
    <x v="139"/>
    <x v="2"/>
  </r>
  <r>
    <x v="17"/>
    <x v="0"/>
    <x v="3"/>
    <x v="0"/>
    <x v="3"/>
    <x v="3"/>
    <x v="14"/>
    <x v="0"/>
    <x v="27"/>
    <x v="150"/>
    <x v="315"/>
    <x v="1001"/>
    <x v="1092"/>
    <x v="1054"/>
    <x v="1098"/>
    <x v="857"/>
    <x v="91"/>
    <x v="13"/>
    <x v="970"/>
    <x v="91"/>
    <x v="1"/>
  </r>
  <r>
    <x v="13"/>
    <x v="1"/>
    <x v="1"/>
    <x v="4"/>
    <x v="3"/>
    <x v="3"/>
    <x v="53"/>
    <x v="24"/>
    <x v="42"/>
    <x v="56"/>
    <x v="270"/>
    <x v="1002"/>
    <x v="1093"/>
    <x v="1055"/>
    <x v="1099"/>
    <x v="552"/>
    <x v="99"/>
    <x v="67"/>
    <x v="971"/>
    <x v="99"/>
    <x v="2"/>
  </r>
  <r>
    <x v="30"/>
    <x v="1"/>
    <x v="7"/>
    <x v="1"/>
    <x v="3"/>
    <x v="3"/>
    <x v="55"/>
    <x v="59"/>
    <x v="37"/>
    <x v="58"/>
    <x v="73"/>
    <x v="1003"/>
    <x v="1094"/>
    <x v="1056"/>
    <x v="1100"/>
    <x v="858"/>
    <x v="120"/>
    <x v="50"/>
    <x v="972"/>
    <x v="120"/>
    <x v="1"/>
  </r>
  <r>
    <x v="42"/>
    <x v="1"/>
    <x v="2"/>
    <x v="2"/>
    <x v="3"/>
    <x v="1"/>
    <x v="7"/>
    <x v="70"/>
    <x v="69"/>
    <x v="104"/>
    <x v="368"/>
    <x v="1004"/>
    <x v="1095"/>
    <x v="1057"/>
    <x v="1101"/>
    <x v="65"/>
    <x v="182"/>
    <x v="183"/>
    <x v="973"/>
    <x v="182"/>
    <x v="2"/>
  </r>
  <r>
    <x v="44"/>
    <x v="1"/>
    <x v="3"/>
    <x v="0"/>
    <x v="4"/>
    <x v="1"/>
    <x v="67"/>
    <x v="41"/>
    <x v="86"/>
    <x v="44"/>
    <x v="89"/>
    <x v="1005"/>
    <x v="1096"/>
    <x v="1058"/>
    <x v="1102"/>
    <x v="10"/>
    <x v="86"/>
    <x v="109"/>
    <x v="974"/>
    <x v="86"/>
    <x v="2"/>
  </r>
  <r>
    <x v="34"/>
    <x v="1"/>
    <x v="2"/>
    <x v="0"/>
    <x v="1"/>
    <x v="0"/>
    <x v="112"/>
    <x v="39"/>
    <x v="22"/>
    <x v="3"/>
    <x v="222"/>
    <x v="1006"/>
    <x v="1097"/>
    <x v="1059"/>
    <x v="1103"/>
    <x v="522"/>
    <x v="136"/>
    <x v="189"/>
    <x v="738"/>
    <x v="136"/>
    <x v="2"/>
  </r>
  <r>
    <x v="22"/>
    <x v="0"/>
    <x v="4"/>
    <x v="2"/>
    <x v="0"/>
    <x v="3"/>
    <x v="71"/>
    <x v="13"/>
    <x v="21"/>
    <x v="133"/>
    <x v="28"/>
    <x v="254"/>
    <x v="1098"/>
    <x v="1060"/>
    <x v="1104"/>
    <x v="9"/>
    <x v="92"/>
    <x v="100"/>
    <x v="975"/>
    <x v="92"/>
    <x v="0"/>
  </r>
  <r>
    <x v="11"/>
    <x v="0"/>
    <x v="2"/>
    <x v="3"/>
    <x v="5"/>
    <x v="1"/>
    <x v="1"/>
    <x v="12"/>
    <x v="40"/>
    <x v="54"/>
    <x v="183"/>
    <x v="1007"/>
    <x v="1099"/>
    <x v="1061"/>
    <x v="1105"/>
    <x v="859"/>
    <x v="66"/>
    <x v="70"/>
    <x v="976"/>
    <x v="66"/>
    <x v="1"/>
  </r>
  <r>
    <x v="15"/>
    <x v="0"/>
    <x v="8"/>
    <x v="2"/>
    <x v="3"/>
    <x v="0"/>
    <x v="69"/>
    <x v="40"/>
    <x v="67"/>
    <x v="134"/>
    <x v="219"/>
    <x v="1008"/>
    <x v="1100"/>
    <x v="1062"/>
    <x v="1106"/>
    <x v="860"/>
    <x v="45"/>
    <x v="67"/>
    <x v="977"/>
    <x v="45"/>
    <x v="2"/>
  </r>
  <r>
    <x v="57"/>
    <x v="1"/>
    <x v="3"/>
    <x v="1"/>
    <x v="5"/>
    <x v="0"/>
    <x v="5"/>
    <x v="28"/>
    <x v="21"/>
    <x v="99"/>
    <x v="36"/>
    <x v="114"/>
    <x v="1101"/>
    <x v="1063"/>
    <x v="1107"/>
    <x v="297"/>
    <x v="148"/>
    <x v="181"/>
    <x v="978"/>
    <x v="148"/>
    <x v="0"/>
  </r>
  <r>
    <x v="12"/>
    <x v="0"/>
    <x v="9"/>
    <x v="1"/>
    <x v="1"/>
    <x v="2"/>
    <x v="75"/>
    <x v="6"/>
    <x v="28"/>
    <x v="99"/>
    <x v="252"/>
    <x v="1009"/>
    <x v="1102"/>
    <x v="1064"/>
    <x v="1108"/>
    <x v="302"/>
    <x v="101"/>
    <x v="143"/>
    <x v="979"/>
    <x v="101"/>
    <x v="0"/>
  </r>
  <r>
    <x v="19"/>
    <x v="1"/>
    <x v="4"/>
    <x v="4"/>
    <x v="3"/>
    <x v="2"/>
    <x v="91"/>
    <x v="46"/>
    <x v="13"/>
    <x v="19"/>
    <x v="91"/>
    <x v="1010"/>
    <x v="1103"/>
    <x v="1065"/>
    <x v="1109"/>
    <x v="807"/>
    <x v="72"/>
    <x v="46"/>
    <x v="980"/>
    <x v="72"/>
    <x v="1"/>
  </r>
  <r>
    <x v="34"/>
    <x v="0"/>
    <x v="2"/>
    <x v="0"/>
    <x v="6"/>
    <x v="3"/>
    <x v="32"/>
    <x v="16"/>
    <x v="67"/>
    <x v="56"/>
    <x v="77"/>
    <x v="1011"/>
    <x v="1104"/>
    <x v="1066"/>
    <x v="1110"/>
    <x v="861"/>
    <x v="14"/>
    <x v="79"/>
    <x v="981"/>
    <x v="14"/>
    <x v="2"/>
  </r>
  <r>
    <x v="6"/>
    <x v="0"/>
    <x v="7"/>
    <x v="1"/>
    <x v="5"/>
    <x v="0"/>
    <x v="64"/>
    <x v="78"/>
    <x v="15"/>
    <x v="97"/>
    <x v="391"/>
    <x v="342"/>
    <x v="1105"/>
    <x v="1067"/>
    <x v="1111"/>
    <x v="862"/>
    <x v="132"/>
    <x v="129"/>
    <x v="830"/>
    <x v="132"/>
    <x v="2"/>
  </r>
  <r>
    <x v="38"/>
    <x v="0"/>
    <x v="5"/>
    <x v="2"/>
    <x v="6"/>
    <x v="3"/>
    <x v="54"/>
    <x v="48"/>
    <x v="42"/>
    <x v="141"/>
    <x v="1"/>
    <x v="462"/>
    <x v="1106"/>
    <x v="1068"/>
    <x v="1112"/>
    <x v="37"/>
    <x v="168"/>
    <x v="142"/>
    <x v="982"/>
    <x v="168"/>
    <x v="2"/>
  </r>
  <r>
    <x v="17"/>
    <x v="0"/>
    <x v="8"/>
    <x v="0"/>
    <x v="5"/>
    <x v="0"/>
    <x v="50"/>
    <x v="9"/>
    <x v="84"/>
    <x v="28"/>
    <x v="193"/>
    <x v="1012"/>
    <x v="1107"/>
    <x v="1069"/>
    <x v="1113"/>
    <x v="863"/>
    <x v="106"/>
    <x v="6"/>
    <x v="542"/>
    <x v="106"/>
    <x v="1"/>
  </r>
  <r>
    <x v="19"/>
    <x v="0"/>
    <x v="8"/>
    <x v="0"/>
    <x v="2"/>
    <x v="0"/>
    <x v="95"/>
    <x v="54"/>
    <x v="3"/>
    <x v="0"/>
    <x v="170"/>
    <x v="1013"/>
    <x v="1108"/>
    <x v="1070"/>
    <x v="1114"/>
    <x v="864"/>
    <x v="108"/>
    <x v="7"/>
    <x v="833"/>
    <x v="108"/>
    <x v="1"/>
  </r>
  <r>
    <x v="28"/>
    <x v="1"/>
    <x v="2"/>
    <x v="2"/>
    <x v="4"/>
    <x v="0"/>
    <x v="55"/>
    <x v="21"/>
    <x v="12"/>
    <x v="95"/>
    <x v="299"/>
    <x v="1014"/>
    <x v="1109"/>
    <x v="1071"/>
    <x v="1115"/>
    <x v="370"/>
    <x v="104"/>
    <x v="196"/>
    <x v="983"/>
    <x v="104"/>
    <x v="0"/>
  </r>
  <r>
    <x v="43"/>
    <x v="0"/>
    <x v="0"/>
    <x v="0"/>
    <x v="2"/>
    <x v="3"/>
    <x v="88"/>
    <x v="44"/>
    <x v="34"/>
    <x v="96"/>
    <x v="10"/>
    <x v="1015"/>
    <x v="1110"/>
    <x v="1072"/>
    <x v="1116"/>
    <x v="286"/>
    <x v="9"/>
    <x v="103"/>
    <x v="984"/>
    <x v="9"/>
    <x v="2"/>
  </r>
  <r>
    <x v="42"/>
    <x v="0"/>
    <x v="3"/>
    <x v="0"/>
    <x v="1"/>
    <x v="3"/>
    <x v="91"/>
    <x v="24"/>
    <x v="38"/>
    <x v="76"/>
    <x v="218"/>
    <x v="982"/>
    <x v="1111"/>
    <x v="1073"/>
    <x v="1117"/>
    <x v="4"/>
    <x v="38"/>
    <x v="66"/>
    <x v="985"/>
    <x v="38"/>
    <x v="2"/>
  </r>
  <r>
    <x v="31"/>
    <x v="0"/>
    <x v="2"/>
    <x v="2"/>
    <x v="3"/>
    <x v="0"/>
    <x v="80"/>
    <x v="26"/>
    <x v="89"/>
    <x v="42"/>
    <x v="212"/>
    <x v="1016"/>
    <x v="1112"/>
    <x v="1074"/>
    <x v="1118"/>
    <x v="865"/>
    <x v="35"/>
    <x v="92"/>
    <x v="986"/>
    <x v="35"/>
    <x v="2"/>
  </r>
  <r>
    <x v="22"/>
    <x v="1"/>
    <x v="8"/>
    <x v="2"/>
    <x v="2"/>
    <x v="3"/>
    <x v="62"/>
    <x v="16"/>
    <x v="87"/>
    <x v="130"/>
    <x v="73"/>
    <x v="1017"/>
    <x v="1113"/>
    <x v="1075"/>
    <x v="855"/>
    <x v="51"/>
    <x v="100"/>
    <x v="131"/>
    <x v="987"/>
    <x v="100"/>
    <x v="0"/>
  </r>
  <r>
    <x v="16"/>
    <x v="0"/>
    <x v="9"/>
    <x v="1"/>
    <x v="3"/>
    <x v="1"/>
    <x v="15"/>
    <x v="57"/>
    <x v="7"/>
    <x v="145"/>
    <x v="218"/>
    <x v="1018"/>
    <x v="1114"/>
    <x v="1076"/>
    <x v="1119"/>
    <x v="866"/>
    <x v="35"/>
    <x v="212"/>
    <x v="988"/>
    <x v="35"/>
    <x v="0"/>
  </r>
  <r>
    <x v="51"/>
    <x v="1"/>
    <x v="8"/>
    <x v="4"/>
    <x v="5"/>
    <x v="3"/>
    <x v="92"/>
    <x v="71"/>
    <x v="54"/>
    <x v="73"/>
    <x v="376"/>
    <x v="777"/>
    <x v="1115"/>
    <x v="1077"/>
    <x v="1120"/>
    <x v="494"/>
    <x v="176"/>
    <x v="49"/>
    <x v="989"/>
    <x v="176"/>
    <x v="2"/>
  </r>
  <r>
    <x v="19"/>
    <x v="1"/>
    <x v="4"/>
    <x v="0"/>
    <x v="4"/>
    <x v="2"/>
    <x v="26"/>
    <x v="22"/>
    <x v="33"/>
    <x v="17"/>
    <x v="64"/>
    <x v="1019"/>
    <x v="1116"/>
    <x v="1078"/>
    <x v="1121"/>
    <x v="809"/>
    <x v="141"/>
    <x v="172"/>
    <x v="990"/>
    <x v="141"/>
    <x v="1"/>
  </r>
  <r>
    <x v="28"/>
    <x v="1"/>
    <x v="8"/>
    <x v="4"/>
    <x v="3"/>
    <x v="1"/>
    <x v="106"/>
    <x v="48"/>
    <x v="27"/>
    <x v="146"/>
    <x v="271"/>
    <x v="1020"/>
    <x v="1117"/>
    <x v="1079"/>
    <x v="1122"/>
    <x v="867"/>
    <x v="35"/>
    <x v="158"/>
    <x v="198"/>
    <x v="35"/>
    <x v="0"/>
  </r>
  <r>
    <x v="56"/>
    <x v="0"/>
    <x v="0"/>
    <x v="3"/>
    <x v="0"/>
    <x v="3"/>
    <x v="69"/>
    <x v="5"/>
    <x v="64"/>
    <x v="1"/>
    <x v="71"/>
    <x v="1021"/>
    <x v="1118"/>
    <x v="1080"/>
    <x v="1123"/>
    <x v="868"/>
    <x v="177"/>
    <x v="132"/>
    <x v="991"/>
    <x v="177"/>
    <x v="2"/>
  </r>
  <r>
    <x v="3"/>
    <x v="1"/>
    <x v="2"/>
    <x v="3"/>
    <x v="6"/>
    <x v="0"/>
    <x v="87"/>
    <x v="20"/>
    <x v="7"/>
    <x v="102"/>
    <x v="85"/>
    <x v="1022"/>
    <x v="1119"/>
    <x v="1081"/>
    <x v="1124"/>
    <x v="869"/>
    <x v="78"/>
    <x v="189"/>
    <x v="992"/>
    <x v="78"/>
    <x v="0"/>
  </r>
  <r>
    <x v="46"/>
    <x v="0"/>
    <x v="8"/>
    <x v="1"/>
    <x v="1"/>
    <x v="2"/>
    <x v="29"/>
    <x v="42"/>
    <x v="66"/>
    <x v="18"/>
    <x v="52"/>
    <x v="1023"/>
    <x v="1120"/>
    <x v="1082"/>
    <x v="1125"/>
    <x v="788"/>
    <x v="132"/>
    <x v="140"/>
    <x v="993"/>
    <x v="132"/>
    <x v="1"/>
  </r>
  <r>
    <x v="23"/>
    <x v="0"/>
    <x v="7"/>
    <x v="4"/>
    <x v="5"/>
    <x v="0"/>
    <x v="25"/>
    <x v="17"/>
    <x v="57"/>
    <x v="0"/>
    <x v="122"/>
    <x v="90"/>
    <x v="1121"/>
    <x v="575"/>
    <x v="1126"/>
    <x v="870"/>
    <x v="41"/>
    <x v="74"/>
    <x v="994"/>
    <x v="41"/>
    <x v="1"/>
  </r>
  <r>
    <x v="29"/>
    <x v="1"/>
    <x v="5"/>
    <x v="0"/>
    <x v="6"/>
    <x v="2"/>
    <x v="85"/>
    <x v="34"/>
    <x v="15"/>
    <x v="88"/>
    <x v="378"/>
    <x v="1024"/>
    <x v="1122"/>
    <x v="464"/>
    <x v="1127"/>
    <x v="871"/>
    <x v="45"/>
    <x v="99"/>
    <x v="995"/>
    <x v="45"/>
    <x v="2"/>
  </r>
  <r>
    <x v="16"/>
    <x v="0"/>
    <x v="9"/>
    <x v="2"/>
    <x v="4"/>
    <x v="2"/>
    <x v="65"/>
    <x v="60"/>
    <x v="71"/>
    <x v="13"/>
    <x v="96"/>
    <x v="1025"/>
    <x v="1123"/>
    <x v="1083"/>
    <x v="1128"/>
    <x v="872"/>
    <x v="15"/>
    <x v="111"/>
    <x v="996"/>
    <x v="15"/>
    <x v="0"/>
  </r>
  <r>
    <x v="57"/>
    <x v="0"/>
    <x v="0"/>
    <x v="2"/>
    <x v="2"/>
    <x v="1"/>
    <x v="91"/>
    <x v="27"/>
    <x v="51"/>
    <x v="45"/>
    <x v="33"/>
    <x v="1026"/>
    <x v="1124"/>
    <x v="174"/>
    <x v="1129"/>
    <x v="368"/>
    <x v="10"/>
    <x v="109"/>
    <x v="575"/>
    <x v="10"/>
    <x v="0"/>
  </r>
  <r>
    <x v="53"/>
    <x v="0"/>
    <x v="9"/>
    <x v="3"/>
    <x v="2"/>
    <x v="3"/>
    <x v="102"/>
    <x v="6"/>
    <x v="56"/>
    <x v="10"/>
    <x v="414"/>
    <x v="1027"/>
    <x v="1125"/>
    <x v="1084"/>
    <x v="1130"/>
    <x v="683"/>
    <x v="49"/>
    <x v="96"/>
    <x v="997"/>
    <x v="49"/>
    <x v="1"/>
  </r>
  <r>
    <x v="59"/>
    <x v="1"/>
    <x v="2"/>
    <x v="0"/>
    <x v="1"/>
    <x v="0"/>
    <x v="113"/>
    <x v="35"/>
    <x v="45"/>
    <x v="114"/>
    <x v="175"/>
    <x v="1028"/>
    <x v="527"/>
    <x v="1085"/>
    <x v="1131"/>
    <x v="431"/>
    <x v="167"/>
    <x v="121"/>
    <x v="998"/>
    <x v="167"/>
    <x v="0"/>
  </r>
  <r>
    <x v="3"/>
    <x v="1"/>
    <x v="0"/>
    <x v="4"/>
    <x v="6"/>
    <x v="3"/>
    <x v="110"/>
    <x v="37"/>
    <x v="46"/>
    <x v="71"/>
    <x v="300"/>
    <x v="417"/>
    <x v="1126"/>
    <x v="1086"/>
    <x v="1132"/>
    <x v="796"/>
    <x v="130"/>
    <x v="141"/>
    <x v="999"/>
    <x v="130"/>
    <x v="0"/>
  </r>
  <r>
    <x v="8"/>
    <x v="1"/>
    <x v="4"/>
    <x v="4"/>
    <x v="4"/>
    <x v="3"/>
    <x v="47"/>
    <x v="7"/>
    <x v="28"/>
    <x v="158"/>
    <x v="259"/>
    <x v="1029"/>
    <x v="1127"/>
    <x v="1087"/>
    <x v="1133"/>
    <x v="282"/>
    <x v="95"/>
    <x v="205"/>
    <x v="1000"/>
    <x v="95"/>
    <x v="2"/>
  </r>
  <r>
    <x v="1"/>
    <x v="1"/>
    <x v="8"/>
    <x v="2"/>
    <x v="0"/>
    <x v="0"/>
    <x v="89"/>
    <x v="27"/>
    <x v="41"/>
    <x v="144"/>
    <x v="282"/>
    <x v="1030"/>
    <x v="1128"/>
    <x v="1088"/>
    <x v="1134"/>
    <x v="873"/>
    <x v="127"/>
    <x v="12"/>
    <x v="1001"/>
    <x v="127"/>
    <x v="1"/>
  </r>
  <r>
    <x v="9"/>
    <x v="1"/>
    <x v="1"/>
    <x v="4"/>
    <x v="2"/>
    <x v="1"/>
    <x v="9"/>
    <x v="71"/>
    <x v="86"/>
    <x v="69"/>
    <x v="153"/>
    <x v="307"/>
    <x v="1129"/>
    <x v="1089"/>
    <x v="1135"/>
    <x v="874"/>
    <x v="88"/>
    <x v="61"/>
    <x v="1002"/>
    <x v="88"/>
    <x v="0"/>
  </r>
  <r>
    <x v="0"/>
    <x v="0"/>
    <x v="8"/>
    <x v="2"/>
    <x v="6"/>
    <x v="2"/>
    <x v="86"/>
    <x v="53"/>
    <x v="34"/>
    <x v="95"/>
    <x v="316"/>
    <x v="447"/>
    <x v="1130"/>
    <x v="1090"/>
    <x v="1136"/>
    <x v="875"/>
    <x v="94"/>
    <x v="199"/>
    <x v="1003"/>
    <x v="94"/>
    <x v="0"/>
  </r>
  <r>
    <x v="51"/>
    <x v="1"/>
    <x v="2"/>
    <x v="1"/>
    <x v="0"/>
    <x v="2"/>
    <x v="95"/>
    <x v="11"/>
    <x v="66"/>
    <x v="157"/>
    <x v="375"/>
    <x v="1031"/>
    <x v="1131"/>
    <x v="464"/>
    <x v="1137"/>
    <x v="876"/>
    <x v="26"/>
    <x v="91"/>
    <x v="1004"/>
    <x v="26"/>
    <x v="2"/>
  </r>
  <r>
    <x v="45"/>
    <x v="0"/>
    <x v="0"/>
    <x v="2"/>
    <x v="3"/>
    <x v="2"/>
    <x v="87"/>
    <x v="13"/>
    <x v="12"/>
    <x v="104"/>
    <x v="117"/>
    <x v="990"/>
    <x v="1132"/>
    <x v="1091"/>
    <x v="1138"/>
    <x v="788"/>
    <x v="98"/>
    <x v="110"/>
    <x v="989"/>
    <x v="98"/>
    <x v="2"/>
  </r>
  <r>
    <x v="7"/>
    <x v="1"/>
    <x v="1"/>
    <x v="4"/>
    <x v="2"/>
    <x v="1"/>
    <x v="35"/>
    <x v="22"/>
    <x v="85"/>
    <x v="83"/>
    <x v="218"/>
    <x v="1032"/>
    <x v="1133"/>
    <x v="1092"/>
    <x v="1139"/>
    <x v="877"/>
    <x v="53"/>
    <x v="126"/>
    <x v="1005"/>
    <x v="53"/>
    <x v="2"/>
  </r>
  <r>
    <x v="55"/>
    <x v="0"/>
    <x v="3"/>
    <x v="0"/>
    <x v="5"/>
    <x v="1"/>
    <x v="99"/>
    <x v="78"/>
    <x v="54"/>
    <x v="123"/>
    <x v="418"/>
    <x v="1033"/>
    <x v="1134"/>
    <x v="1093"/>
    <x v="1140"/>
    <x v="878"/>
    <x v="42"/>
    <x v="21"/>
    <x v="1006"/>
    <x v="42"/>
    <x v="2"/>
  </r>
  <r>
    <x v="48"/>
    <x v="1"/>
    <x v="8"/>
    <x v="2"/>
    <x v="5"/>
    <x v="0"/>
    <x v="33"/>
    <x v="79"/>
    <x v="81"/>
    <x v="37"/>
    <x v="320"/>
    <x v="1034"/>
    <x v="1135"/>
    <x v="1022"/>
    <x v="1141"/>
    <x v="879"/>
    <x v="12"/>
    <x v="138"/>
    <x v="1007"/>
    <x v="12"/>
    <x v="2"/>
  </r>
  <r>
    <x v="34"/>
    <x v="0"/>
    <x v="1"/>
    <x v="1"/>
    <x v="1"/>
    <x v="0"/>
    <x v="48"/>
    <x v="74"/>
    <x v="49"/>
    <x v="80"/>
    <x v="169"/>
    <x v="1035"/>
    <x v="1136"/>
    <x v="1094"/>
    <x v="1142"/>
    <x v="110"/>
    <x v="28"/>
    <x v="22"/>
    <x v="772"/>
    <x v="28"/>
    <x v="2"/>
  </r>
  <r>
    <x v="6"/>
    <x v="1"/>
    <x v="1"/>
    <x v="2"/>
    <x v="2"/>
    <x v="0"/>
    <x v="21"/>
    <x v="21"/>
    <x v="54"/>
    <x v="6"/>
    <x v="175"/>
    <x v="1036"/>
    <x v="1137"/>
    <x v="1095"/>
    <x v="1143"/>
    <x v="212"/>
    <x v="110"/>
    <x v="63"/>
    <x v="1008"/>
    <x v="110"/>
    <x v="2"/>
  </r>
  <r>
    <x v="10"/>
    <x v="0"/>
    <x v="8"/>
    <x v="3"/>
    <x v="4"/>
    <x v="2"/>
    <x v="10"/>
    <x v="73"/>
    <x v="35"/>
    <x v="131"/>
    <x v="31"/>
    <x v="1037"/>
    <x v="1138"/>
    <x v="1096"/>
    <x v="1144"/>
    <x v="880"/>
    <x v="53"/>
    <x v="158"/>
    <x v="432"/>
    <x v="53"/>
    <x v="2"/>
  </r>
  <r>
    <x v="33"/>
    <x v="0"/>
    <x v="8"/>
    <x v="0"/>
    <x v="2"/>
    <x v="0"/>
    <x v="24"/>
    <x v="38"/>
    <x v="84"/>
    <x v="128"/>
    <x v="276"/>
    <x v="1038"/>
    <x v="1139"/>
    <x v="1097"/>
    <x v="1145"/>
    <x v="881"/>
    <x v="126"/>
    <x v="24"/>
    <x v="383"/>
    <x v="126"/>
    <x v="2"/>
  </r>
  <r>
    <x v="45"/>
    <x v="1"/>
    <x v="1"/>
    <x v="3"/>
    <x v="5"/>
    <x v="3"/>
    <x v="103"/>
    <x v="26"/>
    <x v="87"/>
    <x v="73"/>
    <x v="56"/>
    <x v="1039"/>
    <x v="1140"/>
    <x v="1098"/>
    <x v="1146"/>
    <x v="314"/>
    <x v="119"/>
    <x v="55"/>
    <x v="1009"/>
    <x v="119"/>
    <x v="2"/>
  </r>
  <r>
    <x v="17"/>
    <x v="1"/>
    <x v="3"/>
    <x v="4"/>
    <x v="1"/>
    <x v="2"/>
    <x v="114"/>
    <x v="41"/>
    <x v="89"/>
    <x v="111"/>
    <x v="419"/>
    <x v="1040"/>
    <x v="1141"/>
    <x v="1099"/>
    <x v="1147"/>
    <x v="882"/>
    <x v="149"/>
    <x v="41"/>
    <x v="1010"/>
    <x v="149"/>
    <x v="1"/>
  </r>
  <r>
    <x v="17"/>
    <x v="1"/>
    <x v="5"/>
    <x v="3"/>
    <x v="4"/>
    <x v="2"/>
    <x v="51"/>
    <x v="1"/>
    <x v="50"/>
    <x v="45"/>
    <x v="33"/>
    <x v="1041"/>
    <x v="1142"/>
    <x v="237"/>
    <x v="1148"/>
    <x v="883"/>
    <x v="30"/>
    <x v="114"/>
    <x v="1011"/>
    <x v="30"/>
    <x v="1"/>
  </r>
  <r>
    <x v="47"/>
    <x v="1"/>
    <x v="1"/>
    <x v="4"/>
    <x v="2"/>
    <x v="0"/>
    <x v="110"/>
    <x v="11"/>
    <x v="44"/>
    <x v="124"/>
    <x v="420"/>
    <x v="1042"/>
    <x v="1143"/>
    <x v="1100"/>
    <x v="1149"/>
    <x v="670"/>
    <x v="74"/>
    <x v="61"/>
    <x v="97"/>
    <x v="74"/>
    <x v="0"/>
  </r>
  <r>
    <x v="31"/>
    <x v="0"/>
    <x v="7"/>
    <x v="3"/>
    <x v="6"/>
    <x v="2"/>
    <x v="24"/>
    <x v="12"/>
    <x v="3"/>
    <x v="85"/>
    <x v="159"/>
    <x v="1043"/>
    <x v="1144"/>
    <x v="1101"/>
    <x v="1150"/>
    <x v="104"/>
    <x v="37"/>
    <x v="98"/>
    <x v="1012"/>
    <x v="37"/>
    <x v="2"/>
  </r>
  <r>
    <x v="16"/>
    <x v="1"/>
    <x v="5"/>
    <x v="4"/>
    <x v="5"/>
    <x v="1"/>
    <x v="60"/>
    <x v="74"/>
    <x v="85"/>
    <x v="34"/>
    <x v="141"/>
    <x v="1044"/>
    <x v="1145"/>
    <x v="1102"/>
    <x v="1151"/>
    <x v="137"/>
    <x v="139"/>
    <x v="171"/>
    <x v="209"/>
    <x v="139"/>
    <x v="0"/>
  </r>
  <r>
    <x v="19"/>
    <x v="0"/>
    <x v="8"/>
    <x v="2"/>
    <x v="2"/>
    <x v="3"/>
    <x v="116"/>
    <x v="58"/>
    <x v="59"/>
    <x v="20"/>
    <x v="216"/>
    <x v="1045"/>
    <x v="1146"/>
    <x v="1103"/>
    <x v="1152"/>
    <x v="884"/>
    <x v="142"/>
    <x v="64"/>
    <x v="1013"/>
    <x v="142"/>
    <x v="1"/>
  </r>
  <r>
    <x v="39"/>
    <x v="1"/>
    <x v="8"/>
    <x v="3"/>
    <x v="3"/>
    <x v="3"/>
    <x v="19"/>
    <x v="31"/>
    <x v="81"/>
    <x v="30"/>
    <x v="285"/>
    <x v="1046"/>
    <x v="1147"/>
    <x v="1104"/>
    <x v="1153"/>
    <x v="885"/>
    <x v="20"/>
    <x v="169"/>
    <x v="1014"/>
    <x v="20"/>
    <x v="2"/>
  </r>
  <r>
    <x v="35"/>
    <x v="1"/>
    <x v="5"/>
    <x v="2"/>
    <x v="6"/>
    <x v="1"/>
    <x v="94"/>
    <x v="55"/>
    <x v="55"/>
    <x v="59"/>
    <x v="192"/>
    <x v="1047"/>
    <x v="1148"/>
    <x v="1105"/>
    <x v="1154"/>
    <x v="886"/>
    <x v="98"/>
    <x v="42"/>
    <x v="1015"/>
    <x v="98"/>
    <x v="2"/>
  </r>
  <r>
    <x v="43"/>
    <x v="1"/>
    <x v="3"/>
    <x v="3"/>
    <x v="2"/>
    <x v="3"/>
    <x v="85"/>
    <x v="77"/>
    <x v="25"/>
    <x v="9"/>
    <x v="381"/>
    <x v="1048"/>
    <x v="1149"/>
    <x v="1106"/>
    <x v="1155"/>
    <x v="614"/>
    <x v="13"/>
    <x v="163"/>
    <x v="1016"/>
    <x v="13"/>
    <x v="2"/>
  </r>
  <r>
    <x v="30"/>
    <x v="1"/>
    <x v="8"/>
    <x v="2"/>
    <x v="2"/>
    <x v="1"/>
    <x v="5"/>
    <x v="77"/>
    <x v="38"/>
    <x v="141"/>
    <x v="164"/>
    <x v="1049"/>
    <x v="1150"/>
    <x v="763"/>
    <x v="1156"/>
    <x v="670"/>
    <x v="33"/>
    <x v="108"/>
    <x v="1017"/>
    <x v="33"/>
    <x v="1"/>
  </r>
  <r>
    <x v="9"/>
    <x v="0"/>
    <x v="2"/>
    <x v="2"/>
    <x v="6"/>
    <x v="0"/>
    <x v="117"/>
    <x v="0"/>
    <x v="18"/>
    <x v="48"/>
    <x v="89"/>
    <x v="1050"/>
    <x v="1151"/>
    <x v="1107"/>
    <x v="1157"/>
    <x v="208"/>
    <x v="179"/>
    <x v="85"/>
    <x v="1018"/>
    <x v="179"/>
    <x v="0"/>
  </r>
  <r>
    <x v="59"/>
    <x v="1"/>
    <x v="8"/>
    <x v="1"/>
    <x v="2"/>
    <x v="2"/>
    <x v="46"/>
    <x v="71"/>
    <x v="60"/>
    <x v="49"/>
    <x v="221"/>
    <x v="1051"/>
    <x v="1152"/>
    <x v="1108"/>
    <x v="1158"/>
    <x v="121"/>
    <x v="156"/>
    <x v="184"/>
    <x v="1019"/>
    <x v="156"/>
    <x v="0"/>
  </r>
  <r>
    <x v="25"/>
    <x v="0"/>
    <x v="6"/>
    <x v="3"/>
    <x v="1"/>
    <x v="2"/>
    <x v="1"/>
    <x v="55"/>
    <x v="61"/>
    <x v="1"/>
    <x v="381"/>
    <x v="764"/>
    <x v="1153"/>
    <x v="1109"/>
    <x v="1159"/>
    <x v="887"/>
    <x v="106"/>
    <x v="154"/>
    <x v="1020"/>
    <x v="106"/>
    <x v="0"/>
  </r>
  <r>
    <x v="16"/>
    <x v="1"/>
    <x v="1"/>
    <x v="3"/>
    <x v="4"/>
    <x v="3"/>
    <x v="48"/>
    <x v="45"/>
    <x v="23"/>
    <x v="110"/>
    <x v="74"/>
    <x v="1052"/>
    <x v="1154"/>
    <x v="1110"/>
    <x v="1160"/>
    <x v="888"/>
    <x v="155"/>
    <x v="127"/>
    <x v="1021"/>
    <x v="155"/>
    <x v="0"/>
  </r>
  <r>
    <x v="30"/>
    <x v="1"/>
    <x v="6"/>
    <x v="2"/>
    <x v="5"/>
    <x v="0"/>
    <x v="91"/>
    <x v="70"/>
    <x v="0"/>
    <x v="17"/>
    <x v="406"/>
    <x v="472"/>
    <x v="1155"/>
    <x v="1111"/>
    <x v="1161"/>
    <x v="889"/>
    <x v="28"/>
    <x v="213"/>
    <x v="1022"/>
    <x v="28"/>
    <x v="1"/>
  </r>
  <r>
    <x v="32"/>
    <x v="1"/>
    <x v="2"/>
    <x v="3"/>
    <x v="3"/>
    <x v="3"/>
    <x v="24"/>
    <x v="21"/>
    <x v="37"/>
    <x v="72"/>
    <x v="416"/>
    <x v="699"/>
    <x v="1156"/>
    <x v="1112"/>
    <x v="1162"/>
    <x v="890"/>
    <x v="3"/>
    <x v="121"/>
    <x v="1023"/>
    <x v="3"/>
    <x v="1"/>
  </r>
  <r>
    <x v="51"/>
    <x v="0"/>
    <x v="1"/>
    <x v="4"/>
    <x v="1"/>
    <x v="2"/>
    <x v="58"/>
    <x v="14"/>
    <x v="45"/>
    <x v="59"/>
    <x v="32"/>
    <x v="456"/>
    <x v="1157"/>
    <x v="1113"/>
    <x v="1163"/>
    <x v="891"/>
    <x v="80"/>
    <x v="118"/>
    <x v="1024"/>
    <x v="80"/>
    <x v="2"/>
  </r>
  <r>
    <x v="33"/>
    <x v="0"/>
    <x v="4"/>
    <x v="3"/>
    <x v="4"/>
    <x v="2"/>
    <x v="30"/>
    <x v="55"/>
    <x v="22"/>
    <x v="79"/>
    <x v="403"/>
    <x v="447"/>
    <x v="1158"/>
    <x v="1114"/>
    <x v="1164"/>
    <x v="892"/>
    <x v="178"/>
    <x v="178"/>
    <x v="1025"/>
    <x v="178"/>
    <x v="2"/>
  </r>
  <r>
    <x v="52"/>
    <x v="1"/>
    <x v="5"/>
    <x v="2"/>
    <x v="0"/>
    <x v="0"/>
    <x v="2"/>
    <x v="67"/>
    <x v="79"/>
    <x v="137"/>
    <x v="103"/>
    <x v="1053"/>
    <x v="1159"/>
    <x v="1115"/>
    <x v="1165"/>
    <x v="893"/>
    <x v="88"/>
    <x v="203"/>
    <x v="1026"/>
    <x v="88"/>
    <x v="2"/>
  </r>
  <r>
    <x v="12"/>
    <x v="1"/>
    <x v="4"/>
    <x v="4"/>
    <x v="1"/>
    <x v="0"/>
    <x v="10"/>
    <x v="8"/>
    <x v="83"/>
    <x v="57"/>
    <x v="157"/>
    <x v="980"/>
    <x v="1160"/>
    <x v="1116"/>
    <x v="1166"/>
    <x v="894"/>
    <x v="42"/>
    <x v="214"/>
    <x v="894"/>
    <x v="42"/>
    <x v="0"/>
  </r>
  <r>
    <x v="13"/>
    <x v="0"/>
    <x v="3"/>
    <x v="1"/>
    <x v="6"/>
    <x v="2"/>
    <x v="74"/>
    <x v="13"/>
    <x v="3"/>
    <x v="145"/>
    <x v="200"/>
    <x v="1054"/>
    <x v="1161"/>
    <x v="1117"/>
    <x v="1167"/>
    <x v="895"/>
    <x v="36"/>
    <x v="78"/>
    <x v="1027"/>
    <x v="36"/>
    <x v="2"/>
  </r>
  <r>
    <x v="14"/>
    <x v="0"/>
    <x v="7"/>
    <x v="0"/>
    <x v="4"/>
    <x v="2"/>
    <x v="88"/>
    <x v="38"/>
    <x v="67"/>
    <x v="67"/>
    <x v="351"/>
    <x v="1055"/>
    <x v="1162"/>
    <x v="1118"/>
    <x v="1168"/>
    <x v="896"/>
    <x v="98"/>
    <x v="50"/>
    <x v="1028"/>
    <x v="98"/>
    <x v="2"/>
  </r>
  <r>
    <x v="9"/>
    <x v="1"/>
    <x v="1"/>
    <x v="3"/>
    <x v="1"/>
    <x v="2"/>
    <x v="19"/>
    <x v="13"/>
    <x v="68"/>
    <x v="153"/>
    <x v="35"/>
    <x v="1056"/>
    <x v="1163"/>
    <x v="1119"/>
    <x v="1169"/>
    <x v="162"/>
    <x v="53"/>
    <x v="165"/>
    <x v="269"/>
    <x v="53"/>
    <x v="0"/>
  </r>
  <r>
    <x v="31"/>
    <x v="1"/>
    <x v="8"/>
    <x v="3"/>
    <x v="3"/>
    <x v="2"/>
    <x v="46"/>
    <x v="69"/>
    <x v="63"/>
    <x v="142"/>
    <x v="211"/>
    <x v="1057"/>
    <x v="1164"/>
    <x v="1120"/>
    <x v="1170"/>
    <x v="897"/>
    <x v="59"/>
    <x v="178"/>
    <x v="1029"/>
    <x v="59"/>
    <x v="2"/>
  </r>
  <r>
    <x v="46"/>
    <x v="1"/>
    <x v="1"/>
    <x v="1"/>
    <x v="0"/>
    <x v="1"/>
    <x v="40"/>
    <x v="13"/>
    <x v="43"/>
    <x v="28"/>
    <x v="279"/>
    <x v="1058"/>
    <x v="1165"/>
    <x v="1121"/>
    <x v="1171"/>
    <x v="420"/>
    <x v="11"/>
    <x v="90"/>
    <x v="1030"/>
    <x v="11"/>
    <x v="1"/>
  </r>
  <r>
    <x v="5"/>
    <x v="0"/>
    <x v="4"/>
    <x v="0"/>
    <x v="2"/>
    <x v="1"/>
    <x v="88"/>
    <x v="9"/>
    <x v="47"/>
    <x v="95"/>
    <x v="42"/>
    <x v="1059"/>
    <x v="1166"/>
    <x v="1122"/>
    <x v="1172"/>
    <x v="370"/>
    <x v="55"/>
    <x v="140"/>
    <x v="1031"/>
    <x v="55"/>
    <x v="2"/>
  </r>
  <r>
    <x v="24"/>
    <x v="1"/>
    <x v="4"/>
    <x v="4"/>
    <x v="0"/>
    <x v="1"/>
    <x v="40"/>
    <x v="20"/>
    <x v="34"/>
    <x v="53"/>
    <x v="263"/>
    <x v="1060"/>
    <x v="1167"/>
    <x v="1123"/>
    <x v="1173"/>
    <x v="422"/>
    <x v="130"/>
    <x v="55"/>
    <x v="1032"/>
    <x v="130"/>
    <x v="1"/>
  </r>
  <r>
    <x v="53"/>
    <x v="1"/>
    <x v="3"/>
    <x v="2"/>
    <x v="4"/>
    <x v="1"/>
    <x v="21"/>
    <x v="48"/>
    <x v="10"/>
    <x v="98"/>
    <x v="286"/>
    <x v="1061"/>
    <x v="1168"/>
    <x v="1124"/>
    <x v="1174"/>
    <x v="304"/>
    <x v="48"/>
    <x v="141"/>
    <x v="467"/>
    <x v="48"/>
    <x v="1"/>
  </r>
  <r>
    <x v="46"/>
    <x v="0"/>
    <x v="6"/>
    <x v="1"/>
    <x v="3"/>
    <x v="2"/>
    <x v="79"/>
    <x v="49"/>
    <x v="69"/>
    <x v="72"/>
    <x v="363"/>
    <x v="1062"/>
    <x v="1169"/>
    <x v="1125"/>
    <x v="1175"/>
    <x v="898"/>
    <x v="144"/>
    <x v="137"/>
    <x v="1033"/>
    <x v="144"/>
    <x v="1"/>
  </r>
  <r>
    <x v="38"/>
    <x v="0"/>
    <x v="0"/>
    <x v="3"/>
    <x v="4"/>
    <x v="0"/>
    <x v="19"/>
    <x v="43"/>
    <x v="0"/>
    <x v="122"/>
    <x v="243"/>
    <x v="1063"/>
    <x v="1170"/>
    <x v="1126"/>
    <x v="1176"/>
    <x v="362"/>
    <x v="149"/>
    <x v="87"/>
    <x v="588"/>
    <x v="149"/>
    <x v="2"/>
  </r>
  <r>
    <x v="56"/>
    <x v="1"/>
    <x v="4"/>
    <x v="1"/>
    <x v="5"/>
    <x v="3"/>
    <x v="116"/>
    <x v="31"/>
    <x v="64"/>
    <x v="110"/>
    <x v="45"/>
    <x v="1064"/>
    <x v="1171"/>
    <x v="1127"/>
    <x v="1177"/>
    <x v="899"/>
    <x v="16"/>
    <x v="181"/>
    <x v="1034"/>
    <x v="16"/>
    <x v="2"/>
  </r>
  <r>
    <x v="15"/>
    <x v="1"/>
    <x v="6"/>
    <x v="0"/>
    <x v="2"/>
    <x v="0"/>
    <x v="71"/>
    <x v="22"/>
    <x v="15"/>
    <x v="138"/>
    <x v="299"/>
    <x v="1065"/>
    <x v="1172"/>
    <x v="1128"/>
    <x v="1178"/>
    <x v="701"/>
    <x v="56"/>
    <x v="133"/>
    <x v="1035"/>
    <x v="56"/>
    <x v="2"/>
  </r>
  <r>
    <x v="34"/>
    <x v="1"/>
    <x v="1"/>
    <x v="4"/>
    <x v="0"/>
    <x v="0"/>
    <x v="53"/>
    <x v="73"/>
    <x v="9"/>
    <x v="26"/>
    <x v="294"/>
    <x v="1066"/>
    <x v="1173"/>
    <x v="1129"/>
    <x v="1179"/>
    <x v="1"/>
    <x v="39"/>
    <x v="96"/>
    <x v="1036"/>
    <x v="39"/>
    <x v="2"/>
  </r>
  <r>
    <x v="20"/>
    <x v="1"/>
    <x v="4"/>
    <x v="3"/>
    <x v="2"/>
    <x v="0"/>
    <x v="59"/>
    <x v="64"/>
    <x v="16"/>
    <x v="36"/>
    <x v="279"/>
    <x v="1067"/>
    <x v="1174"/>
    <x v="1130"/>
    <x v="1180"/>
    <x v="900"/>
    <x v="6"/>
    <x v="38"/>
    <x v="1037"/>
    <x v="6"/>
    <x v="1"/>
  </r>
  <r>
    <x v="55"/>
    <x v="1"/>
    <x v="6"/>
    <x v="1"/>
    <x v="4"/>
    <x v="0"/>
    <x v="2"/>
    <x v="31"/>
    <x v="79"/>
    <x v="31"/>
    <x v="241"/>
    <x v="1068"/>
    <x v="1175"/>
    <x v="1131"/>
    <x v="1181"/>
    <x v="901"/>
    <x v="29"/>
    <x v="138"/>
    <x v="1038"/>
    <x v="29"/>
    <x v="2"/>
  </r>
  <r>
    <x v="19"/>
    <x v="0"/>
    <x v="0"/>
    <x v="1"/>
    <x v="6"/>
    <x v="3"/>
    <x v="102"/>
    <x v="2"/>
    <x v="16"/>
    <x v="83"/>
    <x v="319"/>
    <x v="1069"/>
    <x v="1176"/>
    <x v="1132"/>
    <x v="1182"/>
    <x v="902"/>
    <x v="166"/>
    <x v="198"/>
    <x v="1039"/>
    <x v="166"/>
    <x v="1"/>
  </r>
  <r>
    <x v="39"/>
    <x v="0"/>
    <x v="2"/>
    <x v="3"/>
    <x v="5"/>
    <x v="0"/>
    <x v="68"/>
    <x v="76"/>
    <x v="41"/>
    <x v="34"/>
    <x v="24"/>
    <x v="1070"/>
    <x v="1177"/>
    <x v="1133"/>
    <x v="1183"/>
    <x v="224"/>
    <x v="83"/>
    <x v="146"/>
    <x v="1040"/>
    <x v="83"/>
    <x v="2"/>
  </r>
  <r>
    <x v="50"/>
    <x v="0"/>
    <x v="8"/>
    <x v="2"/>
    <x v="6"/>
    <x v="0"/>
    <x v="116"/>
    <x v="22"/>
    <x v="9"/>
    <x v="83"/>
    <x v="30"/>
    <x v="1071"/>
    <x v="1178"/>
    <x v="1134"/>
    <x v="1184"/>
    <x v="903"/>
    <x v="155"/>
    <x v="126"/>
    <x v="58"/>
    <x v="155"/>
    <x v="2"/>
  </r>
  <r>
    <x v="32"/>
    <x v="1"/>
    <x v="9"/>
    <x v="1"/>
    <x v="0"/>
    <x v="3"/>
    <x v="62"/>
    <x v="69"/>
    <x v="51"/>
    <x v="37"/>
    <x v="421"/>
    <x v="1072"/>
    <x v="1179"/>
    <x v="1135"/>
    <x v="1185"/>
    <x v="798"/>
    <x v="108"/>
    <x v="163"/>
    <x v="1041"/>
    <x v="108"/>
    <x v="1"/>
  </r>
  <r>
    <x v="10"/>
    <x v="1"/>
    <x v="4"/>
    <x v="3"/>
    <x v="6"/>
    <x v="2"/>
    <x v="88"/>
    <x v="52"/>
    <x v="46"/>
    <x v="50"/>
    <x v="176"/>
    <x v="1073"/>
    <x v="1180"/>
    <x v="1136"/>
    <x v="1186"/>
    <x v="331"/>
    <x v="105"/>
    <x v="11"/>
    <x v="1042"/>
    <x v="105"/>
    <x v="2"/>
  </r>
  <r>
    <x v="48"/>
    <x v="0"/>
    <x v="7"/>
    <x v="0"/>
    <x v="4"/>
    <x v="0"/>
    <x v="104"/>
    <x v="69"/>
    <x v="46"/>
    <x v="159"/>
    <x v="220"/>
    <x v="1074"/>
    <x v="1181"/>
    <x v="1137"/>
    <x v="1187"/>
    <x v="904"/>
    <x v="22"/>
    <x v="20"/>
    <x v="1043"/>
    <x v="22"/>
    <x v="2"/>
  </r>
  <r>
    <x v="21"/>
    <x v="0"/>
    <x v="2"/>
    <x v="4"/>
    <x v="1"/>
    <x v="2"/>
    <x v="89"/>
    <x v="55"/>
    <x v="23"/>
    <x v="48"/>
    <x v="150"/>
    <x v="1075"/>
    <x v="1182"/>
    <x v="1138"/>
    <x v="1188"/>
    <x v="828"/>
    <x v="10"/>
    <x v="41"/>
    <x v="1044"/>
    <x v="10"/>
    <x v="0"/>
  </r>
  <r>
    <x v="31"/>
    <x v="1"/>
    <x v="4"/>
    <x v="1"/>
    <x v="4"/>
    <x v="0"/>
    <x v="95"/>
    <x v="21"/>
    <x v="45"/>
    <x v="12"/>
    <x v="192"/>
    <x v="788"/>
    <x v="1183"/>
    <x v="1139"/>
    <x v="1189"/>
    <x v="315"/>
    <x v="86"/>
    <x v="34"/>
    <x v="223"/>
    <x v="86"/>
    <x v="2"/>
  </r>
  <r>
    <x v="36"/>
    <x v="1"/>
    <x v="7"/>
    <x v="2"/>
    <x v="4"/>
    <x v="1"/>
    <x v="104"/>
    <x v="36"/>
    <x v="20"/>
    <x v="63"/>
    <x v="163"/>
    <x v="1076"/>
    <x v="1184"/>
    <x v="1140"/>
    <x v="1190"/>
    <x v="471"/>
    <x v="172"/>
    <x v="195"/>
    <x v="1045"/>
    <x v="172"/>
    <x v="1"/>
  </r>
  <r>
    <x v="29"/>
    <x v="0"/>
    <x v="9"/>
    <x v="2"/>
    <x v="0"/>
    <x v="1"/>
    <x v="53"/>
    <x v="77"/>
    <x v="59"/>
    <x v="156"/>
    <x v="148"/>
    <x v="1077"/>
    <x v="1185"/>
    <x v="1141"/>
    <x v="1191"/>
    <x v="524"/>
    <x v="68"/>
    <x v="57"/>
    <x v="1046"/>
    <x v="68"/>
    <x v="2"/>
  </r>
  <r>
    <x v="22"/>
    <x v="1"/>
    <x v="0"/>
    <x v="4"/>
    <x v="0"/>
    <x v="3"/>
    <x v="19"/>
    <x v="35"/>
    <x v="60"/>
    <x v="40"/>
    <x v="242"/>
    <x v="1078"/>
    <x v="1186"/>
    <x v="1142"/>
    <x v="1192"/>
    <x v="441"/>
    <x v="28"/>
    <x v="7"/>
    <x v="754"/>
    <x v="28"/>
    <x v="0"/>
  </r>
  <r>
    <x v="57"/>
    <x v="0"/>
    <x v="6"/>
    <x v="1"/>
    <x v="2"/>
    <x v="2"/>
    <x v="97"/>
    <x v="20"/>
    <x v="50"/>
    <x v="16"/>
    <x v="71"/>
    <x v="352"/>
    <x v="1187"/>
    <x v="1143"/>
    <x v="1193"/>
    <x v="905"/>
    <x v="123"/>
    <x v="73"/>
    <x v="1047"/>
    <x v="123"/>
    <x v="0"/>
  </r>
  <r>
    <x v="23"/>
    <x v="0"/>
    <x v="2"/>
    <x v="4"/>
    <x v="2"/>
    <x v="3"/>
    <x v="48"/>
    <x v="39"/>
    <x v="76"/>
    <x v="109"/>
    <x v="207"/>
    <x v="1079"/>
    <x v="1188"/>
    <x v="1144"/>
    <x v="1194"/>
    <x v="694"/>
    <x v="158"/>
    <x v="67"/>
    <x v="274"/>
    <x v="158"/>
    <x v="1"/>
  </r>
  <r>
    <x v="36"/>
    <x v="1"/>
    <x v="0"/>
    <x v="1"/>
    <x v="3"/>
    <x v="3"/>
    <x v="56"/>
    <x v="45"/>
    <x v="44"/>
    <x v="46"/>
    <x v="127"/>
    <x v="1080"/>
    <x v="1189"/>
    <x v="1145"/>
    <x v="1195"/>
    <x v="906"/>
    <x v="101"/>
    <x v="114"/>
    <x v="1048"/>
    <x v="101"/>
    <x v="1"/>
  </r>
  <r>
    <x v="12"/>
    <x v="1"/>
    <x v="0"/>
    <x v="0"/>
    <x v="6"/>
    <x v="3"/>
    <x v="79"/>
    <x v="61"/>
    <x v="73"/>
    <x v="131"/>
    <x v="221"/>
    <x v="1081"/>
    <x v="1190"/>
    <x v="1146"/>
    <x v="1196"/>
    <x v="907"/>
    <x v="38"/>
    <x v="67"/>
    <x v="1049"/>
    <x v="38"/>
    <x v="0"/>
  </r>
  <r>
    <x v="9"/>
    <x v="0"/>
    <x v="9"/>
    <x v="1"/>
    <x v="2"/>
    <x v="3"/>
    <x v="65"/>
    <x v="3"/>
    <x v="53"/>
    <x v="7"/>
    <x v="298"/>
    <x v="1082"/>
    <x v="1191"/>
    <x v="1147"/>
    <x v="1197"/>
    <x v="359"/>
    <x v="173"/>
    <x v="119"/>
    <x v="1050"/>
    <x v="173"/>
    <x v="0"/>
  </r>
  <r>
    <x v="14"/>
    <x v="1"/>
    <x v="0"/>
    <x v="1"/>
    <x v="5"/>
    <x v="3"/>
    <x v="53"/>
    <x v="17"/>
    <x v="18"/>
    <x v="123"/>
    <x v="333"/>
    <x v="1083"/>
    <x v="1192"/>
    <x v="1148"/>
    <x v="1198"/>
    <x v="908"/>
    <x v="103"/>
    <x v="33"/>
    <x v="1051"/>
    <x v="103"/>
    <x v="2"/>
  </r>
  <r>
    <x v="27"/>
    <x v="0"/>
    <x v="0"/>
    <x v="2"/>
    <x v="3"/>
    <x v="1"/>
    <x v="117"/>
    <x v="71"/>
    <x v="52"/>
    <x v="74"/>
    <x v="46"/>
    <x v="1084"/>
    <x v="1193"/>
    <x v="1149"/>
    <x v="1199"/>
    <x v="832"/>
    <x v="0"/>
    <x v="74"/>
    <x v="1052"/>
    <x v="0"/>
    <x v="0"/>
  </r>
  <r>
    <x v="12"/>
    <x v="0"/>
    <x v="3"/>
    <x v="4"/>
    <x v="3"/>
    <x v="0"/>
    <x v="5"/>
    <x v="64"/>
    <x v="48"/>
    <x v="80"/>
    <x v="70"/>
    <x v="1085"/>
    <x v="1194"/>
    <x v="1150"/>
    <x v="1200"/>
    <x v="909"/>
    <x v="137"/>
    <x v="21"/>
    <x v="1053"/>
    <x v="137"/>
    <x v="0"/>
  </r>
  <r>
    <x v="10"/>
    <x v="1"/>
    <x v="7"/>
    <x v="3"/>
    <x v="1"/>
    <x v="2"/>
    <x v="84"/>
    <x v="53"/>
    <x v="34"/>
    <x v="3"/>
    <x v="208"/>
    <x v="1086"/>
    <x v="1195"/>
    <x v="1151"/>
    <x v="1201"/>
    <x v="910"/>
    <x v="183"/>
    <x v="153"/>
    <x v="1054"/>
    <x v="183"/>
    <x v="2"/>
  </r>
  <r>
    <x v="17"/>
    <x v="1"/>
    <x v="5"/>
    <x v="0"/>
    <x v="4"/>
    <x v="3"/>
    <x v="117"/>
    <x v="16"/>
    <x v="2"/>
    <x v="95"/>
    <x v="184"/>
    <x v="1087"/>
    <x v="1196"/>
    <x v="1152"/>
    <x v="1202"/>
    <x v="701"/>
    <x v="160"/>
    <x v="89"/>
    <x v="1055"/>
    <x v="160"/>
    <x v="1"/>
  </r>
  <r>
    <x v="35"/>
    <x v="1"/>
    <x v="9"/>
    <x v="3"/>
    <x v="0"/>
    <x v="2"/>
    <x v="46"/>
    <x v="33"/>
    <x v="31"/>
    <x v="101"/>
    <x v="222"/>
    <x v="1088"/>
    <x v="1197"/>
    <x v="14"/>
    <x v="1203"/>
    <x v="911"/>
    <x v="154"/>
    <x v="166"/>
    <x v="486"/>
    <x v="154"/>
    <x v="2"/>
  </r>
  <r>
    <x v="43"/>
    <x v="1"/>
    <x v="0"/>
    <x v="0"/>
    <x v="3"/>
    <x v="0"/>
    <x v="56"/>
    <x v="61"/>
    <x v="58"/>
    <x v="141"/>
    <x v="411"/>
    <x v="1089"/>
    <x v="1198"/>
    <x v="1153"/>
    <x v="1204"/>
    <x v="912"/>
    <x v="74"/>
    <x v="35"/>
    <x v="91"/>
    <x v="74"/>
    <x v="2"/>
  </r>
  <r>
    <x v="13"/>
    <x v="0"/>
    <x v="3"/>
    <x v="1"/>
    <x v="0"/>
    <x v="2"/>
    <x v="58"/>
    <x v="42"/>
    <x v="14"/>
    <x v="13"/>
    <x v="88"/>
    <x v="1090"/>
    <x v="1199"/>
    <x v="1154"/>
    <x v="1205"/>
    <x v="706"/>
    <x v="58"/>
    <x v="43"/>
    <x v="1056"/>
    <x v="58"/>
    <x v="2"/>
  </r>
  <r>
    <x v="59"/>
    <x v="0"/>
    <x v="9"/>
    <x v="2"/>
    <x v="0"/>
    <x v="1"/>
    <x v="16"/>
    <x v="73"/>
    <x v="66"/>
    <x v="136"/>
    <x v="372"/>
    <x v="1091"/>
    <x v="1200"/>
    <x v="1155"/>
    <x v="1206"/>
    <x v="913"/>
    <x v="162"/>
    <x v="10"/>
    <x v="788"/>
    <x v="162"/>
    <x v="0"/>
  </r>
  <r>
    <x v="26"/>
    <x v="1"/>
    <x v="2"/>
    <x v="3"/>
    <x v="3"/>
    <x v="2"/>
    <x v="48"/>
    <x v="75"/>
    <x v="0"/>
    <x v="141"/>
    <x v="104"/>
    <x v="1092"/>
    <x v="1201"/>
    <x v="1156"/>
    <x v="1207"/>
    <x v="244"/>
    <x v="18"/>
    <x v="41"/>
    <x v="325"/>
    <x v="18"/>
    <x v="2"/>
  </r>
  <r>
    <x v="18"/>
    <x v="0"/>
    <x v="4"/>
    <x v="4"/>
    <x v="6"/>
    <x v="0"/>
    <x v="1"/>
    <x v="10"/>
    <x v="85"/>
    <x v="35"/>
    <x v="265"/>
    <x v="1093"/>
    <x v="1202"/>
    <x v="1157"/>
    <x v="1208"/>
    <x v="26"/>
    <x v="9"/>
    <x v="181"/>
    <x v="1057"/>
    <x v="9"/>
    <x v="2"/>
  </r>
  <r>
    <x v="11"/>
    <x v="0"/>
    <x v="0"/>
    <x v="2"/>
    <x v="2"/>
    <x v="0"/>
    <x v="89"/>
    <x v="72"/>
    <x v="69"/>
    <x v="76"/>
    <x v="55"/>
    <x v="1057"/>
    <x v="1203"/>
    <x v="1158"/>
    <x v="1209"/>
    <x v="209"/>
    <x v="155"/>
    <x v="205"/>
    <x v="1058"/>
    <x v="155"/>
    <x v="1"/>
  </r>
  <r>
    <x v="25"/>
    <x v="1"/>
    <x v="9"/>
    <x v="2"/>
    <x v="2"/>
    <x v="3"/>
    <x v="4"/>
    <x v="22"/>
    <x v="74"/>
    <x v="102"/>
    <x v="263"/>
    <x v="1094"/>
    <x v="1204"/>
    <x v="1159"/>
    <x v="1210"/>
    <x v="748"/>
    <x v="96"/>
    <x v="46"/>
    <x v="1059"/>
    <x v="96"/>
    <x v="0"/>
  </r>
  <r>
    <x v="25"/>
    <x v="0"/>
    <x v="4"/>
    <x v="4"/>
    <x v="1"/>
    <x v="0"/>
    <x v="34"/>
    <x v="30"/>
    <x v="32"/>
    <x v="89"/>
    <x v="68"/>
    <x v="1095"/>
    <x v="1205"/>
    <x v="1160"/>
    <x v="1211"/>
    <x v="914"/>
    <x v="144"/>
    <x v="145"/>
    <x v="994"/>
    <x v="144"/>
    <x v="0"/>
  </r>
  <r>
    <x v="2"/>
    <x v="1"/>
    <x v="0"/>
    <x v="0"/>
    <x v="5"/>
    <x v="2"/>
    <x v="106"/>
    <x v="43"/>
    <x v="47"/>
    <x v="72"/>
    <x v="200"/>
    <x v="1096"/>
    <x v="1206"/>
    <x v="1161"/>
    <x v="1212"/>
    <x v="867"/>
    <x v="51"/>
    <x v="117"/>
    <x v="45"/>
    <x v="51"/>
    <x v="2"/>
  </r>
  <r>
    <x v="34"/>
    <x v="1"/>
    <x v="7"/>
    <x v="0"/>
    <x v="2"/>
    <x v="2"/>
    <x v="64"/>
    <x v="42"/>
    <x v="17"/>
    <x v="46"/>
    <x v="33"/>
    <x v="1097"/>
    <x v="1207"/>
    <x v="1162"/>
    <x v="1213"/>
    <x v="296"/>
    <x v="111"/>
    <x v="108"/>
    <x v="1060"/>
    <x v="111"/>
    <x v="2"/>
  </r>
  <r>
    <x v="37"/>
    <x v="0"/>
    <x v="1"/>
    <x v="2"/>
    <x v="4"/>
    <x v="2"/>
    <x v="28"/>
    <x v="23"/>
    <x v="35"/>
    <x v="116"/>
    <x v="296"/>
    <x v="1098"/>
    <x v="1208"/>
    <x v="1163"/>
    <x v="1214"/>
    <x v="159"/>
    <x v="132"/>
    <x v="144"/>
    <x v="1061"/>
    <x v="132"/>
    <x v="2"/>
  </r>
  <r>
    <x v="13"/>
    <x v="1"/>
    <x v="0"/>
    <x v="1"/>
    <x v="4"/>
    <x v="3"/>
    <x v="53"/>
    <x v="19"/>
    <x v="55"/>
    <x v="2"/>
    <x v="349"/>
    <x v="1099"/>
    <x v="1209"/>
    <x v="1164"/>
    <x v="1215"/>
    <x v="915"/>
    <x v="27"/>
    <x v="130"/>
    <x v="1062"/>
    <x v="27"/>
    <x v="2"/>
  </r>
  <r>
    <x v="26"/>
    <x v="1"/>
    <x v="6"/>
    <x v="4"/>
    <x v="1"/>
    <x v="2"/>
    <x v="18"/>
    <x v="71"/>
    <x v="63"/>
    <x v="112"/>
    <x v="47"/>
    <x v="1100"/>
    <x v="1210"/>
    <x v="1165"/>
    <x v="1216"/>
    <x v="916"/>
    <x v="142"/>
    <x v="13"/>
    <x v="1063"/>
    <x v="142"/>
    <x v="2"/>
  </r>
  <r>
    <x v="10"/>
    <x v="1"/>
    <x v="5"/>
    <x v="0"/>
    <x v="4"/>
    <x v="0"/>
    <x v="92"/>
    <x v="14"/>
    <x v="47"/>
    <x v="74"/>
    <x v="16"/>
    <x v="1101"/>
    <x v="1211"/>
    <x v="1166"/>
    <x v="1217"/>
    <x v="917"/>
    <x v="74"/>
    <x v="132"/>
    <x v="779"/>
    <x v="74"/>
    <x v="2"/>
  </r>
  <r>
    <x v="9"/>
    <x v="1"/>
    <x v="0"/>
    <x v="1"/>
    <x v="2"/>
    <x v="1"/>
    <x v="90"/>
    <x v="8"/>
    <x v="62"/>
    <x v="62"/>
    <x v="164"/>
    <x v="1102"/>
    <x v="1212"/>
    <x v="288"/>
    <x v="1218"/>
    <x v="643"/>
    <x v="128"/>
    <x v="15"/>
    <x v="1064"/>
    <x v="128"/>
    <x v="0"/>
  </r>
  <r>
    <x v="31"/>
    <x v="1"/>
    <x v="8"/>
    <x v="4"/>
    <x v="6"/>
    <x v="0"/>
    <x v="103"/>
    <x v="42"/>
    <x v="82"/>
    <x v="130"/>
    <x v="199"/>
    <x v="1103"/>
    <x v="1213"/>
    <x v="283"/>
    <x v="1219"/>
    <x v="918"/>
    <x v="27"/>
    <x v="183"/>
    <x v="1065"/>
    <x v="27"/>
    <x v="2"/>
  </r>
  <r>
    <x v="52"/>
    <x v="0"/>
    <x v="3"/>
    <x v="2"/>
    <x v="1"/>
    <x v="3"/>
    <x v="114"/>
    <x v="68"/>
    <x v="49"/>
    <x v="64"/>
    <x v="3"/>
    <x v="1104"/>
    <x v="1214"/>
    <x v="1167"/>
    <x v="1220"/>
    <x v="919"/>
    <x v="35"/>
    <x v="95"/>
    <x v="1066"/>
    <x v="35"/>
    <x v="2"/>
  </r>
  <r>
    <x v="36"/>
    <x v="0"/>
    <x v="0"/>
    <x v="0"/>
    <x v="1"/>
    <x v="3"/>
    <x v="113"/>
    <x v="27"/>
    <x v="20"/>
    <x v="122"/>
    <x v="331"/>
    <x v="1105"/>
    <x v="1215"/>
    <x v="1168"/>
    <x v="1221"/>
    <x v="425"/>
    <x v="19"/>
    <x v="55"/>
    <x v="1067"/>
    <x v="19"/>
    <x v="1"/>
  </r>
  <r>
    <x v="41"/>
    <x v="1"/>
    <x v="6"/>
    <x v="0"/>
    <x v="6"/>
    <x v="2"/>
    <x v="51"/>
    <x v="49"/>
    <x v="78"/>
    <x v="96"/>
    <x v="59"/>
    <x v="1106"/>
    <x v="1216"/>
    <x v="1169"/>
    <x v="1222"/>
    <x v="909"/>
    <x v="22"/>
    <x v="215"/>
    <x v="1068"/>
    <x v="22"/>
    <x v="2"/>
  </r>
  <r>
    <x v="36"/>
    <x v="1"/>
    <x v="5"/>
    <x v="2"/>
    <x v="3"/>
    <x v="3"/>
    <x v="109"/>
    <x v="72"/>
    <x v="51"/>
    <x v="0"/>
    <x v="312"/>
    <x v="177"/>
    <x v="1217"/>
    <x v="1170"/>
    <x v="1223"/>
    <x v="920"/>
    <x v="118"/>
    <x v="56"/>
    <x v="1069"/>
    <x v="118"/>
    <x v="1"/>
  </r>
  <r>
    <x v="13"/>
    <x v="1"/>
    <x v="7"/>
    <x v="1"/>
    <x v="5"/>
    <x v="1"/>
    <x v="0"/>
    <x v="52"/>
    <x v="57"/>
    <x v="118"/>
    <x v="196"/>
    <x v="1107"/>
    <x v="1218"/>
    <x v="1171"/>
    <x v="1224"/>
    <x v="921"/>
    <x v="134"/>
    <x v="86"/>
    <x v="1070"/>
    <x v="134"/>
    <x v="2"/>
  </r>
  <r>
    <x v="16"/>
    <x v="0"/>
    <x v="7"/>
    <x v="2"/>
    <x v="4"/>
    <x v="0"/>
    <x v="1"/>
    <x v="28"/>
    <x v="43"/>
    <x v="116"/>
    <x v="155"/>
    <x v="1108"/>
    <x v="1219"/>
    <x v="257"/>
    <x v="1225"/>
    <x v="753"/>
    <x v="14"/>
    <x v="157"/>
    <x v="1071"/>
    <x v="14"/>
    <x v="0"/>
  </r>
  <r>
    <x v="42"/>
    <x v="0"/>
    <x v="4"/>
    <x v="3"/>
    <x v="1"/>
    <x v="2"/>
    <x v="103"/>
    <x v="57"/>
    <x v="66"/>
    <x v="47"/>
    <x v="273"/>
    <x v="1109"/>
    <x v="1220"/>
    <x v="1172"/>
    <x v="1226"/>
    <x v="543"/>
    <x v="56"/>
    <x v="74"/>
    <x v="1072"/>
    <x v="56"/>
    <x v="2"/>
  </r>
  <r>
    <x v="18"/>
    <x v="0"/>
    <x v="6"/>
    <x v="3"/>
    <x v="0"/>
    <x v="1"/>
    <x v="37"/>
    <x v="23"/>
    <x v="50"/>
    <x v="49"/>
    <x v="285"/>
    <x v="1110"/>
    <x v="1221"/>
    <x v="1173"/>
    <x v="1227"/>
    <x v="129"/>
    <x v="78"/>
    <x v="153"/>
    <x v="1073"/>
    <x v="78"/>
    <x v="2"/>
  </r>
  <r>
    <x v="57"/>
    <x v="0"/>
    <x v="5"/>
    <x v="2"/>
    <x v="6"/>
    <x v="0"/>
    <x v="9"/>
    <x v="7"/>
    <x v="9"/>
    <x v="87"/>
    <x v="203"/>
    <x v="382"/>
    <x v="1222"/>
    <x v="1174"/>
    <x v="1228"/>
    <x v="922"/>
    <x v="10"/>
    <x v="82"/>
    <x v="1074"/>
    <x v="10"/>
    <x v="0"/>
  </r>
  <r>
    <x v="35"/>
    <x v="1"/>
    <x v="2"/>
    <x v="0"/>
    <x v="6"/>
    <x v="2"/>
    <x v="84"/>
    <x v="65"/>
    <x v="65"/>
    <x v="22"/>
    <x v="316"/>
    <x v="1111"/>
    <x v="1223"/>
    <x v="1175"/>
    <x v="1229"/>
    <x v="923"/>
    <x v="125"/>
    <x v="55"/>
    <x v="1075"/>
    <x v="125"/>
    <x v="2"/>
  </r>
  <r>
    <x v="34"/>
    <x v="0"/>
    <x v="2"/>
    <x v="1"/>
    <x v="3"/>
    <x v="0"/>
    <x v="77"/>
    <x v="72"/>
    <x v="80"/>
    <x v="33"/>
    <x v="259"/>
    <x v="1112"/>
    <x v="1224"/>
    <x v="1176"/>
    <x v="1230"/>
    <x v="924"/>
    <x v="120"/>
    <x v="50"/>
    <x v="1076"/>
    <x v="120"/>
    <x v="2"/>
  </r>
  <r>
    <x v="11"/>
    <x v="1"/>
    <x v="4"/>
    <x v="1"/>
    <x v="1"/>
    <x v="1"/>
    <x v="28"/>
    <x v="26"/>
    <x v="33"/>
    <x v="21"/>
    <x v="26"/>
    <x v="1113"/>
    <x v="1225"/>
    <x v="1177"/>
    <x v="1231"/>
    <x v="925"/>
    <x v="30"/>
    <x v="31"/>
    <x v="471"/>
    <x v="30"/>
    <x v="1"/>
  </r>
  <r>
    <x v="50"/>
    <x v="0"/>
    <x v="5"/>
    <x v="4"/>
    <x v="5"/>
    <x v="2"/>
    <x v="111"/>
    <x v="6"/>
    <x v="39"/>
    <x v="27"/>
    <x v="340"/>
    <x v="1114"/>
    <x v="1226"/>
    <x v="1178"/>
    <x v="1232"/>
    <x v="926"/>
    <x v="129"/>
    <x v="86"/>
    <x v="139"/>
    <x v="129"/>
    <x v="2"/>
  </r>
  <r>
    <x v="16"/>
    <x v="0"/>
    <x v="8"/>
    <x v="3"/>
    <x v="6"/>
    <x v="2"/>
    <x v="81"/>
    <x v="1"/>
    <x v="46"/>
    <x v="80"/>
    <x v="55"/>
    <x v="211"/>
    <x v="1227"/>
    <x v="1179"/>
    <x v="1233"/>
    <x v="874"/>
    <x v="43"/>
    <x v="129"/>
    <x v="486"/>
    <x v="43"/>
    <x v="0"/>
  </r>
  <r>
    <x v="9"/>
    <x v="1"/>
    <x v="8"/>
    <x v="0"/>
    <x v="5"/>
    <x v="1"/>
    <x v="63"/>
    <x v="74"/>
    <x v="20"/>
    <x v="147"/>
    <x v="217"/>
    <x v="1115"/>
    <x v="1228"/>
    <x v="1180"/>
    <x v="1234"/>
    <x v="927"/>
    <x v="112"/>
    <x v="30"/>
    <x v="1077"/>
    <x v="112"/>
    <x v="0"/>
  </r>
  <r>
    <x v="11"/>
    <x v="0"/>
    <x v="3"/>
    <x v="1"/>
    <x v="4"/>
    <x v="0"/>
    <x v="35"/>
    <x v="19"/>
    <x v="50"/>
    <x v="13"/>
    <x v="8"/>
    <x v="1116"/>
    <x v="1229"/>
    <x v="1181"/>
    <x v="1235"/>
    <x v="928"/>
    <x v="8"/>
    <x v="127"/>
    <x v="1078"/>
    <x v="8"/>
    <x v="1"/>
  </r>
  <r>
    <x v="6"/>
    <x v="1"/>
    <x v="1"/>
    <x v="4"/>
    <x v="4"/>
    <x v="0"/>
    <x v="26"/>
    <x v="33"/>
    <x v="77"/>
    <x v="88"/>
    <x v="40"/>
    <x v="550"/>
    <x v="1230"/>
    <x v="1182"/>
    <x v="1236"/>
    <x v="929"/>
    <x v="49"/>
    <x v="25"/>
    <x v="1079"/>
    <x v="49"/>
    <x v="2"/>
  </r>
  <r>
    <x v="40"/>
    <x v="1"/>
    <x v="9"/>
    <x v="2"/>
    <x v="1"/>
    <x v="1"/>
    <x v="45"/>
    <x v="76"/>
    <x v="26"/>
    <x v="78"/>
    <x v="422"/>
    <x v="1117"/>
    <x v="1231"/>
    <x v="378"/>
    <x v="1237"/>
    <x v="930"/>
    <x v="123"/>
    <x v="98"/>
    <x v="343"/>
    <x v="123"/>
    <x v="2"/>
  </r>
  <r>
    <x v="54"/>
    <x v="1"/>
    <x v="4"/>
    <x v="0"/>
    <x v="0"/>
    <x v="1"/>
    <x v="12"/>
    <x v="5"/>
    <x v="62"/>
    <x v="112"/>
    <x v="402"/>
    <x v="1118"/>
    <x v="1232"/>
    <x v="1183"/>
    <x v="1238"/>
    <x v="931"/>
    <x v="175"/>
    <x v="133"/>
    <x v="1080"/>
    <x v="175"/>
    <x v="0"/>
  </r>
  <r>
    <x v="33"/>
    <x v="1"/>
    <x v="4"/>
    <x v="4"/>
    <x v="0"/>
    <x v="3"/>
    <x v="68"/>
    <x v="6"/>
    <x v="74"/>
    <x v="157"/>
    <x v="245"/>
    <x v="1119"/>
    <x v="1233"/>
    <x v="1184"/>
    <x v="1239"/>
    <x v="670"/>
    <x v="118"/>
    <x v="48"/>
    <x v="1081"/>
    <x v="118"/>
    <x v="2"/>
  </r>
  <r>
    <x v="24"/>
    <x v="0"/>
    <x v="0"/>
    <x v="3"/>
    <x v="5"/>
    <x v="3"/>
    <x v="26"/>
    <x v="13"/>
    <x v="58"/>
    <x v="149"/>
    <x v="207"/>
    <x v="1120"/>
    <x v="1234"/>
    <x v="1185"/>
    <x v="1240"/>
    <x v="932"/>
    <x v="8"/>
    <x v="156"/>
    <x v="91"/>
    <x v="8"/>
    <x v="1"/>
  </r>
  <r>
    <x v="34"/>
    <x v="0"/>
    <x v="1"/>
    <x v="2"/>
    <x v="0"/>
    <x v="3"/>
    <x v="18"/>
    <x v="31"/>
    <x v="31"/>
    <x v="140"/>
    <x v="383"/>
    <x v="1121"/>
    <x v="1235"/>
    <x v="1186"/>
    <x v="1241"/>
    <x v="461"/>
    <x v="24"/>
    <x v="165"/>
    <x v="811"/>
    <x v="24"/>
    <x v="2"/>
  </r>
  <r>
    <x v="13"/>
    <x v="1"/>
    <x v="3"/>
    <x v="4"/>
    <x v="3"/>
    <x v="1"/>
    <x v="58"/>
    <x v="6"/>
    <x v="51"/>
    <x v="21"/>
    <x v="375"/>
    <x v="1097"/>
    <x v="1236"/>
    <x v="1187"/>
    <x v="1242"/>
    <x v="907"/>
    <x v="148"/>
    <x v="70"/>
    <x v="1082"/>
    <x v="148"/>
    <x v="2"/>
  </r>
  <r>
    <x v="49"/>
    <x v="1"/>
    <x v="1"/>
    <x v="2"/>
    <x v="6"/>
    <x v="0"/>
    <x v="77"/>
    <x v="47"/>
    <x v="63"/>
    <x v="105"/>
    <x v="249"/>
    <x v="1122"/>
    <x v="1237"/>
    <x v="1188"/>
    <x v="1243"/>
    <x v="749"/>
    <x v="99"/>
    <x v="83"/>
    <x v="1083"/>
    <x v="99"/>
    <x v="1"/>
  </r>
  <r>
    <x v="18"/>
    <x v="0"/>
    <x v="9"/>
    <x v="0"/>
    <x v="3"/>
    <x v="2"/>
    <x v="96"/>
    <x v="59"/>
    <x v="87"/>
    <x v="38"/>
    <x v="285"/>
    <x v="1123"/>
    <x v="1238"/>
    <x v="1189"/>
    <x v="1244"/>
    <x v="321"/>
    <x v="110"/>
    <x v="130"/>
    <x v="1084"/>
    <x v="110"/>
    <x v="2"/>
  </r>
  <r>
    <x v="5"/>
    <x v="1"/>
    <x v="0"/>
    <x v="3"/>
    <x v="5"/>
    <x v="0"/>
    <x v="22"/>
    <x v="63"/>
    <x v="68"/>
    <x v="73"/>
    <x v="33"/>
    <x v="1124"/>
    <x v="1239"/>
    <x v="1190"/>
    <x v="1245"/>
    <x v="225"/>
    <x v="88"/>
    <x v="66"/>
    <x v="1085"/>
    <x v="88"/>
    <x v="2"/>
  </r>
  <r>
    <x v="4"/>
    <x v="1"/>
    <x v="2"/>
    <x v="0"/>
    <x v="1"/>
    <x v="3"/>
    <x v="114"/>
    <x v="39"/>
    <x v="39"/>
    <x v="17"/>
    <x v="375"/>
    <x v="1008"/>
    <x v="1240"/>
    <x v="1191"/>
    <x v="1246"/>
    <x v="759"/>
    <x v="23"/>
    <x v="216"/>
    <x v="1086"/>
    <x v="23"/>
    <x v="1"/>
  </r>
  <r>
    <x v="49"/>
    <x v="0"/>
    <x v="0"/>
    <x v="3"/>
    <x v="3"/>
    <x v="0"/>
    <x v="50"/>
    <x v="42"/>
    <x v="51"/>
    <x v="141"/>
    <x v="93"/>
    <x v="1125"/>
    <x v="1241"/>
    <x v="1192"/>
    <x v="1247"/>
    <x v="663"/>
    <x v="80"/>
    <x v="81"/>
    <x v="1087"/>
    <x v="80"/>
    <x v="1"/>
  </r>
  <r>
    <x v="15"/>
    <x v="0"/>
    <x v="4"/>
    <x v="0"/>
    <x v="0"/>
    <x v="0"/>
    <x v="24"/>
    <x v="11"/>
    <x v="30"/>
    <x v="4"/>
    <x v="226"/>
    <x v="231"/>
    <x v="1242"/>
    <x v="1193"/>
    <x v="1248"/>
    <x v="933"/>
    <x v="118"/>
    <x v="214"/>
    <x v="1088"/>
    <x v="118"/>
    <x v="2"/>
  </r>
  <r>
    <x v="57"/>
    <x v="1"/>
    <x v="8"/>
    <x v="1"/>
    <x v="3"/>
    <x v="2"/>
    <x v="12"/>
    <x v="76"/>
    <x v="26"/>
    <x v="32"/>
    <x v="242"/>
    <x v="1126"/>
    <x v="1243"/>
    <x v="1194"/>
    <x v="1249"/>
    <x v="934"/>
    <x v="50"/>
    <x v="135"/>
    <x v="370"/>
    <x v="50"/>
    <x v="0"/>
  </r>
  <r>
    <x v="57"/>
    <x v="0"/>
    <x v="8"/>
    <x v="4"/>
    <x v="2"/>
    <x v="3"/>
    <x v="77"/>
    <x v="74"/>
    <x v="40"/>
    <x v="15"/>
    <x v="203"/>
    <x v="1127"/>
    <x v="1244"/>
    <x v="1195"/>
    <x v="1250"/>
    <x v="753"/>
    <x v="41"/>
    <x v="10"/>
    <x v="1089"/>
    <x v="41"/>
    <x v="0"/>
  </r>
  <r>
    <x v="49"/>
    <x v="1"/>
    <x v="7"/>
    <x v="3"/>
    <x v="3"/>
    <x v="0"/>
    <x v="37"/>
    <x v="58"/>
    <x v="70"/>
    <x v="28"/>
    <x v="423"/>
    <x v="1128"/>
    <x v="1245"/>
    <x v="1196"/>
    <x v="1251"/>
    <x v="935"/>
    <x v="102"/>
    <x v="63"/>
    <x v="324"/>
    <x v="102"/>
    <x v="1"/>
  </r>
  <r>
    <x v="27"/>
    <x v="0"/>
    <x v="1"/>
    <x v="0"/>
    <x v="4"/>
    <x v="3"/>
    <x v="58"/>
    <x v="30"/>
    <x v="74"/>
    <x v="97"/>
    <x v="224"/>
    <x v="425"/>
    <x v="1246"/>
    <x v="1197"/>
    <x v="1252"/>
    <x v="679"/>
    <x v="57"/>
    <x v="119"/>
    <x v="1090"/>
    <x v="57"/>
    <x v="0"/>
  </r>
  <r>
    <x v="29"/>
    <x v="0"/>
    <x v="5"/>
    <x v="1"/>
    <x v="4"/>
    <x v="3"/>
    <x v="54"/>
    <x v="5"/>
    <x v="25"/>
    <x v="75"/>
    <x v="78"/>
    <x v="575"/>
    <x v="1247"/>
    <x v="1198"/>
    <x v="1253"/>
    <x v="936"/>
    <x v="15"/>
    <x v="204"/>
    <x v="1091"/>
    <x v="15"/>
    <x v="2"/>
  </r>
  <r>
    <x v="16"/>
    <x v="1"/>
    <x v="7"/>
    <x v="1"/>
    <x v="2"/>
    <x v="1"/>
    <x v="62"/>
    <x v="70"/>
    <x v="13"/>
    <x v="138"/>
    <x v="388"/>
    <x v="1129"/>
    <x v="294"/>
    <x v="1199"/>
    <x v="1254"/>
    <x v="103"/>
    <x v="132"/>
    <x v="0"/>
    <x v="1092"/>
    <x v="132"/>
    <x v="0"/>
  </r>
  <r>
    <x v="24"/>
    <x v="0"/>
    <x v="0"/>
    <x v="0"/>
    <x v="0"/>
    <x v="2"/>
    <x v="48"/>
    <x v="76"/>
    <x v="84"/>
    <x v="124"/>
    <x v="237"/>
    <x v="1130"/>
    <x v="1248"/>
    <x v="1200"/>
    <x v="1255"/>
    <x v="617"/>
    <x v="10"/>
    <x v="136"/>
    <x v="1093"/>
    <x v="10"/>
    <x v="1"/>
  </r>
  <r>
    <x v="33"/>
    <x v="0"/>
    <x v="2"/>
    <x v="4"/>
    <x v="6"/>
    <x v="0"/>
    <x v="113"/>
    <x v="67"/>
    <x v="2"/>
    <x v="116"/>
    <x v="364"/>
    <x v="1131"/>
    <x v="1249"/>
    <x v="705"/>
    <x v="1256"/>
    <x v="430"/>
    <x v="116"/>
    <x v="92"/>
    <x v="1094"/>
    <x v="116"/>
    <x v="2"/>
  </r>
  <r>
    <x v="31"/>
    <x v="0"/>
    <x v="2"/>
    <x v="2"/>
    <x v="6"/>
    <x v="0"/>
    <x v="1"/>
    <x v="1"/>
    <x v="37"/>
    <x v="38"/>
    <x v="376"/>
    <x v="1132"/>
    <x v="1250"/>
    <x v="1201"/>
    <x v="1257"/>
    <x v="937"/>
    <x v="1"/>
    <x v="32"/>
    <x v="1095"/>
    <x v="1"/>
    <x v="2"/>
  </r>
  <r>
    <x v="1"/>
    <x v="0"/>
    <x v="1"/>
    <x v="1"/>
    <x v="4"/>
    <x v="1"/>
    <x v="54"/>
    <x v="22"/>
    <x v="21"/>
    <x v="6"/>
    <x v="138"/>
    <x v="1133"/>
    <x v="1251"/>
    <x v="1202"/>
    <x v="1258"/>
    <x v="938"/>
    <x v="8"/>
    <x v="132"/>
    <x v="221"/>
    <x v="8"/>
    <x v="1"/>
  </r>
  <r>
    <x v="14"/>
    <x v="0"/>
    <x v="3"/>
    <x v="3"/>
    <x v="6"/>
    <x v="2"/>
    <x v="95"/>
    <x v="34"/>
    <x v="34"/>
    <x v="38"/>
    <x v="83"/>
    <x v="1134"/>
    <x v="1252"/>
    <x v="469"/>
    <x v="1259"/>
    <x v="540"/>
    <x v="76"/>
    <x v="38"/>
    <x v="1096"/>
    <x v="76"/>
    <x v="2"/>
  </r>
  <r>
    <x v="59"/>
    <x v="1"/>
    <x v="3"/>
    <x v="0"/>
    <x v="1"/>
    <x v="2"/>
    <x v="6"/>
    <x v="29"/>
    <x v="80"/>
    <x v="3"/>
    <x v="21"/>
    <x v="1135"/>
    <x v="1253"/>
    <x v="1203"/>
    <x v="1260"/>
    <x v="696"/>
    <x v="100"/>
    <x v="203"/>
    <x v="114"/>
    <x v="100"/>
    <x v="0"/>
  </r>
  <r>
    <x v="45"/>
    <x v="1"/>
    <x v="4"/>
    <x v="4"/>
    <x v="6"/>
    <x v="2"/>
    <x v="10"/>
    <x v="63"/>
    <x v="48"/>
    <x v="47"/>
    <x v="275"/>
    <x v="1136"/>
    <x v="1254"/>
    <x v="1204"/>
    <x v="1261"/>
    <x v="939"/>
    <x v="127"/>
    <x v="56"/>
    <x v="1097"/>
    <x v="127"/>
    <x v="2"/>
  </r>
  <r>
    <x v="58"/>
    <x v="0"/>
    <x v="2"/>
    <x v="0"/>
    <x v="6"/>
    <x v="2"/>
    <x v="1"/>
    <x v="66"/>
    <x v="63"/>
    <x v="17"/>
    <x v="375"/>
    <x v="1137"/>
    <x v="1255"/>
    <x v="1205"/>
    <x v="1262"/>
    <x v="370"/>
    <x v="15"/>
    <x v="17"/>
    <x v="317"/>
    <x v="15"/>
    <x v="0"/>
  </r>
  <r>
    <x v="56"/>
    <x v="1"/>
    <x v="8"/>
    <x v="1"/>
    <x v="4"/>
    <x v="2"/>
    <x v="17"/>
    <x v="63"/>
    <x v="60"/>
    <x v="22"/>
    <x v="242"/>
    <x v="373"/>
    <x v="1256"/>
    <x v="1206"/>
    <x v="1263"/>
    <x v="455"/>
    <x v="43"/>
    <x v="15"/>
    <x v="1098"/>
    <x v="43"/>
    <x v="2"/>
  </r>
  <r>
    <x v="39"/>
    <x v="0"/>
    <x v="9"/>
    <x v="4"/>
    <x v="3"/>
    <x v="3"/>
    <x v="93"/>
    <x v="54"/>
    <x v="24"/>
    <x v="156"/>
    <x v="339"/>
    <x v="1138"/>
    <x v="1257"/>
    <x v="634"/>
    <x v="1264"/>
    <x v="103"/>
    <x v="98"/>
    <x v="82"/>
    <x v="1099"/>
    <x v="98"/>
    <x v="2"/>
  </r>
  <r>
    <x v="1"/>
    <x v="0"/>
    <x v="4"/>
    <x v="2"/>
    <x v="6"/>
    <x v="1"/>
    <x v="97"/>
    <x v="2"/>
    <x v="41"/>
    <x v="107"/>
    <x v="403"/>
    <x v="208"/>
    <x v="1258"/>
    <x v="1207"/>
    <x v="1265"/>
    <x v="101"/>
    <x v="146"/>
    <x v="71"/>
    <x v="1100"/>
    <x v="146"/>
    <x v="1"/>
  </r>
  <r>
    <x v="48"/>
    <x v="1"/>
    <x v="3"/>
    <x v="3"/>
    <x v="4"/>
    <x v="1"/>
    <x v="55"/>
    <x v="67"/>
    <x v="45"/>
    <x v="53"/>
    <x v="315"/>
    <x v="1139"/>
    <x v="1259"/>
    <x v="1208"/>
    <x v="1266"/>
    <x v="940"/>
    <x v="76"/>
    <x v="35"/>
    <x v="1101"/>
    <x v="76"/>
    <x v="2"/>
  </r>
  <r>
    <x v="41"/>
    <x v="1"/>
    <x v="5"/>
    <x v="2"/>
    <x v="4"/>
    <x v="3"/>
    <x v="59"/>
    <x v="52"/>
    <x v="6"/>
    <x v="120"/>
    <x v="237"/>
    <x v="1140"/>
    <x v="1260"/>
    <x v="1209"/>
    <x v="1267"/>
    <x v="941"/>
    <x v="110"/>
    <x v="21"/>
    <x v="1102"/>
    <x v="110"/>
    <x v="2"/>
  </r>
  <r>
    <x v="4"/>
    <x v="1"/>
    <x v="3"/>
    <x v="1"/>
    <x v="4"/>
    <x v="1"/>
    <x v="108"/>
    <x v="7"/>
    <x v="78"/>
    <x v="139"/>
    <x v="329"/>
    <x v="1141"/>
    <x v="1261"/>
    <x v="1210"/>
    <x v="1268"/>
    <x v="942"/>
    <x v="116"/>
    <x v="32"/>
    <x v="1103"/>
    <x v="116"/>
    <x v="1"/>
  </r>
  <r>
    <x v="10"/>
    <x v="0"/>
    <x v="6"/>
    <x v="4"/>
    <x v="2"/>
    <x v="0"/>
    <x v="50"/>
    <x v="7"/>
    <x v="47"/>
    <x v="85"/>
    <x v="74"/>
    <x v="1142"/>
    <x v="1262"/>
    <x v="1211"/>
    <x v="1269"/>
    <x v="21"/>
    <x v="49"/>
    <x v="67"/>
    <x v="486"/>
    <x v="49"/>
    <x v="2"/>
  </r>
  <r>
    <x v="4"/>
    <x v="1"/>
    <x v="1"/>
    <x v="3"/>
    <x v="5"/>
    <x v="2"/>
    <x v="99"/>
    <x v="26"/>
    <x v="75"/>
    <x v="80"/>
    <x v="122"/>
    <x v="1143"/>
    <x v="1263"/>
    <x v="1212"/>
    <x v="1270"/>
    <x v="820"/>
    <x v="147"/>
    <x v="94"/>
    <x v="490"/>
    <x v="147"/>
    <x v="1"/>
  </r>
  <r>
    <x v="57"/>
    <x v="1"/>
    <x v="1"/>
    <x v="4"/>
    <x v="0"/>
    <x v="1"/>
    <x v="38"/>
    <x v="35"/>
    <x v="89"/>
    <x v="34"/>
    <x v="188"/>
    <x v="1144"/>
    <x v="1264"/>
    <x v="1213"/>
    <x v="1271"/>
    <x v="646"/>
    <x v="16"/>
    <x v="60"/>
    <x v="631"/>
    <x v="16"/>
    <x v="0"/>
  </r>
  <r>
    <x v="23"/>
    <x v="0"/>
    <x v="4"/>
    <x v="4"/>
    <x v="6"/>
    <x v="1"/>
    <x v="8"/>
    <x v="14"/>
    <x v="57"/>
    <x v="104"/>
    <x v="230"/>
    <x v="1145"/>
    <x v="1265"/>
    <x v="1214"/>
    <x v="1272"/>
    <x v="943"/>
    <x v="41"/>
    <x v="107"/>
    <x v="994"/>
    <x v="41"/>
    <x v="1"/>
  </r>
  <r>
    <x v="55"/>
    <x v="0"/>
    <x v="3"/>
    <x v="2"/>
    <x v="3"/>
    <x v="1"/>
    <x v="109"/>
    <x v="26"/>
    <x v="26"/>
    <x v="72"/>
    <x v="243"/>
    <x v="1146"/>
    <x v="1266"/>
    <x v="1215"/>
    <x v="1273"/>
    <x v="944"/>
    <x v="43"/>
    <x v="146"/>
    <x v="1104"/>
    <x v="43"/>
    <x v="2"/>
  </r>
  <r>
    <x v="35"/>
    <x v="0"/>
    <x v="7"/>
    <x v="1"/>
    <x v="6"/>
    <x v="3"/>
    <x v="107"/>
    <x v="74"/>
    <x v="55"/>
    <x v="55"/>
    <x v="77"/>
    <x v="1147"/>
    <x v="1267"/>
    <x v="1216"/>
    <x v="1274"/>
    <x v="945"/>
    <x v="19"/>
    <x v="105"/>
    <x v="1105"/>
    <x v="19"/>
    <x v="2"/>
  </r>
  <r>
    <x v="21"/>
    <x v="0"/>
    <x v="8"/>
    <x v="3"/>
    <x v="6"/>
    <x v="1"/>
    <x v="37"/>
    <x v="74"/>
    <x v="75"/>
    <x v="77"/>
    <x v="257"/>
    <x v="1148"/>
    <x v="1268"/>
    <x v="1217"/>
    <x v="1275"/>
    <x v="684"/>
    <x v="167"/>
    <x v="46"/>
    <x v="1106"/>
    <x v="167"/>
    <x v="0"/>
  </r>
  <r>
    <x v="3"/>
    <x v="0"/>
    <x v="2"/>
    <x v="2"/>
    <x v="5"/>
    <x v="1"/>
    <x v="53"/>
    <x v="58"/>
    <x v="27"/>
    <x v="98"/>
    <x v="321"/>
    <x v="1149"/>
    <x v="1269"/>
    <x v="1218"/>
    <x v="1276"/>
    <x v="625"/>
    <x v="72"/>
    <x v="93"/>
    <x v="1107"/>
    <x v="72"/>
    <x v="0"/>
  </r>
  <r>
    <x v="17"/>
    <x v="0"/>
    <x v="7"/>
    <x v="0"/>
    <x v="0"/>
    <x v="3"/>
    <x v="60"/>
    <x v="21"/>
    <x v="7"/>
    <x v="36"/>
    <x v="300"/>
    <x v="1150"/>
    <x v="1270"/>
    <x v="1219"/>
    <x v="1277"/>
    <x v="592"/>
    <x v="120"/>
    <x v="82"/>
    <x v="87"/>
    <x v="120"/>
    <x v="1"/>
  </r>
  <r>
    <x v="32"/>
    <x v="0"/>
    <x v="0"/>
    <x v="3"/>
    <x v="2"/>
    <x v="1"/>
    <x v="37"/>
    <x v="34"/>
    <x v="41"/>
    <x v="49"/>
    <x v="382"/>
    <x v="1151"/>
    <x v="1271"/>
    <x v="1220"/>
    <x v="1278"/>
    <x v="448"/>
    <x v="145"/>
    <x v="32"/>
    <x v="1108"/>
    <x v="145"/>
    <x v="1"/>
  </r>
  <r>
    <x v="53"/>
    <x v="1"/>
    <x v="3"/>
    <x v="4"/>
    <x v="4"/>
    <x v="3"/>
    <x v="51"/>
    <x v="28"/>
    <x v="17"/>
    <x v="84"/>
    <x v="226"/>
    <x v="1152"/>
    <x v="1272"/>
    <x v="1221"/>
    <x v="1279"/>
    <x v="946"/>
    <x v="57"/>
    <x v="169"/>
    <x v="1109"/>
    <x v="57"/>
    <x v="1"/>
  </r>
  <r>
    <x v="27"/>
    <x v="1"/>
    <x v="5"/>
    <x v="2"/>
    <x v="2"/>
    <x v="2"/>
    <x v="14"/>
    <x v="6"/>
    <x v="59"/>
    <x v="139"/>
    <x v="119"/>
    <x v="1153"/>
    <x v="1273"/>
    <x v="1222"/>
    <x v="1280"/>
    <x v="631"/>
    <x v="22"/>
    <x v="217"/>
    <x v="1110"/>
    <x v="22"/>
    <x v="0"/>
  </r>
  <r>
    <x v="5"/>
    <x v="0"/>
    <x v="5"/>
    <x v="3"/>
    <x v="5"/>
    <x v="3"/>
    <x v="108"/>
    <x v="57"/>
    <x v="54"/>
    <x v="141"/>
    <x v="199"/>
    <x v="1154"/>
    <x v="1274"/>
    <x v="1223"/>
    <x v="1281"/>
    <x v="947"/>
    <x v="80"/>
    <x v="72"/>
    <x v="402"/>
    <x v="80"/>
    <x v="2"/>
  </r>
  <r>
    <x v="15"/>
    <x v="1"/>
    <x v="4"/>
    <x v="0"/>
    <x v="5"/>
    <x v="0"/>
    <x v="29"/>
    <x v="11"/>
    <x v="2"/>
    <x v="1"/>
    <x v="355"/>
    <x v="1155"/>
    <x v="1275"/>
    <x v="1224"/>
    <x v="1282"/>
    <x v="948"/>
    <x v="15"/>
    <x v="183"/>
    <x v="1111"/>
    <x v="15"/>
    <x v="2"/>
  </r>
  <r>
    <x v="1"/>
    <x v="0"/>
    <x v="4"/>
    <x v="1"/>
    <x v="6"/>
    <x v="0"/>
    <x v="47"/>
    <x v="52"/>
    <x v="35"/>
    <x v="145"/>
    <x v="419"/>
    <x v="1156"/>
    <x v="1276"/>
    <x v="1225"/>
    <x v="1283"/>
    <x v="949"/>
    <x v="30"/>
    <x v="165"/>
    <x v="1112"/>
    <x v="30"/>
    <x v="1"/>
  </r>
  <r>
    <x v="9"/>
    <x v="1"/>
    <x v="6"/>
    <x v="2"/>
    <x v="5"/>
    <x v="3"/>
    <x v="87"/>
    <x v="63"/>
    <x v="32"/>
    <x v="105"/>
    <x v="34"/>
    <x v="1157"/>
    <x v="958"/>
    <x v="1226"/>
    <x v="1284"/>
    <x v="22"/>
    <x v="124"/>
    <x v="172"/>
    <x v="713"/>
    <x v="124"/>
    <x v="0"/>
  </r>
  <r>
    <x v="33"/>
    <x v="0"/>
    <x v="8"/>
    <x v="3"/>
    <x v="2"/>
    <x v="3"/>
    <x v="3"/>
    <x v="31"/>
    <x v="87"/>
    <x v="22"/>
    <x v="143"/>
    <x v="1158"/>
    <x v="1277"/>
    <x v="1227"/>
    <x v="1285"/>
    <x v="950"/>
    <x v="18"/>
    <x v="182"/>
    <x v="1113"/>
    <x v="18"/>
    <x v="2"/>
  </r>
  <r>
    <x v="40"/>
    <x v="1"/>
    <x v="3"/>
    <x v="1"/>
    <x v="5"/>
    <x v="3"/>
    <x v="21"/>
    <x v="42"/>
    <x v="40"/>
    <x v="0"/>
    <x v="170"/>
    <x v="1159"/>
    <x v="1278"/>
    <x v="1228"/>
    <x v="1286"/>
    <x v="951"/>
    <x v="144"/>
    <x v="199"/>
    <x v="1114"/>
    <x v="144"/>
    <x v="2"/>
  </r>
  <r>
    <x v="20"/>
    <x v="1"/>
    <x v="7"/>
    <x v="1"/>
    <x v="3"/>
    <x v="3"/>
    <x v="8"/>
    <x v="24"/>
    <x v="56"/>
    <x v="124"/>
    <x v="416"/>
    <x v="1160"/>
    <x v="1279"/>
    <x v="1229"/>
    <x v="1287"/>
    <x v="952"/>
    <x v="139"/>
    <x v="93"/>
    <x v="486"/>
    <x v="139"/>
    <x v="1"/>
  </r>
  <r>
    <x v="5"/>
    <x v="1"/>
    <x v="7"/>
    <x v="2"/>
    <x v="4"/>
    <x v="2"/>
    <x v="31"/>
    <x v="20"/>
    <x v="55"/>
    <x v="148"/>
    <x v="173"/>
    <x v="1161"/>
    <x v="1280"/>
    <x v="1230"/>
    <x v="1288"/>
    <x v="953"/>
    <x v="96"/>
    <x v="178"/>
    <x v="1115"/>
    <x v="96"/>
    <x v="2"/>
  </r>
  <r>
    <x v="11"/>
    <x v="0"/>
    <x v="6"/>
    <x v="4"/>
    <x v="3"/>
    <x v="2"/>
    <x v="113"/>
    <x v="24"/>
    <x v="22"/>
    <x v="8"/>
    <x v="279"/>
    <x v="1162"/>
    <x v="1281"/>
    <x v="1231"/>
    <x v="1289"/>
    <x v="557"/>
    <x v="10"/>
    <x v="151"/>
    <x v="1116"/>
    <x v="10"/>
    <x v="1"/>
  </r>
  <r>
    <x v="29"/>
    <x v="0"/>
    <x v="8"/>
    <x v="4"/>
    <x v="2"/>
    <x v="3"/>
    <x v="106"/>
    <x v="54"/>
    <x v="3"/>
    <x v="122"/>
    <x v="137"/>
    <x v="137"/>
    <x v="1282"/>
    <x v="1232"/>
    <x v="1290"/>
    <x v="42"/>
    <x v="28"/>
    <x v="137"/>
    <x v="1117"/>
    <x v="28"/>
    <x v="2"/>
  </r>
  <r>
    <x v="52"/>
    <x v="1"/>
    <x v="7"/>
    <x v="4"/>
    <x v="5"/>
    <x v="1"/>
    <x v="14"/>
    <x v="29"/>
    <x v="84"/>
    <x v="82"/>
    <x v="209"/>
    <x v="1163"/>
    <x v="1283"/>
    <x v="1233"/>
    <x v="1291"/>
    <x v="376"/>
    <x v="138"/>
    <x v="109"/>
    <x v="1118"/>
    <x v="138"/>
    <x v="2"/>
  </r>
  <r>
    <x v="56"/>
    <x v="1"/>
    <x v="5"/>
    <x v="4"/>
    <x v="2"/>
    <x v="2"/>
    <x v="111"/>
    <x v="72"/>
    <x v="82"/>
    <x v="120"/>
    <x v="366"/>
    <x v="1164"/>
    <x v="1284"/>
    <x v="1234"/>
    <x v="1292"/>
    <x v="305"/>
    <x v="103"/>
    <x v="146"/>
    <x v="1119"/>
    <x v="103"/>
    <x v="2"/>
  </r>
  <r>
    <x v="14"/>
    <x v="0"/>
    <x v="2"/>
    <x v="4"/>
    <x v="3"/>
    <x v="3"/>
    <x v="12"/>
    <x v="5"/>
    <x v="52"/>
    <x v="10"/>
    <x v="353"/>
    <x v="130"/>
    <x v="1285"/>
    <x v="1235"/>
    <x v="1293"/>
    <x v="954"/>
    <x v="175"/>
    <x v="59"/>
    <x v="1120"/>
    <x v="175"/>
    <x v="2"/>
  </r>
  <r>
    <x v="4"/>
    <x v="1"/>
    <x v="4"/>
    <x v="1"/>
    <x v="6"/>
    <x v="0"/>
    <x v="58"/>
    <x v="24"/>
    <x v="55"/>
    <x v="7"/>
    <x v="381"/>
    <x v="1165"/>
    <x v="1286"/>
    <x v="1236"/>
    <x v="1294"/>
    <x v="955"/>
    <x v="70"/>
    <x v="161"/>
    <x v="1121"/>
    <x v="70"/>
    <x v="1"/>
  </r>
  <r>
    <x v="2"/>
    <x v="1"/>
    <x v="8"/>
    <x v="2"/>
    <x v="3"/>
    <x v="0"/>
    <x v="32"/>
    <x v="11"/>
    <x v="69"/>
    <x v="57"/>
    <x v="257"/>
    <x v="1166"/>
    <x v="1287"/>
    <x v="332"/>
    <x v="771"/>
    <x v="225"/>
    <x v="137"/>
    <x v="157"/>
    <x v="1122"/>
    <x v="137"/>
    <x v="2"/>
  </r>
  <r>
    <x v="8"/>
    <x v="1"/>
    <x v="7"/>
    <x v="4"/>
    <x v="2"/>
    <x v="2"/>
    <x v="56"/>
    <x v="39"/>
    <x v="38"/>
    <x v="36"/>
    <x v="165"/>
    <x v="1167"/>
    <x v="1288"/>
    <x v="1237"/>
    <x v="1295"/>
    <x v="234"/>
    <x v="18"/>
    <x v="61"/>
    <x v="1123"/>
    <x v="18"/>
    <x v="2"/>
  </r>
  <r>
    <x v="46"/>
    <x v="0"/>
    <x v="6"/>
    <x v="1"/>
    <x v="5"/>
    <x v="3"/>
    <x v="113"/>
    <x v="25"/>
    <x v="73"/>
    <x v="80"/>
    <x v="105"/>
    <x v="1168"/>
    <x v="1289"/>
    <x v="1238"/>
    <x v="1296"/>
    <x v="40"/>
    <x v="50"/>
    <x v="9"/>
    <x v="1124"/>
    <x v="50"/>
    <x v="1"/>
  </r>
  <r>
    <x v="41"/>
    <x v="0"/>
    <x v="5"/>
    <x v="1"/>
    <x v="2"/>
    <x v="3"/>
    <x v="62"/>
    <x v="54"/>
    <x v="2"/>
    <x v="50"/>
    <x v="419"/>
    <x v="1169"/>
    <x v="1290"/>
    <x v="1239"/>
    <x v="1297"/>
    <x v="956"/>
    <x v="68"/>
    <x v="45"/>
    <x v="302"/>
    <x v="68"/>
    <x v="2"/>
  </r>
  <r>
    <x v="37"/>
    <x v="1"/>
    <x v="6"/>
    <x v="1"/>
    <x v="0"/>
    <x v="0"/>
    <x v="113"/>
    <x v="12"/>
    <x v="39"/>
    <x v="72"/>
    <x v="239"/>
    <x v="519"/>
    <x v="1291"/>
    <x v="1240"/>
    <x v="1298"/>
    <x v="559"/>
    <x v="2"/>
    <x v="218"/>
    <x v="1125"/>
    <x v="2"/>
    <x v="2"/>
  </r>
  <r>
    <x v="50"/>
    <x v="1"/>
    <x v="3"/>
    <x v="0"/>
    <x v="0"/>
    <x v="0"/>
    <x v="39"/>
    <x v="10"/>
    <x v="85"/>
    <x v="4"/>
    <x v="155"/>
    <x v="1170"/>
    <x v="1292"/>
    <x v="1241"/>
    <x v="1299"/>
    <x v="563"/>
    <x v="111"/>
    <x v="186"/>
    <x v="1126"/>
    <x v="111"/>
    <x v="2"/>
  </r>
  <r>
    <x v="43"/>
    <x v="0"/>
    <x v="8"/>
    <x v="0"/>
    <x v="6"/>
    <x v="0"/>
    <x v="93"/>
    <x v="62"/>
    <x v="18"/>
    <x v="30"/>
    <x v="283"/>
    <x v="1171"/>
    <x v="1293"/>
    <x v="1242"/>
    <x v="1300"/>
    <x v="442"/>
    <x v="51"/>
    <x v="41"/>
    <x v="1012"/>
    <x v="51"/>
    <x v="2"/>
  </r>
  <r>
    <x v="55"/>
    <x v="0"/>
    <x v="8"/>
    <x v="4"/>
    <x v="2"/>
    <x v="0"/>
    <x v="3"/>
    <x v="79"/>
    <x v="25"/>
    <x v="145"/>
    <x v="117"/>
    <x v="1172"/>
    <x v="1294"/>
    <x v="639"/>
    <x v="1301"/>
    <x v="608"/>
    <x v="2"/>
    <x v="80"/>
    <x v="835"/>
    <x v="2"/>
    <x v="2"/>
  </r>
  <r>
    <x v="2"/>
    <x v="0"/>
    <x v="4"/>
    <x v="0"/>
    <x v="2"/>
    <x v="0"/>
    <x v="46"/>
    <x v="71"/>
    <x v="15"/>
    <x v="14"/>
    <x v="259"/>
    <x v="1173"/>
    <x v="1295"/>
    <x v="1243"/>
    <x v="1302"/>
    <x v="957"/>
    <x v="156"/>
    <x v="73"/>
    <x v="1127"/>
    <x v="156"/>
    <x v="2"/>
  </r>
  <r>
    <x v="54"/>
    <x v="0"/>
    <x v="7"/>
    <x v="1"/>
    <x v="6"/>
    <x v="2"/>
    <x v="96"/>
    <x v="20"/>
    <x v="53"/>
    <x v="71"/>
    <x v="260"/>
    <x v="1124"/>
    <x v="1296"/>
    <x v="1244"/>
    <x v="1303"/>
    <x v="775"/>
    <x v="103"/>
    <x v="200"/>
    <x v="1128"/>
    <x v="103"/>
    <x v="0"/>
  </r>
  <r>
    <x v="37"/>
    <x v="0"/>
    <x v="8"/>
    <x v="3"/>
    <x v="1"/>
    <x v="1"/>
    <x v="44"/>
    <x v="28"/>
    <x v="28"/>
    <x v="39"/>
    <x v="197"/>
    <x v="1174"/>
    <x v="1297"/>
    <x v="900"/>
    <x v="1304"/>
    <x v="941"/>
    <x v="94"/>
    <x v="133"/>
    <x v="363"/>
    <x v="94"/>
    <x v="2"/>
  </r>
  <r>
    <x v="55"/>
    <x v="0"/>
    <x v="1"/>
    <x v="2"/>
    <x v="1"/>
    <x v="2"/>
    <x v="79"/>
    <x v="51"/>
    <x v="81"/>
    <x v="43"/>
    <x v="342"/>
    <x v="47"/>
    <x v="1298"/>
    <x v="1245"/>
    <x v="1305"/>
    <x v="958"/>
    <x v="6"/>
    <x v="31"/>
    <x v="1129"/>
    <x v="6"/>
    <x v="2"/>
  </r>
  <r>
    <x v="50"/>
    <x v="1"/>
    <x v="6"/>
    <x v="4"/>
    <x v="3"/>
    <x v="0"/>
    <x v="71"/>
    <x v="34"/>
    <x v="48"/>
    <x v="7"/>
    <x v="327"/>
    <x v="1175"/>
    <x v="1299"/>
    <x v="1246"/>
    <x v="1306"/>
    <x v="959"/>
    <x v="118"/>
    <x v="179"/>
    <x v="1130"/>
    <x v="118"/>
    <x v="2"/>
  </r>
  <r>
    <x v="17"/>
    <x v="0"/>
    <x v="5"/>
    <x v="4"/>
    <x v="3"/>
    <x v="1"/>
    <x v="43"/>
    <x v="3"/>
    <x v="88"/>
    <x v="158"/>
    <x v="238"/>
    <x v="1176"/>
    <x v="1300"/>
    <x v="1247"/>
    <x v="1307"/>
    <x v="960"/>
    <x v="23"/>
    <x v="129"/>
    <x v="1131"/>
    <x v="23"/>
    <x v="1"/>
  </r>
  <r>
    <x v="26"/>
    <x v="0"/>
    <x v="6"/>
    <x v="3"/>
    <x v="5"/>
    <x v="3"/>
    <x v="11"/>
    <x v="57"/>
    <x v="36"/>
    <x v="42"/>
    <x v="158"/>
    <x v="1177"/>
    <x v="1301"/>
    <x v="1248"/>
    <x v="1308"/>
    <x v="961"/>
    <x v="19"/>
    <x v="107"/>
    <x v="1132"/>
    <x v="19"/>
    <x v="2"/>
  </r>
  <r>
    <x v="34"/>
    <x v="1"/>
    <x v="2"/>
    <x v="2"/>
    <x v="0"/>
    <x v="2"/>
    <x v="2"/>
    <x v="15"/>
    <x v="88"/>
    <x v="145"/>
    <x v="382"/>
    <x v="1178"/>
    <x v="1302"/>
    <x v="1249"/>
    <x v="1309"/>
    <x v="962"/>
    <x v="180"/>
    <x v="16"/>
    <x v="764"/>
    <x v="180"/>
    <x v="2"/>
  </r>
  <r>
    <x v="36"/>
    <x v="0"/>
    <x v="6"/>
    <x v="1"/>
    <x v="1"/>
    <x v="0"/>
    <x v="74"/>
    <x v="75"/>
    <x v="53"/>
    <x v="52"/>
    <x v="191"/>
    <x v="1179"/>
    <x v="1303"/>
    <x v="1250"/>
    <x v="1310"/>
    <x v="798"/>
    <x v="61"/>
    <x v="111"/>
    <x v="1133"/>
    <x v="61"/>
    <x v="1"/>
  </r>
  <r>
    <x v="52"/>
    <x v="0"/>
    <x v="4"/>
    <x v="3"/>
    <x v="1"/>
    <x v="2"/>
    <x v="30"/>
    <x v="56"/>
    <x v="14"/>
    <x v="74"/>
    <x v="46"/>
    <x v="1180"/>
    <x v="1304"/>
    <x v="1251"/>
    <x v="1311"/>
    <x v="963"/>
    <x v="162"/>
    <x v="22"/>
    <x v="1134"/>
    <x v="162"/>
    <x v="2"/>
  </r>
  <r>
    <x v="22"/>
    <x v="1"/>
    <x v="3"/>
    <x v="0"/>
    <x v="3"/>
    <x v="1"/>
    <x v="71"/>
    <x v="79"/>
    <x v="14"/>
    <x v="14"/>
    <x v="255"/>
    <x v="1181"/>
    <x v="1305"/>
    <x v="1252"/>
    <x v="1312"/>
    <x v="344"/>
    <x v="8"/>
    <x v="61"/>
    <x v="1135"/>
    <x v="8"/>
    <x v="0"/>
  </r>
  <r>
    <x v="0"/>
    <x v="1"/>
    <x v="4"/>
    <x v="1"/>
    <x v="0"/>
    <x v="0"/>
    <x v="35"/>
    <x v="54"/>
    <x v="11"/>
    <x v="38"/>
    <x v="424"/>
    <x v="1182"/>
    <x v="1306"/>
    <x v="1253"/>
    <x v="1313"/>
    <x v="152"/>
    <x v="124"/>
    <x v="114"/>
    <x v="1136"/>
    <x v="124"/>
    <x v="0"/>
  </r>
  <r>
    <x v="34"/>
    <x v="1"/>
    <x v="0"/>
    <x v="3"/>
    <x v="2"/>
    <x v="2"/>
    <x v="71"/>
    <x v="58"/>
    <x v="51"/>
    <x v="100"/>
    <x v="350"/>
    <x v="714"/>
    <x v="1307"/>
    <x v="1254"/>
    <x v="1314"/>
    <x v="349"/>
    <x v="15"/>
    <x v="95"/>
    <x v="1137"/>
    <x v="15"/>
    <x v="2"/>
  </r>
  <r>
    <x v="2"/>
    <x v="1"/>
    <x v="8"/>
    <x v="3"/>
    <x v="4"/>
    <x v="2"/>
    <x v="68"/>
    <x v="69"/>
    <x v="59"/>
    <x v="66"/>
    <x v="220"/>
    <x v="155"/>
    <x v="1308"/>
    <x v="1255"/>
    <x v="1315"/>
    <x v="189"/>
    <x v="16"/>
    <x v="57"/>
    <x v="1138"/>
    <x v="16"/>
    <x v="2"/>
  </r>
  <r>
    <x v="55"/>
    <x v="0"/>
    <x v="1"/>
    <x v="2"/>
    <x v="6"/>
    <x v="1"/>
    <x v="75"/>
    <x v="47"/>
    <x v="32"/>
    <x v="2"/>
    <x v="425"/>
    <x v="949"/>
    <x v="1309"/>
    <x v="1256"/>
    <x v="1316"/>
    <x v="964"/>
    <x v="20"/>
    <x v="100"/>
    <x v="1139"/>
    <x v="20"/>
    <x v="2"/>
  </r>
  <r>
    <x v="40"/>
    <x v="1"/>
    <x v="0"/>
    <x v="3"/>
    <x v="0"/>
    <x v="3"/>
    <x v="79"/>
    <x v="22"/>
    <x v="14"/>
    <x v="144"/>
    <x v="368"/>
    <x v="1183"/>
    <x v="1310"/>
    <x v="1257"/>
    <x v="1317"/>
    <x v="655"/>
    <x v="61"/>
    <x v="36"/>
    <x v="294"/>
    <x v="61"/>
    <x v="2"/>
  </r>
  <r>
    <x v="55"/>
    <x v="1"/>
    <x v="9"/>
    <x v="1"/>
    <x v="4"/>
    <x v="1"/>
    <x v="65"/>
    <x v="63"/>
    <x v="49"/>
    <x v="17"/>
    <x v="106"/>
    <x v="1184"/>
    <x v="1311"/>
    <x v="1258"/>
    <x v="1318"/>
    <x v="965"/>
    <x v="56"/>
    <x v="45"/>
    <x v="868"/>
    <x v="56"/>
    <x v="2"/>
  </r>
  <r>
    <x v="34"/>
    <x v="1"/>
    <x v="4"/>
    <x v="2"/>
    <x v="1"/>
    <x v="3"/>
    <x v="31"/>
    <x v="36"/>
    <x v="22"/>
    <x v="154"/>
    <x v="267"/>
    <x v="1185"/>
    <x v="1312"/>
    <x v="1259"/>
    <x v="512"/>
    <x v="899"/>
    <x v="124"/>
    <x v="70"/>
    <x v="1140"/>
    <x v="124"/>
    <x v="2"/>
  </r>
  <r>
    <x v="43"/>
    <x v="1"/>
    <x v="2"/>
    <x v="3"/>
    <x v="6"/>
    <x v="1"/>
    <x v="46"/>
    <x v="48"/>
    <x v="28"/>
    <x v="141"/>
    <x v="426"/>
    <x v="1186"/>
    <x v="1313"/>
    <x v="1260"/>
    <x v="1319"/>
    <x v="94"/>
    <x v="53"/>
    <x v="142"/>
    <x v="1141"/>
    <x v="53"/>
    <x v="2"/>
  </r>
  <r>
    <x v="1"/>
    <x v="1"/>
    <x v="7"/>
    <x v="4"/>
    <x v="4"/>
    <x v="3"/>
    <x v="81"/>
    <x v="55"/>
    <x v="10"/>
    <x v="43"/>
    <x v="385"/>
    <x v="1187"/>
    <x v="1314"/>
    <x v="1261"/>
    <x v="1320"/>
    <x v="966"/>
    <x v="172"/>
    <x v="36"/>
    <x v="1142"/>
    <x v="172"/>
    <x v="1"/>
  </r>
  <r>
    <x v="24"/>
    <x v="1"/>
    <x v="0"/>
    <x v="4"/>
    <x v="4"/>
    <x v="3"/>
    <x v="85"/>
    <x v="71"/>
    <x v="68"/>
    <x v="114"/>
    <x v="160"/>
    <x v="1188"/>
    <x v="1315"/>
    <x v="1262"/>
    <x v="1321"/>
    <x v="930"/>
    <x v="163"/>
    <x v="62"/>
    <x v="1143"/>
    <x v="163"/>
    <x v="1"/>
  </r>
  <r>
    <x v="21"/>
    <x v="0"/>
    <x v="6"/>
    <x v="1"/>
    <x v="1"/>
    <x v="2"/>
    <x v="27"/>
    <x v="79"/>
    <x v="43"/>
    <x v="105"/>
    <x v="82"/>
    <x v="1189"/>
    <x v="1316"/>
    <x v="1263"/>
    <x v="1322"/>
    <x v="614"/>
    <x v="133"/>
    <x v="17"/>
    <x v="1144"/>
    <x v="133"/>
    <x v="0"/>
  </r>
  <r>
    <x v="8"/>
    <x v="1"/>
    <x v="5"/>
    <x v="1"/>
    <x v="6"/>
    <x v="2"/>
    <x v="38"/>
    <x v="3"/>
    <x v="35"/>
    <x v="61"/>
    <x v="175"/>
    <x v="1190"/>
    <x v="1317"/>
    <x v="1264"/>
    <x v="1277"/>
    <x v="344"/>
    <x v="83"/>
    <x v="75"/>
    <x v="1145"/>
    <x v="83"/>
    <x v="2"/>
  </r>
  <r>
    <x v="40"/>
    <x v="0"/>
    <x v="2"/>
    <x v="0"/>
    <x v="2"/>
    <x v="1"/>
    <x v="5"/>
    <x v="57"/>
    <x v="89"/>
    <x v="14"/>
    <x v="213"/>
    <x v="1191"/>
    <x v="1318"/>
    <x v="1265"/>
    <x v="1323"/>
    <x v="967"/>
    <x v="70"/>
    <x v="163"/>
    <x v="1146"/>
    <x v="70"/>
    <x v="2"/>
  </r>
  <r>
    <x v="52"/>
    <x v="1"/>
    <x v="7"/>
    <x v="2"/>
    <x v="4"/>
    <x v="2"/>
    <x v="113"/>
    <x v="41"/>
    <x v="65"/>
    <x v="61"/>
    <x v="44"/>
    <x v="1192"/>
    <x v="1319"/>
    <x v="1266"/>
    <x v="1324"/>
    <x v="830"/>
    <x v="143"/>
    <x v="7"/>
    <x v="561"/>
    <x v="143"/>
    <x v="2"/>
  </r>
  <r>
    <x v="33"/>
    <x v="0"/>
    <x v="5"/>
    <x v="3"/>
    <x v="3"/>
    <x v="3"/>
    <x v="38"/>
    <x v="66"/>
    <x v="75"/>
    <x v="152"/>
    <x v="348"/>
    <x v="1193"/>
    <x v="1320"/>
    <x v="1267"/>
    <x v="1325"/>
    <x v="197"/>
    <x v="60"/>
    <x v="189"/>
    <x v="1147"/>
    <x v="60"/>
    <x v="2"/>
  </r>
  <r>
    <x v="59"/>
    <x v="0"/>
    <x v="0"/>
    <x v="2"/>
    <x v="2"/>
    <x v="3"/>
    <x v="101"/>
    <x v="13"/>
    <x v="52"/>
    <x v="136"/>
    <x v="352"/>
    <x v="1194"/>
    <x v="1321"/>
    <x v="1268"/>
    <x v="1326"/>
    <x v="39"/>
    <x v="81"/>
    <x v="13"/>
    <x v="1148"/>
    <x v="81"/>
    <x v="0"/>
  </r>
  <r>
    <x v="39"/>
    <x v="1"/>
    <x v="6"/>
    <x v="4"/>
    <x v="2"/>
    <x v="3"/>
    <x v="106"/>
    <x v="1"/>
    <x v="3"/>
    <x v="75"/>
    <x v="151"/>
    <x v="1195"/>
    <x v="1322"/>
    <x v="1269"/>
    <x v="1327"/>
    <x v="968"/>
    <x v="133"/>
    <x v="54"/>
    <x v="543"/>
    <x v="133"/>
    <x v="2"/>
  </r>
  <r>
    <x v="46"/>
    <x v="1"/>
    <x v="4"/>
    <x v="3"/>
    <x v="1"/>
    <x v="1"/>
    <x v="81"/>
    <x v="42"/>
    <x v="65"/>
    <x v="97"/>
    <x v="164"/>
    <x v="1196"/>
    <x v="1323"/>
    <x v="1270"/>
    <x v="1328"/>
    <x v="969"/>
    <x v="128"/>
    <x v="95"/>
    <x v="1149"/>
    <x v="128"/>
    <x v="1"/>
  </r>
  <r>
    <x v="39"/>
    <x v="1"/>
    <x v="7"/>
    <x v="1"/>
    <x v="1"/>
    <x v="2"/>
    <x v="79"/>
    <x v="77"/>
    <x v="59"/>
    <x v="1"/>
    <x v="1"/>
    <x v="1197"/>
    <x v="1324"/>
    <x v="988"/>
    <x v="1329"/>
    <x v="425"/>
    <x v="22"/>
    <x v="38"/>
    <x v="1110"/>
    <x v="22"/>
    <x v="2"/>
  </r>
  <r>
    <x v="35"/>
    <x v="1"/>
    <x v="6"/>
    <x v="1"/>
    <x v="4"/>
    <x v="2"/>
    <x v="108"/>
    <x v="47"/>
    <x v="0"/>
    <x v="25"/>
    <x v="15"/>
    <x v="1198"/>
    <x v="1325"/>
    <x v="1271"/>
    <x v="1330"/>
    <x v="504"/>
    <x v="121"/>
    <x v="134"/>
    <x v="1150"/>
    <x v="121"/>
    <x v="2"/>
  </r>
  <r>
    <x v="1"/>
    <x v="0"/>
    <x v="4"/>
    <x v="4"/>
    <x v="1"/>
    <x v="3"/>
    <x v="34"/>
    <x v="6"/>
    <x v="31"/>
    <x v="158"/>
    <x v="188"/>
    <x v="1199"/>
    <x v="1326"/>
    <x v="1272"/>
    <x v="1331"/>
    <x v="970"/>
    <x v="184"/>
    <x v="112"/>
    <x v="1151"/>
    <x v="184"/>
    <x v="1"/>
  </r>
  <r>
    <x v="12"/>
    <x v="0"/>
    <x v="4"/>
    <x v="3"/>
    <x v="3"/>
    <x v="2"/>
    <x v="106"/>
    <x v="58"/>
    <x v="87"/>
    <x v="58"/>
    <x v="387"/>
    <x v="1200"/>
    <x v="1327"/>
    <x v="1273"/>
    <x v="1332"/>
    <x v="971"/>
    <x v="95"/>
    <x v="196"/>
    <x v="348"/>
    <x v="95"/>
    <x v="0"/>
  </r>
  <r>
    <x v="39"/>
    <x v="0"/>
    <x v="4"/>
    <x v="1"/>
    <x v="6"/>
    <x v="1"/>
    <x v="17"/>
    <x v="24"/>
    <x v="35"/>
    <x v="129"/>
    <x v="51"/>
    <x v="1201"/>
    <x v="1328"/>
    <x v="1274"/>
    <x v="1333"/>
    <x v="161"/>
    <x v="33"/>
    <x v="169"/>
    <x v="1152"/>
    <x v="33"/>
    <x v="2"/>
  </r>
  <r>
    <x v="59"/>
    <x v="0"/>
    <x v="3"/>
    <x v="4"/>
    <x v="1"/>
    <x v="0"/>
    <x v="112"/>
    <x v="75"/>
    <x v="40"/>
    <x v="134"/>
    <x v="329"/>
    <x v="638"/>
    <x v="1329"/>
    <x v="1155"/>
    <x v="1334"/>
    <x v="293"/>
    <x v="123"/>
    <x v="35"/>
    <x v="314"/>
    <x v="123"/>
    <x v="0"/>
  </r>
  <r>
    <x v="57"/>
    <x v="0"/>
    <x v="6"/>
    <x v="0"/>
    <x v="1"/>
    <x v="3"/>
    <x v="44"/>
    <x v="37"/>
    <x v="44"/>
    <x v="16"/>
    <x v="125"/>
    <x v="1202"/>
    <x v="1330"/>
    <x v="1275"/>
    <x v="1335"/>
    <x v="972"/>
    <x v="25"/>
    <x v="71"/>
    <x v="1153"/>
    <x v="25"/>
    <x v="0"/>
  </r>
  <r>
    <x v="17"/>
    <x v="1"/>
    <x v="0"/>
    <x v="1"/>
    <x v="1"/>
    <x v="3"/>
    <x v="113"/>
    <x v="0"/>
    <x v="45"/>
    <x v="128"/>
    <x v="254"/>
    <x v="218"/>
    <x v="1331"/>
    <x v="1276"/>
    <x v="1336"/>
    <x v="277"/>
    <x v="147"/>
    <x v="25"/>
    <x v="1154"/>
    <x v="147"/>
    <x v="1"/>
  </r>
  <r>
    <x v="51"/>
    <x v="1"/>
    <x v="6"/>
    <x v="3"/>
    <x v="5"/>
    <x v="0"/>
    <x v="1"/>
    <x v="51"/>
    <x v="45"/>
    <x v="85"/>
    <x v="131"/>
    <x v="1203"/>
    <x v="1332"/>
    <x v="1277"/>
    <x v="1337"/>
    <x v="373"/>
    <x v="61"/>
    <x v="14"/>
    <x v="1155"/>
    <x v="61"/>
    <x v="2"/>
  </r>
  <r>
    <x v="51"/>
    <x v="1"/>
    <x v="0"/>
    <x v="1"/>
    <x v="0"/>
    <x v="3"/>
    <x v="54"/>
    <x v="47"/>
    <x v="54"/>
    <x v="16"/>
    <x v="233"/>
    <x v="1204"/>
    <x v="1333"/>
    <x v="1278"/>
    <x v="1338"/>
    <x v="973"/>
    <x v="183"/>
    <x v="57"/>
    <x v="1156"/>
    <x v="183"/>
    <x v="2"/>
  </r>
  <r>
    <x v="51"/>
    <x v="0"/>
    <x v="5"/>
    <x v="2"/>
    <x v="3"/>
    <x v="2"/>
    <x v="28"/>
    <x v="37"/>
    <x v="64"/>
    <x v="75"/>
    <x v="0"/>
    <x v="1205"/>
    <x v="1334"/>
    <x v="1279"/>
    <x v="1339"/>
    <x v="974"/>
    <x v="19"/>
    <x v="50"/>
    <x v="1157"/>
    <x v="19"/>
    <x v="2"/>
  </r>
  <r>
    <x v="12"/>
    <x v="1"/>
    <x v="5"/>
    <x v="2"/>
    <x v="0"/>
    <x v="3"/>
    <x v="13"/>
    <x v="31"/>
    <x v="26"/>
    <x v="5"/>
    <x v="257"/>
    <x v="1206"/>
    <x v="1335"/>
    <x v="1280"/>
    <x v="1340"/>
    <x v="975"/>
    <x v="55"/>
    <x v="193"/>
    <x v="1158"/>
    <x v="55"/>
    <x v="0"/>
  </r>
  <r>
    <x v="10"/>
    <x v="0"/>
    <x v="0"/>
    <x v="4"/>
    <x v="0"/>
    <x v="2"/>
    <x v="22"/>
    <x v="77"/>
    <x v="45"/>
    <x v="151"/>
    <x v="166"/>
    <x v="1207"/>
    <x v="1336"/>
    <x v="1281"/>
    <x v="1341"/>
    <x v="254"/>
    <x v="76"/>
    <x v="20"/>
    <x v="1101"/>
    <x v="76"/>
    <x v="2"/>
  </r>
  <r>
    <x v="46"/>
    <x v="0"/>
    <x v="8"/>
    <x v="0"/>
    <x v="0"/>
    <x v="2"/>
    <x v="75"/>
    <x v="75"/>
    <x v="66"/>
    <x v="37"/>
    <x v="268"/>
    <x v="1208"/>
    <x v="1337"/>
    <x v="1282"/>
    <x v="1342"/>
    <x v="976"/>
    <x v="136"/>
    <x v="83"/>
    <x v="995"/>
    <x v="136"/>
    <x v="1"/>
  </r>
  <r>
    <x v="0"/>
    <x v="0"/>
    <x v="8"/>
    <x v="2"/>
    <x v="0"/>
    <x v="2"/>
    <x v="65"/>
    <x v="48"/>
    <x v="86"/>
    <x v="154"/>
    <x v="341"/>
    <x v="332"/>
    <x v="1338"/>
    <x v="1283"/>
    <x v="1343"/>
    <x v="533"/>
    <x v="55"/>
    <x v="161"/>
    <x v="1159"/>
    <x v="55"/>
    <x v="0"/>
  </r>
  <r>
    <x v="11"/>
    <x v="0"/>
    <x v="9"/>
    <x v="1"/>
    <x v="0"/>
    <x v="3"/>
    <x v="89"/>
    <x v="70"/>
    <x v="21"/>
    <x v="11"/>
    <x v="401"/>
    <x v="1209"/>
    <x v="1339"/>
    <x v="1284"/>
    <x v="1344"/>
    <x v="246"/>
    <x v="154"/>
    <x v="16"/>
    <x v="1160"/>
    <x v="154"/>
    <x v="1"/>
  </r>
  <r>
    <x v="17"/>
    <x v="0"/>
    <x v="4"/>
    <x v="2"/>
    <x v="1"/>
    <x v="1"/>
    <x v="106"/>
    <x v="23"/>
    <x v="61"/>
    <x v="21"/>
    <x v="235"/>
    <x v="1210"/>
    <x v="1340"/>
    <x v="1285"/>
    <x v="1345"/>
    <x v="401"/>
    <x v="88"/>
    <x v="136"/>
    <x v="1161"/>
    <x v="88"/>
    <x v="1"/>
  </r>
  <r>
    <x v="55"/>
    <x v="0"/>
    <x v="4"/>
    <x v="3"/>
    <x v="3"/>
    <x v="1"/>
    <x v="51"/>
    <x v="6"/>
    <x v="58"/>
    <x v="96"/>
    <x v="132"/>
    <x v="946"/>
    <x v="1341"/>
    <x v="1286"/>
    <x v="1346"/>
    <x v="977"/>
    <x v="9"/>
    <x v="208"/>
    <x v="91"/>
    <x v="9"/>
    <x v="2"/>
  </r>
  <r>
    <x v="15"/>
    <x v="0"/>
    <x v="8"/>
    <x v="2"/>
    <x v="5"/>
    <x v="2"/>
    <x v="52"/>
    <x v="66"/>
    <x v="2"/>
    <x v="19"/>
    <x v="276"/>
    <x v="1211"/>
    <x v="1342"/>
    <x v="1287"/>
    <x v="1347"/>
    <x v="978"/>
    <x v="91"/>
    <x v="114"/>
    <x v="1162"/>
    <x v="91"/>
    <x v="2"/>
  </r>
  <r>
    <x v="53"/>
    <x v="0"/>
    <x v="8"/>
    <x v="0"/>
    <x v="3"/>
    <x v="1"/>
    <x v="87"/>
    <x v="6"/>
    <x v="82"/>
    <x v="35"/>
    <x v="314"/>
    <x v="1212"/>
    <x v="1343"/>
    <x v="1288"/>
    <x v="1348"/>
    <x v="979"/>
    <x v="14"/>
    <x v="169"/>
    <x v="1163"/>
    <x v="14"/>
    <x v="1"/>
  </r>
  <r>
    <x v="53"/>
    <x v="1"/>
    <x v="9"/>
    <x v="4"/>
    <x v="3"/>
    <x v="2"/>
    <x v="8"/>
    <x v="17"/>
    <x v="10"/>
    <x v="125"/>
    <x v="153"/>
    <x v="1213"/>
    <x v="1344"/>
    <x v="842"/>
    <x v="1349"/>
    <x v="980"/>
    <x v="42"/>
    <x v="131"/>
    <x v="1164"/>
    <x v="42"/>
    <x v="1"/>
  </r>
  <r>
    <x v="26"/>
    <x v="1"/>
    <x v="9"/>
    <x v="4"/>
    <x v="5"/>
    <x v="1"/>
    <x v="105"/>
    <x v="45"/>
    <x v="77"/>
    <x v="109"/>
    <x v="137"/>
    <x v="805"/>
    <x v="1345"/>
    <x v="1289"/>
    <x v="1350"/>
    <x v="981"/>
    <x v="27"/>
    <x v="35"/>
    <x v="1165"/>
    <x v="27"/>
    <x v="2"/>
  </r>
  <r>
    <x v="10"/>
    <x v="0"/>
    <x v="5"/>
    <x v="1"/>
    <x v="4"/>
    <x v="2"/>
    <x v="65"/>
    <x v="50"/>
    <x v="38"/>
    <x v="51"/>
    <x v="427"/>
    <x v="815"/>
    <x v="1346"/>
    <x v="1290"/>
    <x v="1351"/>
    <x v="982"/>
    <x v="27"/>
    <x v="185"/>
    <x v="583"/>
    <x v="27"/>
    <x v="2"/>
  </r>
  <r>
    <x v="33"/>
    <x v="0"/>
    <x v="7"/>
    <x v="2"/>
    <x v="1"/>
    <x v="3"/>
    <x v="49"/>
    <x v="56"/>
    <x v="62"/>
    <x v="89"/>
    <x v="273"/>
    <x v="1031"/>
    <x v="1347"/>
    <x v="1291"/>
    <x v="1352"/>
    <x v="545"/>
    <x v="99"/>
    <x v="99"/>
    <x v="1166"/>
    <x v="99"/>
    <x v="2"/>
  </r>
  <r>
    <x v="23"/>
    <x v="1"/>
    <x v="2"/>
    <x v="1"/>
    <x v="4"/>
    <x v="1"/>
    <x v="2"/>
    <x v="18"/>
    <x v="24"/>
    <x v="93"/>
    <x v="7"/>
    <x v="1150"/>
    <x v="1348"/>
    <x v="1292"/>
    <x v="1353"/>
    <x v="783"/>
    <x v="78"/>
    <x v="178"/>
    <x v="1167"/>
    <x v="78"/>
    <x v="1"/>
  </r>
  <r>
    <x v="8"/>
    <x v="1"/>
    <x v="4"/>
    <x v="4"/>
    <x v="4"/>
    <x v="0"/>
    <x v="38"/>
    <x v="35"/>
    <x v="72"/>
    <x v="34"/>
    <x v="186"/>
    <x v="902"/>
    <x v="1349"/>
    <x v="1293"/>
    <x v="439"/>
    <x v="543"/>
    <x v="16"/>
    <x v="60"/>
    <x v="1168"/>
    <x v="16"/>
    <x v="2"/>
  </r>
  <r>
    <x v="47"/>
    <x v="0"/>
    <x v="2"/>
    <x v="2"/>
    <x v="5"/>
    <x v="1"/>
    <x v="112"/>
    <x v="41"/>
    <x v="7"/>
    <x v="129"/>
    <x v="197"/>
    <x v="1214"/>
    <x v="1350"/>
    <x v="1294"/>
    <x v="1354"/>
    <x v="305"/>
    <x v="64"/>
    <x v="177"/>
    <x v="1169"/>
    <x v="64"/>
    <x v="0"/>
  </r>
  <r>
    <x v="15"/>
    <x v="1"/>
    <x v="2"/>
    <x v="3"/>
    <x v="1"/>
    <x v="2"/>
    <x v="40"/>
    <x v="72"/>
    <x v="84"/>
    <x v="50"/>
    <x v="186"/>
    <x v="1189"/>
    <x v="1351"/>
    <x v="261"/>
    <x v="1355"/>
    <x v="870"/>
    <x v="46"/>
    <x v="80"/>
    <x v="1170"/>
    <x v="46"/>
    <x v="2"/>
  </r>
  <r>
    <x v="25"/>
    <x v="1"/>
    <x v="4"/>
    <x v="2"/>
    <x v="0"/>
    <x v="1"/>
    <x v="50"/>
    <x v="24"/>
    <x v="17"/>
    <x v="79"/>
    <x v="116"/>
    <x v="1215"/>
    <x v="1352"/>
    <x v="1295"/>
    <x v="1356"/>
    <x v="983"/>
    <x v="57"/>
    <x v="177"/>
    <x v="1109"/>
    <x v="57"/>
    <x v="0"/>
  </r>
  <r>
    <x v="1"/>
    <x v="0"/>
    <x v="8"/>
    <x v="3"/>
    <x v="6"/>
    <x v="2"/>
    <x v="102"/>
    <x v="68"/>
    <x v="19"/>
    <x v="78"/>
    <x v="238"/>
    <x v="1216"/>
    <x v="1353"/>
    <x v="1296"/>
    <x v="1357"/>
    <x v="984"/>
    <x v="161"/>
    <x v="119"/>
    <x v="1171"/>
    <x v="161"/>
    <x v="1"/>
  </r>
  <r>
    <x v="0"/>
    <x v="1"/>
    <x v="7"/>
    <x v="4"/>
    <x v="1"/>
    <x v="0"/>
    <x v="29"/>
    <x v="26"/>
    <x v="51"/>
    <x v="30"/>
    <x v="428"/>
    <x v="43"/>
    <x v="1354"/>
    <x v="17"/>
    <x v="1358"/>
    <x v="65"/>
    <x v="1"/>
    <x v="143"/>
    <x v="1172"/>
    <x v="1"/>
    <x v="0"/>
  </r>
  <r>
    <x v="12"/>
    <x v="0"/>
    <x v="4"/>
    <x v="2"/>
    <x v="6"/>
    <x v="1"/>
    <x v="5"/>
    <x v="27"/>
    <x v="25"/>
    <x v="118"/>
    <x v="387"/>
    <x v="421"/>
    <x v="1355"/>
    <x v="1297"/>
    <x v="1359"/>
    <x v="454"/>
    <x v="100"/>
    <x v="145"/>
    <x v="1173"/>
    <x v="100"/>
    <x v="0"/>
  </r>
  <r>
    <x v="7"/>
    <x v="0"/>
    <x v="4"/>
    <x v="4"/>
    <x v="5"/>
    <x v="3"/>
    <x v="79"/>
    <x v="11"/>
    <x v="39"/>
    <x v="87"/>
    <x v="53"/>
    <x v="845"/>
    <x v="1356"/>
    <x v="1298"/>
    <x v="1360"/>
    <x v="46"/>
    <x v="128"/>
    <x v="109"/>
    <x v="1174"/>
    <x v="128"/>
    <x v="2"/>
  </r>
  <r>
    <x v="25"/>
    <x v="0"/>
    <x v="7"/>
    <x v="3"/>
    <x v="3"/>
    <x v="3"/>
    <x v="47"/>
    <x v="37"/>
    <x v="8"/>
    <x v="155"/>
    <x v="424"/>
    <x v="1217"/>
    <x v="1357"/>
    <x v="1299"/>
    <x v="1361"/>
    <x v="750"/>
    <x v="18"/>
    <x v="105"/>
    <x v="1175"/>
    <x v="18"/>
    <x v="0"/>
  </r>
  <r>
    <x v="13"/>
    <x v="1"/>
    <x v="2"/>
    <x v="3"/>
    <x v="6"/>
    <x v="2"/>
    <x v="39"/>
    <x v="15"/>
    <x v="42"/>
    <x v="91"/>
    <x v="316"/>
    <x v="1218"/>
    <x v="1358"/>
    <x v="1300"/>
    <x v="1362"/>
    <x v="985"/>
    <x v="47"/>
    <x v="84"/>
    <x v="1176"/>
    <x v="47"/>
    <x v="2"/>
  </r>
  <r>
    <x v="4"/>
    <x v="0"/>
    <x v="9"/>
    <x v="2"/>
    <x v="3"/>
    <x v="0"/>
    <x v="62"/>
    <x v="68"/>
    <x v="19"/>
    <x v="10"/>
    <x v="357"/>
    <x v="1219"/>
    <x v="1359"/>
    <x v="423"/>
    <x v="1363"/>
    <x v="986"/>
    <x v="0"/>
    <x v="136"/>
    <x v="1177"/>
    <x v="0"/>
    <x v="1"/>
  </r>
  <r>
    <x v="5"/>
    <x v="0"/>
    <x v="9"/>
    <x v="4"/>
    <x v="0"/>
    <x v="3"/>
    <x v="63"/>
    <x v="48"/>
    <x v="1"/>
    <x v="29"/>
    <x v="325"/>
    <x v="1220"/>
    <x v="1360"/>
    <x v="1301"/>
    <x v="1364"/>
    <x v="880"/>
    <x v="157"/>
    <x v="177"/>
    <x v="1178"/>
    <x v="157"/>
    <x v="2"/>
  </r>
  <r>
    <x v="20"/>
    <x v="1"/>
    <x v="7"/>
    <x v="1"/>
    <x v="2"/>
    <x v="0"/>
    <x v="117"/>
    <x v="68"/>
    <x v="74"/>
    <x v="94"/>
    <x v="114"/>
    <x v="1221"/>
    <x v="1361"/>
    <x v="1302"/>
    <x v="1365"/>
    <x v="987"/>
    <x v="100"/>
    <x v="38"/>
    <x v="593"/>
    <x v="100"/>
    <x v="1"/>
  </r>
  <r>
    <x v="43"/>
    <x v="1"/>
    <x v="8"/>
    <x v="3"/>
    <x v="4"/>
    <x v="3"/>
    <x v="37"/>
    <x v="43"/>
    <x v="23"/>
    <x v="43"/>
    <x v="201"/>
    <x v="1222"/>
    <x v="1362"/>
    <x v="1303"/>
    <x v="1366"/>
    <x v="988"/>
    <x v="53"/>
    <x v="33"/>
    <x v="1179"/>
    <x v="53"/>
    <x v="2"/>
  </r>
  <r>
    <x v="40"/>
    <x v="1"/>
    <x v="8"/>
    <x v="4"/>
    <x v="3"/>
    <x v="2"/>
    <x v="98"/>
    <x v="2"/>
    <x v="53"/>
    <x v="127"/>
    <x v="167"/>
    <x v="1223"/>
    <x v="1363"/>
    <x v="1304"/>
    <x v="1367"/>
    <x v="989"/>
    <x v="185"/>
    <x v="96"/>
    <x v="1180"/>
    <x v="185"/>
    <x v="2"/>
  </r>
  <r>
    <x v="33"/>
    <x v="1"/>
    <x v="8"/>
    <x v="3"/>
    <x v="5"/>
    <x v="0"/>
    <x v="15"/>
    <x v="63"/>
    <x v="36"/>
    <x v="93"/>
    <x v="210"/>
    <x v="1224"/>
    <x v="1364"/>
    <x v="1305"/>
    <x v="1368"/>
    <x v="82"/>
    <x v="111"/>
    <x v="99"/>
    <x v="1181"/>
    <x v="111"/>
    <x v="2"/>
  </r>
  <r>
    <x v="46"/>
    <x v="1"/>
    <x v="0"/>
    <x v="4"/>
    <x v="2"/>
    <x v="2"/>
    <x v="90"/>
    <x v="77"/>
    <x v="5"/>
    <x v="30"/>
    <x v="87"/>
    <x v="1225"/>
    <x v="1365"/>
    <x v="1306"/>
    <x v="1369"/>
    <x v="990"/>
    <x v="110"/>
    <x v="150"/>
    <x v="1182"/>
    <x v="110"/>
    <x v="1"/>
  </r>
  <r>
    <x v="36"/>
    <x v="0"/>
    <x v="7"/>
    <x v="1"/>
    <x v="5"/>
    <x v="2"/>
    <x v="37"/>
    <x v="13"/>
    <x v="26"/>
    <x v="96"/>
    <x v="299"/>
    <x v="1226"/>
    <x v="1366"/>
    <x v="1307"/>
    <x v="1370"/>
    <x v="734"/>
    <x v="146"/>
    <x v="207"/>
    <x v="138"/>
    <x v="146"/>
    <x v="1"/>
  </r>
  <r>
    <x v="11"/>
    <x v="0"/>
    <x v="7"/>
    <x v="4"/>
    <x v="6"/>
    <x v="1"/>
    <x v="98"/>
    <x v="77"/>
    <x v="81"/>
    <x v="136"/>
    <x v="222"/>
    <x v="1071"/>
    <x v="1367"/>
    <x v="1308"/>
    <x v="1371"/>
    <x v="991"/>
    <x v="133"/>
    <x v="79"/>
    <x v="705"/>
    <x v="133"/>
    <x v="1"/>
  </r>
  <r>
    <x v="59"/>
    <x v="0"/>
    <x v="7"/>
    <x v="2"/>
    <x v="6"/>
    <x v="0"/>
    <x v="112"/>
    <x v="69"/>
    <x v="16"/>
    <x v="98"/>
    <x v="91"/>
    <x v="1227"/>
    <x v="1368"/>
    <x v="1309"/>
    <x v="1372"/>
    <x v="992"/>
    <x v="49"/>
    <x v="156"/>
    <x v="1183"/>
    <x v="49"/>
    <x v="0"/>
  </r>
  <r>
    <x v="56"/>
    <x v="1"/>
    <x v="2"/>
    <x v="1"/>
    <x v="0"/>
    <x v="3"/>
    <x v="46"/>
    <x v="62"/>
    <x v="75"/>
    <x v="7"/>
    <x v="148"/>
    <x v="589"/>
    <x v="1369"/>
    <x v="1310"/>
    <x v="1373"/>
    <x v="319"/>
    <x v="102"/>
    <x v="11"/>
    <x v="1184"/>
    <x v="102"/>
    <x v="2"/>
  </r>
  <r>
    <x v="46"/>
    <x v="0"/>
    <x v="0"/>
    <x v="4"/>
    <x v="6"/>
    <x v="0"/>
    <x v="98"/>
    <x v="53"/>
    <x v="43"/>
    <x v="143"/>
    <x v="404"/>
    <x v="1228"/>
    <x v="1370"/>
    <x v="1311"/>
    <x v="1374"/>
    <x v="993"/>
    <x v="16"/>
    <x v="2"/>
    <x v="1185"/>
    <x v="16"/>
    <x v="1"/>
  </r>
  <r>
    <x v="50"/>
    <x v="0"/>
    <x v="7"/>
    <x v="4"/>
    <x v="4"/>
    <x v="3"/>
    <x v="55"/>
    <x v="14"/>
    <x v="19"/>
    <x v="26"/>
    <x v="185"/>
    <x v="1229"/>
    <x v="1371"/>
    <x v="1312"/>
    <x v="1375"/>
    <x v="805"/>
    <x v="88"/>
    <x v="70"/>
    <x v="269"/>
    <x v="88"/>
    <x v="2"/>
  </r>
  <r>
    <x v="34"/>
    <x v="0"/>
    <x v="7"/>
    <x v="0"/>
    <x v="1"/>
    <x v="1"/>
    <x v="89"/>
    <x v="71"/>
    <x v="56"/>
    <x v="132"/>
    <x v="22"/>
    <x v="1230"/>
    <x v="1372"/>
    <x v="1313"/>
    <x v="1376"/>
    <x v="994"/>
    <x v="185"/>
    <x v="137"/>
    <x v="1186"/>
    <x v="185"/>
    <x v="2"/>
  </r>
  <r>
    <x v="24"/>
    <x v="0"/>
    <x v="6"/>
    <x v="2"/>
    <x v="4"/>
    <x v="1"/>
    <x v="44"/>
    <x v="9"/>
    <x v="44"/>
    <x v="88"/>
    <x v="429"/>
    <x v="1231"/>
    <x v="1373"/>
    <x v="1314"/>
    <x v="1377"/>
    <x v="381"/>
    <x v="57"/>
    <x v="92"/>
    <x v="1187"/>
    <x v="57"/>
    <x v="1"/>
  </r>
  <r>
    <x v="23"/>
    <x v="1"/>
    <x v="9"/>
    <x v="4"/>
    <x v="3"/>
    <x v="1"/>
    <x v="28"/>
    <x v="22"/>
    <x v="88"/>
    <x v="38"/>
    <x v="392"/>
    <x v="1232"/>
    <x v="1374"/>
    <x v="1315"/>
    <x v="1378"/>
    <x v="195"/>
    <x v="60"/>
    <x v="177"/>
    <x v="1188"/>
    <x v="60"/>
    <x v="1"/>
  </r>
  <r>
    <x v="11"/>
    <x v="1"/>
    <x v="2"/>
    <x v="2"/>
    <x v="5"/>
    <x v="1"/>
    <x v="58"/>
    <x v="46"/>
    <x v="58"/>
    <x v="2"/>
    <x v="150"/>
    <x v="440"/>
    <x v="1375"/>
    <x v="1316"/>
    <x v="1379"/>
    <x v="995"/>
    <x v="139"/>
    <x v="33"/>
    <x v="91"/>
    <x v="139"/>
    <x v="1"/>
  </r>
  <r>
    <x v="38"/>
    <x v="1"/>
    <x v="5"/>
    <x v="0"/>
    <x v="1"/>
    <x v="3"/>
    <x v="21"/>
    <x v="65"/>
    <x v="85"/>
    <x v="119"/>
    <x v="5"/>
    <x v="1233"/>
    <x v="1376"/>
    <x v="1317"/>
    <x v="1380"/>
    <x v="996"/>
    <x v="71"/>
    <x v="148"/>
    <x v="1189"/>
    <x v="71"/>
    <x v="2"/>
  </r>
  <r>
    <x v="7"/>
    <x v="1"/>
    <x v="2"/>
    <x v="0"/>
    <x v="0"/>
    <x v="2"/>
    <x v="62"/>
    <x v="60"/>
    <x v="49"/>
    <x v="145"/>
    <x v="113"/>
    <x v="1234"/>
    <x v="1377"/>
    <x v="1318"/>
    <x v="1381"/>
    <x v="997"/>
    <x v="147"/>
    <x v="176"/>
    <x v="1190"/>
    <x v="147"/>
    <x v="2"/>
  </r>
  <r>
    <x v="5"/>
    <x v="0"/>
    <x v="5"/>
    <x v="2"/>
    <x v="6"/>
    <x v="2"/>
    <x v="39"/>
    <x v="8"/>
    <x v="40"/>
    <x v="89"/>
    <x v="54"/>
    <x v="1235"/>
    <x v="1378"/>
    <x v="1319"/>
    <x v="1382"/>
    <x v="998"/>
    <x v="79"/>
    <x v="72"/>
    <x v="1191"/>
    <x v="79"/>
    <x v="2"/>
  </r>
  <r>
    <x v="7"/>
    <x v="1"/>
    <x v="4"/>
    <x v="3"/>
    <x v="1"/>
    <x v="1"/>
    <x v="66"/>
    <x v="10"/>
    <x v="41"/>
    <x v="113"/>
    <x v="132"/>
    <x v="747"/>
    <x v="1379"/>
    <x v="1320"/>
    <x v="1383"/>
    <x v="843"/>
    <x v="173"/>
    <x v="134"/>
    <x v="872"/>
    <x v="173"/>
    <x v="2"/>
  </r>
  <r>
    <x v="26"/>
    <x v="0"/>
    <x v="8"/>
    <x v="0"/>
    <x v="1"/>
    <x v="1"/>
    <x v="18"/>
    <x v="27"/>
    <x v="41"/>
    <x v="151"/>
    <x v="281"/>
    <x v="1236"/>
    <x v="1380"/>
    <x v="1321"/>
    <x v="1384"/>
    <x v="999"/>
    <x v="44"/>
    <x v="56"/>
    <x v="1192"/>
    <x v="44"/>
    <x v="2"/>
  </r>
  <r>
    <x v="50"/>
    <x v="0"/>
    <x v="3"/>
    <x v="0"/>
    <x v="4"/>
    <x v="2"/>
    <x v="77"/>
    <x v="34"/>
    <x v="78"/>
    <x v="105"/>
    <x v="200"/>
    <x v="1237"/>
    <x v="1381"/>
    <x v="1322"/>
    <x v="1385"/>
    <x v="1000"/>
    <x v="18"/>
    <x v="213"/>
    <x v="1193"/>
    <x v="18"/>
    <x v="2"/>
  </r>
  <r>
    <x v="44"/>
    <x v="0"/>
    <x v="2"/>
    <x v="2"/>
    <x v="2"/>
    <x v="3"/>
    <x v="88"/>
    <x v="78"/>
    <x v="18"/>
    <x v="11"/>
    <x v="12"/>
    <x v="1238"/>
    <x v="1382"/>
    <x v="1323"/>
    <x v="1386"/>
    <x v="300"/>
    <x v="14"/>
    <x v="73"/>
    <x v="1194"/>
    <x v="14"/>
    <x v="2"/>
  </r>
  <r>
    <x v="39"/>
    <x v="0"/>
    <x v="5"/>
    <x v="2"/>
    <x v="5"/>
    <x v="3"/>
    <x v="108"/>
    <x v="29"/>
    <x v="2"/>
    <x v="130"/>
    <x v="9"/>
    <x v="1239"/>
    <x v="1383"/>
    <x v="1324"/>
    <x v="1387"/>
    <x v="1001"/>
    <x v="186"/>
    <x v="81"/>
    <x v="1195"/>
    <x v="186"/>
    <x v="2"/>
  </r>
  <r>
    <x v="16"/>
    <x v="1"/>
    <x v="9"/>
    <x v="0"/>
    <x v="0"/>
    <x v="2"/>
    <x v="18"/>
    <x v="26"/>
    <x v="28"/>
    <x v="142"/>
    <x v="264"/>
    <x v="1240"/>
    <x v="1384"/>
    <x v="1325"/>
    <x v="1388"/>
    <x v="158"/>
    <x v="66"/>
    <x v="107"/>
    <x v="1196"/>
    <x v="66"/>
    <x v="0"/>
  </r>
  <r>
    <x v="3"/>
    <x v="0"/>
    <x v="9"/>
    <x v="1"/>
    <x v="0"/>
    <x v="3"/>
    <x v="19"/>
    <x v="33"/>
    <x v="64"/>
    <x v="18"/>
    <x v="54"/>
    <x v="1241"/>
    <x v="1385"/>
    <x v="1326"/>
    <x v="1389"/>
    <x v="1002"/>
    <x v="136"/>
    <x v="102"/>
    <x v="1197"/>
    <x v="136"/>
    <x v="0"/>
  </r>
  <r>
    <x v="54"/>
    <x v="1"/>
    <x v="7"/>
    <x v="1"/>
    <x v="6"/>
    <x v="0"/>
    <x v="58"/>
    <x v="41"/>
    <x v="50"/>
    <x v="55"/>
    <x v="351"/>
    <x v="1242"/>
    <x v="1386"/>
    <x v="1327"/>
    <x v="1390"/>
    <x v="1003"/>
    <x v="35"/>
    <x v="56"/>
    <x v="1198"/>
    <x v="35"/>
    <x v="0"/>
  </r>
  <r>
    <x v="28"/>
    <x v="1"/>
    <x v="2"/>
    <x v="4"/>
    <x v="3"/>
    <x v="3"/>
    <x v="54"/>
    <x v="19"/>
    <x v="6"/>
    <x v="87"/>
    <x v="350"/>
    <x v="1243"/>
    <x v="1387"/>
    <x v="1328"/>
    <x v="1391"/>
    <x v="1004"/>
    <x v="162"/>
    <x v="65"/>
    <x v="139"/>
    <x v="162"/>
    <x v="0"/>
  </r>
  <r>
    <x v="41"/>
    <x v="0"/>
    <x v="1"/>
    <x v="2"/>
    <x v="3"/>
    <x v="1"/>
    <x v="4"/>
    <x v="33"/>
    <x v="60"/>
    <x v="11"/>
    <x v="377"/>
    <x v="1176"/>
    <x v="1388"/>
    <x v="1329"/>
    <x v="1392"/>
    <x v="213"/>
    <x v="174"/>
    <x v="219"/>
    <x v="1199"/>
    <x v="174"/>
    <x v="2"/>
  </r>
  <r>
    <x v="35"/>
    <x v="1"/>
    <x v="9"/>
    <x v="1"/>
    <x v="0"/>
    <x v="3"/>
    <x v="85"/>
    <x v="72"/>
    <x v="40"/>
    <x v="32"/>
    <x v="341"/>
    <x v="633"/>
    <x v="1389"/>
    <x v="1330"/>
    <x v="1393"/>
    <x v="1005"/>
    <x v="82"/>
    <x v="173"/>
    <x v="1200"/>
    <x v="82"/>
    <x v="2"/>
  </r>
  <r>
    <x v="36"/>
    <x v="1"/>
    <x v="9"/>
    <x v="3"/>
    <x v="3"/>
    <x v="3"/>
    <x v="104"/>
    <x v="70"/>
    <x v="55"/>
    <x v="126"/>
    <x v="88"/>
    <x v="1244"/>
    <x v="1390"/>
    <x v="1331"/>
    <x v="1394"/>
    <x v="1006"/>
    <x v="118"/>
    <x v="39"/>
    <x v="1201"/>
    <x v="118"/>
    <x v="1"/>
  </r>
  <r>
    <x v="22"/>
    <x v="1"/>
    <x v="3"/>
    <x v="0"/>
    <x v="4"/>
    <x v="0"/>
    <x v="85"/>
    <x v="36"/>
    <x v="62"/>
    <x v="49"/>
    <x v="78"/>
    <x v="1245"/>
    <x v="1391"/>
    <x v="1332"/>
    <x v="1395"/>
    <x v="1007"/>
    <x v="10"/>
    <x v="208"/>
    <x v="1202"/>
    <x v="10"/>
    <x v="0"/>
  </r>
  <r>
    <x v="25"/>
    <x v="1"/>
    <x v="3"/>
    <x v="0"/>
    <x v="6"/>
    <x v="1"/>
    <x v="16"/>
    <x v="68"/>
    <x v="46"/>
    <x v="154"/>
    <x v="233"/>
    <x v="1246"/>
    <x v="1392"/>
    <x v="1333"/>
    <x v="1396"/>
    <x v="701"/>
    <x v="61"/>
    <x v="19"/>
    <x v="1203"/>
    <x v="61"/>
    <x v="0"/>
  </r>
  <r>
    <x v="5"/>
    <x v="0"/>
    <x v="9"/>
    <x v="3"/>
    <x v="2"/>
    <x v="2"/>
    <x v="7"/>
    <x v="6"/>
    <x v="46"/>
    <x v="78"/>
    <x v="133"/>
    <x v="704"/>
    <x v="1393"/>
    <x v="1334"/>
    <x v="1397"/>
    <x v="1008"/>
    <x v="53"/>
    <x v="154"/>
    <x v="883"/>
    <x v="53"/>
    <x v="2"/>
  </r>
  <r>
    <x v="2"/>
    <x v="1"/>
    <x v="8"/>
    <x v="0"/>
    <x v="2"/>
    <x v="0"/>
    <x v="53"/>
    <x v="67"/>
    <x v="86"/>
    <x v="72"/>
    <x v="233"/>
    <x v="1247"/>
    <x v="1394"/>
    <x v="1335"/>
    <x v="1398"/>
    <x v="1009"/>
    <x v="57"/>
    <x v="118"/>
    <x v="1204"/>
    <x v="57"/>
    <x v="2"/>
  </r>
  <r>
    <x v="39"/>
    <x v="1"/>
    <x v="8"/>
    <x v="1"/>
    <x v="0"/>
    <x v="0"/>
    <x v="49"/>
    <x v="70"/>
    <x v="48"/>
    <x v="5"/>
    <x v="210"/>
    <x v="1248"/>
    <x v="1395"/>
    <x v="1336"/>
    <x v="1399"/>
    <x v="1010"/>
    <x v="123"/>
    <x v="219"/>
    <x v="1205"/>
    <x v="123"/>
    <x v="2"/>
  </r>
  <r>
    <x v="42"/>
    <x v="0"/>
    <x v="8"/>
    <x v="2"/>
    <x v="3"/>
    <x v="2"/>
    <x v="81"/>
    <x v="27"/>
    <x v="42"/>
    <x v="57"/>
    <x v="197"/>
    <x v="1249"/>
    <x v="1396"/>
    <x v="1337"/>
    <x v="1400"/>
    <x v="695"/>
    <x v="110"/>
    <x v="65"/>
    <x v="1206"/>
    <x v="110"/>
    <x v="2"/>
  </r>
  <r>
    <x v="51"/>
    <x v="1"/>
    <x v="5"/>
    <x v="3"/>
    <x v="3"/>
    <x v="3"/>
    <x v="104"/>
    <x v="14"/>
    <x v="48"/>
    <x v="148"/>
    <x v="430"/>
    <x v="1250"/>
    <x v="1397"/>
    <x v="1338"/>
    <x v="1401"/>
    <x v="1011"/>
    <x v="70"/>
    <x v="210"/>
    <x v="1207"/>
    <x v="70"/>
    <x v="2"/>
  </r>
  <r>
    <x v="12"/>
    <x v="0"/>
    <x v="9"/>
    <x v="1"/>
    <x v="3"/>
    <x v="0"/>
    <x v="29"/>
    <x v="61"/>
    <x v="59"/>
    <x v="103"/>
    <x v="230"/>
    <x v="1251"/>
    <x v="880"/>
    <x v="1339"/>
    <x v="1402"/>
    <x v="95"/>
    <x v="123"/>
    <x v="25"/>
    <x v="1208"/>
    <x v="123"/>
    <x v="0"/>
  </r>
  <r>
    <x v="6"/>
    <x v="0"/>
    <x v="7"/>
    <x v="2"/>
    <x v="3"/>
    <x v="2"/>
    <x v="12"/>
    <x v="43"/>
    <x v="39"/>
    <x v="77"/>
    <x v="243"/>
    <x v="1252"/>
    <x v="1398"/>
    <x v="1340"/>
    <x v="1403"/>
    <x v="372"/>
    <x v="16"/>
    <x v="148"/>
    <x v="237"/>
    <x v="16"/>
    <x v="2"/>
  </r>
  <r>
    <x v="4"/>
    <x v="1"/>
    <x v="9"/>
    <x v="3"/>
    <x v="5"/>
    <x v="1"/>
    <x v="117"/>
    <x v="72"/>
    <x v="9"/>
    <x v="105"/>
    <x v="427"/>
    <x v="1253"/>
    <x v="1399"/>
    <x v="1341"/>
    <x v="1404"/>
    <x v="1012"/>
    <x v="70"/>
    <x v="220"/>
    <x v="355"/>
    <x v="70"/>
    <x v="1"/>
  </r>
  <r>
    <x v="14"/>
    <x v="0"/>
    <x v="4"/>
    <x v="1"/>
    <x v="2"/>
    <x v="3"/>
    <x v="102"/>
    <x v="44"/>
    <x v="66"/>
    <x v="81"/>
    <x v="198"/>
    <x v="840"/>
    <x v="1400"/>
    <x v="1342"/>
    <x v="1405"/>
    <x v="502"/>
    <x v="126"/>
    <x v="165"/>
    <x v="721"/>
    <x v="126"/>
    <x v="2"/>
  </r>
  <r>
    <x v="37"/>
    <x v="0"/>
    <x v="4"/>
    <x v="2"/>
    <x v="3"/>
    <x v="3"/>
    <x v="35"/>
    <x v="11"/>
    <x v="58"/>
    <x v="133"/>
    <x v="17"/>
    <x v="1254"/>
    <x v="1401"/>
    <x v="1343"/>
    <x v="1406"/>
    <x v="120"/>
    <x v="86"/>
    <x v="124"/>
    <x v="91"/>
    <x v="86"/>
    <x v="2"/>
  </r>
  <r>
    <x v="55"/>
    <x v="1"/>
    <x v="1"/>
    <x v="4"/>
    <x v="5"/>
    <x v="3"/>
    <x v="62"/>
    <x v="52"/>
    <x v="34"/>
    <x v="107"/>
    <x v="142"/>
    <x v="1255"/>
    <x v="1402"/>
    <x v="1344"/>
    <x v="1407"/>
    <x v="495"/>
    <x v="106"/>
    <x v="55"/>
    <x v="1209"/>
    <x v="106"/>
    <x v="2"/>
  </r>
  <r>
    <x v="15"/>
    <x v="1"/>
    <x v="7"/>
    <x v="2"/>
    <x v="3"/>
    <x v="0"/>
    <x v="8"/>
    <x v="9"/>
    <x v="38"/>
    <x v="117"/>
    <x v="431"/>
    <x v="76"/>
    <x v="1403"/>
    <x v="1345"/>
    <x v="1408"/>
    <x v="727"/>
    <x v="68"/>
    <x v="192"/>
    <x v="1210"/>
    <x v="68"/>
    <x v="2"/>
  </r>
  <r>
    <x v="35"/>
    <x v="1"/>
    <x v="6"/>
    <x v="1"/>
    <x v="4"/>
    <x v="3"/>
    <x v="83"/>
    <x v="22"/>
    <x v="9"/>
    <x v="131"/>
    <x v="265"/>
    <x v="1256"/>
    <x v="1404"/>
    <x v="1346"/>
    <x v="1409"/>
    <x v="1013"/>
    <x v="143"/>
    <x v="94"/>
    <x v="1211"/>
    <x v="143"/>
    <x v="2"/>
  </r>
  <r>
    <x v="14"/>
    <x v="1"/>
    <x v="7"/>
    <x v="4"/>
    <x v="6"/>
    <x v="1"/>
    <x v="42"/>
    <x v="17"/>
    <x v="61"/>
    <x v="64"/>
    <x v="134"/>
    <x v="1257"/>
    <x v="350"/>
    <x v="1347"/>
    <x v="1410"/>
    <x v="1014"/>
    <x v="92"/>
    <x v="91"/>
    <x v="1212"/>
    <x v="92"/>
    <x v="2"/>
  </r>
  <r>
    <x v="43"/>
    <x v="0"/>
    <x v="4"/>
    <x v="2"/>
    <x v="5"/>
    <x v="0"/>
    <x v="70"/>
    <x v="20"/>
    <x v="44"/>
    <x v="34"/>
    <x v="154"/>
    <x v="1258"/>
    <x v="1405"/>
    <x v="1348"/>
    <x v="1411"/>
    <x v="926"/>
    <x v="51"/>
    <x v="56"/>
    <x v="1213"/>
    <x v="51"/>
    <x v="2"/>
  </r>
  <r>
    <x v="39"/>
    <x v="0"/>
    <x v="3"/>
    <x v="2"/>
    <x v="6"/>
    <x v="2"/>
    <x v="27"/>
    <x v="78"/>
    <x v="21"/>
    <x v="92"/>
    <x v="266"/>
    <x v="1259"/>
    <x v="1406"/>
    <x v="1349"/>
    <x v="1412"/>
    <x v="629"/>
    <x v="78"/>
    <x v="114"/>
    <x v="1214"/>
    <x v="78"/>
    <x v="2"/>
  </r>
  <r>
    <x v="30"/>
    <x v="0"/>
    <x v="1"/>
    <x v="4"/>
    <x v="6"/>
    <x v="2"/>
    <x v="44"/>
    <x v="25"/>
    <x v="67"/>
    <x v="24"/>
    <x v="118"/>
    <x v="1260"/>
    <x v="1407"/>
    <x v="1350"/>
    <x v="1413"/>
    <x v="1015"/>
    <x v="141"/>
    <x v="94"/>
    <x v="1215"/>
    <x v="141"/>
    <x v="1"/>
  </r>
  <r>
    <x v="42"/>
    <x v="0"/>
    <x v="2"/>
    <x v="4"/>
    <x v="0"/>
    <x v="0"/>
    <x v="83"/>
    <x v="47"/>
    <x v="60"/>
    <x v="101"/>
    <x v="398"/>
    <x v="1261"/>
    <x v="1408"/>
    <x v="1351"/>
    <x v="1414"/>
    <x v="841"/>
    <x v="134"/>
    <x v="111"/>
    <x v="1216"/>
    <x v="134"/>
    <x v="2"/>
  </r>
  <r>
    <x v="46"/>
    <x v="1"/>
    <x v="8"/>
    <x v="0"/>
    <x v="4"/>
    <x v="2"/>
    <x v="76"/>
    <x v="73"/>
    <x v="41"/>
    <x v="147"/>
    <x v="134"/>
    <x v="56"/>
    <x v="1409"/>
    <x v="1352"/>
    <x v="1415"/>
    <x v="566"/>
    <x v="100"/>
    <x v="137"/>
    <x v="1217"/>
    <x v="100"/>
    <x v="1"/>
  </r>
  <r>
    <x v="7"/>
    <x v="0"/>
    <x v="9"/>
    <x v="4"/>
    <x v="4"/>
    <x v="2"/>
    <x v="78"/>
    <x v="27"/>
    <x v="5"/>
    <x v="142"/>
    <x v="199"/>
    <x v="1262"/>
    <x v="1410"/>
    <x v="1353"/>
    <x v="1416"/>
    <x v="1016"/>
    <x v="118"/>
    <x v="183"/>
    <x v="1218"/>
    <x v="118"/>
    <x v="2"/>
  </r>
  <r>
    <x v="6"/>
    <x v="0"/>
    <x v="4"/>
    <x v="3"/>
    <x v="5"/>
    <x v="3"/>
    <x v="77"/>
    <x v="14"/>
    <x v="54"/>
    <x v="20"/>
    <x v="122"/>
    <x v="1263"/>
    <x v="1411"/>
    <x v="1354"/>
    <x v="1417"/>
    <x v="31"/>
    <x v="124"/>
    <x v="74"/>
    <x v="1219"/>
    <x v="124"/>
    <x v="2"/>
  </r>
  <r>
    <x v="3"/>
    <x v="1"/>
    <x v="1"/>
    <x v="0"/>
    <x v="0"/>
    <x v="3"/>
    <x v="92"/>
    <x v="8"/>
    <x v="55"/>
    <x v="101"/>
    <x v="422"/>
    <x v="1264"/>
    <x v="1412"/>
    <x v="1355"/>
    <x v="1418"/>
    <x v="62"/>
    <x v="0"/>
    <x v="33"/>
    <x v="324"/>
    <x v="0"/>
    <x v="0"/>
  </r>
  <r>
    <x v="20"/>
    <x v="0"/>
    <x v="9"/>
    <x v="4"/>
    <x v="6"/>
    <x v="0"/>
    <x v="54"/>
    <x v="44"/>
    <x v="30"/>
    <x v="147"/>
    <x v="26"/>
    <x v="144"/>
    <x v="1413"/>
    <x v="1356"/>
    <x v="1419"/>
    <x v="1017"/>
    <x v="144"/>
    <x v="128"/>
    <x v="325"/>
    <x v="144"/>
    <x v="1"/>
  </r>
  <r>
    <x v="31"/>
    <x v="1"/>
    <x v="5"/>
    <x v="3"/>
    <x v="2"/>
    <x v="3"/>
    <x v="1"/>
    <x v="16"/>
    <x v="30"/>
    <x v="117"/>
    <x v="71"/>
    <x v="376"/>
    <x v="1414"/>
    <x v="1357"/>
    <x v="1420"/>
    <x v="1018"/>
    <x v="68"/>
    <x v="69"/>
    <x v="678"/>
    <x v="68"/>
    <x v="2"/>
  </r>
  <r>
    <x v="12"/>
    <x v="0"/>
    <x v="3"/>
    <x v="3"/>
    <x v="6"/>
    <x v="1"/>
    <x v="67"/>
    <x v="16"/>
    <x v="77"/>
    <x v="109"/>
    <x v="315"/>
    <x v="1265"/>
    <x v="1415"/>
    <x v="1358"/>
    <x v="1421"/>
    <x v="416"/>
    <x v="22"/>
    <x v="72"/>
    <x v="1220"/>
    <x v="22"/>
    <x v="0"/>
  </r>
  <r>
    <x v="48"/>
    <x v="0"/>
    <x v="0"/>
    <x v="3"/>
    <x v="3"/>
    <x v="1"/>
    <x v="35"/>
    <x v="18"/>
    <x v="37"/>
    <x v="134"/>
    <x v="417"/>
    <x v="1266"/>
    <x v="1416"/>
    <x v="1359"/>
    <x v="1422"/>
    <x v="1019"/>
    <x v="93"/>
    <x v="86"/>
    <x v="1221"/>
    <x v="93"/>
    <x v="2"/>
  </r>
  <r>
    <x v="34"/>
    <x v="1"/>
    <x v="5"/>
    <x v="0"/>
    <x v="2"/>
    <x v="1"/>
    <x v="104"/>
    <x v="61"/>
    <x v="61"/>
    <x v="60"/>
    <x v="226"/>
    <x v="331"/>
    <x v="1417"/>
    <x v="1360"/>
    <x v="1423"/>
    <x v="229"/>
    <x v="56"/>
    <x v="221"/>
    <x v="1222"/>
    <x v="56"/>
    <x v="2"/>
  </r>
  <r>
    <x v="38"/>
    <x v="0"/>
    <x v="5"/>
    <x v="4"/>
    <x v="2"/>
    <x v="1"/>
    <x v="106"/>
    <x v="14"/>
    <x v="44"/>
    <x v="158"/>
    <x v="118"/>
    <x v="107"/>
    <x v="1418"/>
    <x v="1361"/>
    <x v="1424"/>
    <x v="1020"/>
    <x v="78"/>
    <x v="8"/>
    <x v="1223"/>
    <x v="78"/>
    <x v="2"/>
  </r>
  <r>
    <x v="52"/>
    <x v="1"/>
    <x v="5"/>
    <x v="3"/>
    <x v="1"/>
    <x v="2"/>
    <x v="60"/>
    <x v="23"/>
    <x v="55"/>
    <x v="28"/>
    <x v="266"/>
    <x v="1267"/>
    <x v="1419"/>
    <x v="1362"/>
    <x v="1425"/>
    <x v="1021"/>
    <x v="61"/>
    <x v="67"/>
    <x v="1224"/>
    <x v="61"/>
    <x v="2"/>
  </r>
  <r>
    <x v="18"/>
    <x v="1"/>
    <x v="2"/>
    <x v="1"/>
    <x v="4"/>
    <x v="1"/>
    <x v="57"/>
    <x v="51"/>
    <x v="23"/>
    <x v="137"/>
    <x v="235"/>
    <x v="926"/>
    <x v="1420"/>
    <x v="1363"/>
    <x v="1426"/>
    <x v="1022"/>
    <x v="9"/>
    <x v="167"/>
    <x v="1225"/>
    <x v="9"/>
    <x v="2"/>
  </r>
  <r>
    <x v="13"/>
    <x v="0"/>
    <x v="4"/>
    <x v="1"/>
    <x v="4"/>
    <x v="3"/>
    <x v="90"/>
    <x v="7"/>
    <x v="1"/>
    <x v="136"/>
    <x v="272"/>
    <x v="1171"/>
    <x v="1421"/>
    <x v="1364"/>
    <x v="1427"/>
    <x v="695"/>
    <x v="72"/>
    <x v="193"/>
    <x v="1226"/>
    <x v="72"/>
    <x v="2"/>
  </r>
  <r>
    <x v="40"/>
    <x v="1"/>
    <x v="3"/>
    <x v="2"/>
    <x v="6"/>
    <x v="2"/>
    <x v="71"/>
    <x v="32"/>
    <x v="14"/>
    <x v="151"/>
    <x v="140"/>
    <x v="1268"/>
    <x v="1422"/>
    <x v="1365"/>
    <x v="1428"/>
    <x v="1023"/>
    <x v="62"/>
    <x v="52"/>
    <x v="1227"/>
    <x v="62"/>
    <x v="2"/>
  </r>
  <r>
    <x v="43"/>
    <x v="1"/>
    <x v="4"/>
    <x v="0"/>
    <x v="4"/>
    <x v="1"/>
    <x v="101"/>
    <x v="5"/>
    <x v="0"/>
    <x v="24"/>
    <x v="140"/>
    <x v="1269"/>
    <x v="1423"/>
    <x v="1366"/>
    <x v="1429"/>
    <x v="1024"/>
    <x v="96"/>
    <x v="146"/>
    <x v="1228"/>
    <x v="96"/>
    <x v="2"/>
  </r>
  <r>
    <x v="52"/>
    <x v="0"/>
    <x v="3"/>
    <x v="2"/>
    <x v="5"/>
    <x v="2"/>
    <x v="52"/>
    <x v="0"/>
    <x v="78"/>
    <x v="129"/>
    <x v="168"/>
    <x v="1182"/>
    <x v="1424"/>
    <x v="1367"/>
    <x v="1430"/>
    <x v="1025"/>
    <x v="184"/>
    <x v="125"/>
    <x v="1229"/>
    <x v="184"/>
    <x v="2"/>
  </r>
  <r>
    <x v="52"/>
    <x v="1"/>
    <x v="6"/>
    <x v="4"/>
    <x v="5"/>
    <x v="3"/>
    <x v="2"/>
    <x v="8"/>
    <x v="50"/>
    <x v="71"/>
    <x v="166"/>
    <x v="43"/>
    <x v="1425"/>
    <x v="1368"/>
    <x v="1431"/>
    <x v="1026"/>
    <x v="141"/>
    <x v="110"/>
    <x v="1230"/>
    <x v="141"/>
    <x v="2"/>
  </r>
  <r>
    <x v="20"/>
    <x v="1"/>
    <x v="6"/>
    <x v="4"/>
    <x v="4"/>
    <x v="0"/>
    <x v="118"/>
    <x v="8"/>
    <x v="61"/>
    <x v="49"/>
    <x v="276"/>
    <x v="1270"/>
    <x v="1426"/>
    <x v="1369"/>
    <x v="1432"/>
    <x v="452"/>
    <x v="68"/>
    <x v="195"/>
    <x v="1231"/>
    <x v="68"/>
    <x v="1"/>
  </r>
  <r>
    <x v="30"/>
    <x v="1"/>
    <x v="5"/>
    <x v="2"/>
    <x v="1"/>
    <x v="0"/>
    <x v="55"/>
    <x v="19"/>
    <x v="44"/>
    <x v="117"/>
    <x v="42"/>
    <x v="1271"/>
    <x v="1427"/>
    <x v="1370"/>
    <x v="1433"/>
    <x v="1027"/>
    <x v="98"/>
    <x v="81"/>
    <x v="160"/>
    <x v="98"/>
    <x v="1"/>
  </r>
  <r>
    <x v="31"/>
    <x v="0"/>
    <x v="6"/>
    <x v="1"/>
    <x v="3"/>
    <x v="1"/>
    <x v="54"/>
    <x v="17"/>
    <x v="29"/>
    <x v="45"/>
    <x v="217"/>
    <x v="1272"/>
    <x v="1428"/>
    <x v="1371"/>
    <x v="1434"/>
    <x v="630"/>
    <x v="157"/>
    <x v="162"/>
    <x v="1232"/>
    <x v="157"/>
    <x v="2"/>
  </r>
  <r>
    <x v="33"/>
    <x v="1"/>
    <x v="2"/>
    <x v="0"/>
    <x v="0"/>
    <x v="2"/>
    <x v="66"/>
    <x v="46"/>
    <x v="40"/>
    <x v="26"/>
    <x v="307"/>
    <x v="148"/>
    <x v="1429"/>
    <x v="1372"/>
    <x v="1435"/>
    <x v="1028"/>
    <x v="66"/>
    <x v="8"/>
    <x v="976"/>
    <x v="66"/>
    <x v="2"/>
  </r>
  <r>
    <x v="57"/>
    <x v="1"/>
    <x v="3"/>
    <x v="3"/>
    <x v="3"/>
    <x v="3"/>
    <x v="36"/>
    <x v="64"/>
    <x v="64"/>
    <x v="128"/>
    <x v="149"/>
    <x v="1273"/>
    <x v="1430"/>
    <x v="895"/>
    <x v="1436"/>
    <x v="1014"/>
    <x v="138"/>
    <x v="90"/>
    <x v="1233"/>
    <x v="138"/>
    <x v="0"/>
  </r>
  <r>
    <x v="38"/>
    <x v="0"/>
    <x v="7"/>
    <x v="1"/>
    <x v="2"/>
    <x v="0"/>
    <x v="9"/>
    <x v="52"/>
    <x v="29"/>
    <x v="52"/>
    <x v="86"/>
    <x v="1274"/>
    <x v="1431"/>
    <x v="1373"/>
    <x v="1437"/>
    <x v="1029"/>
    <x v="70"/>
    <x v="189"/>
    <x v="1234"/>
    <x v="70"/>
    <x v="2"/>
  </r>
  <r>
    <x v="49"/>
    <x v="0"/>
    <x v="7"/>
    <x v="1"/>
    <x v="3"/>
    <x v="0"/>
    <x v="72"/>
    <x v="78"/>
    <x v="78"/>
    <x v="134"/>
    <x v="414"/>
    <x v="1275"/>
    <x v="1432"/>
    <x v="1374"/>
    <x v="1438"/>
    <x v="247"/>
    <x v="160"/>
    <x v="72"/>
    <x v="1235"/>
    <x v="160"/>
    <x v="1"/>
  </r>
  <r>
    <x v="10"/>
    <x v="0"/>
    <x v="0"/>
    <x v="1"/>
    <x v="4"/>
    <x v="3"/>
    <x v="70"/>
    <x v="53"/>
    <x v="86"/>
    <x v="81"/>
    <x v="186"/>
    <x v="559"/>
    <x v="1433"/>
    <x v="1375"/>
    <x v="1439"/>
    <x v="584"/>
    <x v="105"/>
    <x v="60"/>
    <x v="1236"/>
    <x v="105"/>
    <x v="2"/>
  </r>
  <r>
    <x v="20"/>
    <x v="1"/>
    <x v="4"/>
    <x v="1"/>
    <x v="6"/>
    <x v="1"/>
    <x v="93"/>
    <x v="40"/>
    <x v="75"/>
    <x v="89"/>
    <x v="370"/>
    <x v="1276"/>
    <x v="1434"/>
    <x v="1376"/>
    <x v="1440"/>
    <x v="506"/>
    <x v="66"/>
    <x v="119"/>
    <x v="941"/>
    <x v="66"/>
    <x v="1"/>
  </r>
  <r>
    <x v="35"/>
    <x v="0"/>
    <x v="4"/>
    <x v="4"/>
    <x v="0"/>
    <x v="0"/>
    <x v="61"/>
    <x v="50"/>
    <x v="5"/>
    <x v="52"/>
    <x v="105"/>
    <x v="1277"/>
    <x v="1435"/>
    <x v="1188"/>
    <x v="1441"/>
    <x v="1030"/>
    <x v="21"/>
    <x v="21"/>
    <x v="93"/>
    <x v="21"/>
    <x v="2"/>
  </r>
  <r>
    <x v="31"/>
    <x v="0"/>
    <x v="5"/>
    <x v="2"/>
    <x v="4"/>
    <x v="2"/>
    <x v="26"/>
    <x v="0"/>
    <x v="3"/>
    <x v="151"/>
    <x v="357"/>
    <x v="1278"/>
    <x v="1436"/>
    <x v="1377"/>
    <x v="1442"/>
    <x v="1031"/>
    <x v="119"/>
    <x v="161"/>
    <x v="471"/>
    <x v="119"/>
    <x v="2"/>
  </r>
  <r>
    <x v="48"/>
    <x v="1"/>
    <x v="5"/>
    <x v="1"/>
    <x v="2"/>
    <x v="3"/>
    <x v="68"/>
    <x v="16"/>
    <x v="45"/>
    <x v="60"/>
    <x v="21"/>
    <x v="783"/>
    <x v="1437"/>
    <x v="1378"/>
    <x v="1443"/>
    <x v="1032"/>
    <x v="60"/>
    <x v="212"/>
    <x v="1237"/>
    <x v="60"/>
    <x v="2"/>
  </r>
  <r>
    <x v="33"/>
    <x v="1"/>
    <x v="5"/>
    <x v="2"/>
    <x v="2"/>
    <x v="2"/>
    <x v="0"/>
    <x v="58"/>
    <x v="45"/>
    <x v="60"/>
    <x v="223"/>
    <x v="1279"/>
    <x v="1438"/>
    <x v="1379"/>
    <x v="1444"/>
    <x v="649"/>
    <x v="135"/>
    <x v="222"/>
    <x v="775"/>
    <x v="135"/>
    <x v="2"/>
  </r>
  <r>
    <x v="59"/>
    <x v="0"/>
    <x v="0"/>
    <x v="2"/>
    <x v="0"/>
    <x v="3"/>
    <x v="99"/>
    <x v="31"/>
    <x v="80"/>
    <x v="113"/>
    <x v="211"/>
    <x v="1280"/>
    <x v="1439"/>
    <x v="1380"/>
    <x v="1445"/>
    <x v="1033"/>
    <x v="124"/>
    <x v="126"/>
    <x v="1238"/>
    <x v="124"/>
    <x v="0"/>
  </r>
  <r>
    <x v="39"/>
    <x v="1"/>
    <x v="8"/>
    <x v="3"/>
    <x v="1"/>
    <x v="2"/>
    <x v="80"/>
    <x v="59"/>
    <x v="19"/>
    <x v="34"/>
    <x v="19"/>
    <x v="1281"/>
    <x v="1440"/>
    <x v="1381"/>
    <x v="1446"/>
    <x v="1034"/>
    <x v="24"/>
    <x v="138"/>
    <x v="482"/>
    <x v="24"/>
    <x v="2"/>
  </r>
  <r>
    <x v="25"/>
    <x v="0"/>
    <x v="1"/>
    <x v="3"/>
    <x v="3"/>
    <x v="0"/>
    <x v="85"/>
    <x v="61"/>
    <x v="72"/>
    <x v="140"/>
    <x v="212"/>
    <x v="1282"/>
    <x v="1441"/>
    <x v="1382"/>
    <x v="1447"/>
    <x v="1035"/>
    <x v="34"/>
    <x v="212"/>
    <x v="1239"/>
    <x v="34"/>
    <x v="0"/>
  </r>
  <r>
    <x v="58"/>
    <x v="1"/>
    <x v="6"/>
    <x v="0"/>
    <x v="5"/>
    <x v="3"/>
    <x v="57"/>
    <x v="3"/>
    <x v="79"/>
    <x v="129"/>
    <x v="164"/>
    <x v="1283"/>
    <x v="1442"/>
    <x v="1383"/>
    <x v="1448"/>
    <x v="1036"/>
    <x v="121"/>
    <x v="181"/>
    <x v="1240"/>
    <x v="121"/>
    <x v="0"/>
  </r>
  <r>
    <x v="2"/>
    <x v="0"/>
    <x v="2"/>
    <x v="3"/>
    <x v="4"/>
    <x v="3"/>
    <x v="81"/>
    <x v="20"/>
    <x v="80"/>
    <x v="79"/>
    <x v="339"/>
    <x v="1284"/>
    <x v="1443"/>
    <x v="1384"/>
    <x v="1449"/>
    <x v="405"/>
    <x v="94"/>
    <x v="91"/>
    <x v="1241"/>
    <x v="94"/>
    <x v="2"/>
  </r>
  <r>
    <x v="29"/>
    <x v="0"/>
    <x v="7"/>
    <x v="3"/>
    <x v="3"/>
    <x v="3"/>
    <x v="99"/>
    <x v="59"/>
    <x v="51"/>
    <x v="110"/>
    <x v="345"/>
    <x v="1285"/>
    <x v="1444"/>
    <x v="1385"/>
    <x v="1450"/>
    <x v="1037"/>
    <x v="49"/>
    <x v="81"/>
    <x v="1242"/>
    <x v="49"/>
    <x v="2"/>
  </r>
  <r>
    <x v="54"/>
    <x v="0"/>
    <x v="4"/>
    <x v="2"/>
    <x v="5"/>
    <x v="2"/>
    <x v="118"/>
    <x v="50"/>
    <x v="62"/>
    <x v="86"/>
    <x v="103"/>
    <x v="1286"/>
    <x v="1445"/>
    <x v="243"/>
    <x v="1451"/>
    <x v="1038"/>
    <x v="88"/>
    <x v="37"/>
    <x v="1243"/>
    <x v="88"/>
    <x v="0"/>
  </r>
  <r>
    <x v="36"/>
    <x v="1"/>
    <x v="9"/>
    <x v="4"/>
    <x v="1"/>
    <x v="0"/>
    <x v="43"/>
    <x v="7"/>
    <x v="50"/>
    <x v="135"/>
    <x v="191"/>
    <x v="1287"/>
    <x v="1446"/>
    <x v="1386"/>
    <x v="1452"/>
    <x v="828"/>
    <x v="142"/>
    <x v="35"/>
    <x v="596"/>
    <x v="142"/>
    <x v="1"/>
  </r>
  <r>
    <x v="42"/>
    <x v="0"/>
    <x v="2"/>
    <x v="3"/>
    <x v="6"/>
    <x v="3"/>
    <x v="101"/>
    <x v="50"/>
    <x v="13"/>
    <x v="106"/>
    <x v="173"/>
    <x v="1106"/>
    <x v="701"/>
    <x v="1387"/>
    <x v="1453"/>
    <x v="1039"/>
    <x v="28"/>
    <x v="198"/>
    <x v="1244"/>
    <x v="28"/>
    <x v="2"/>
  </r>
  <r>
    <x v="9"/>
    <x v="0"/>
    <x v="5"/>
    <x v="0"/>
    <x v="2"/>
    <x v="2"/>
    <x v="92"/>
    <x v="39"/>
    <x v="2"/>
    <x v="45"/>
    <x v="351"/>
    <x v="1288"/>
    <x v="1447"/>
    <x v="1388"/>
    <x v="1454"/>
    <x v="1040"/>
    <x v="40"/>
    <x v="131"/>
    <x v="16"/>
    <x v="40"/>
    <x v="0"/>
  </r>
  <r>
    <x v="27"/>
    <x v="0"/>
    <x v="4"/>
    <x v="1"/>
    <x v="5"/>
    <x v="0"/>
    <x v="113"/>
    <x v="34"/>
    <x v="14"/>
    <x v="93"/>
    <x v="304"/>
    <x v="1289"/>
    <x v="1448"/>
    <x v="1389"/>
    <x v="1455"/>
    <x v="399"/>
    <x v="142"/>
    <x v="160"/>
    <x v="943"/>
    <x v="142"/>
    <x v="0"/>
  </r>
  <r>
    <x v="45"/>
    <x v="1"/>
    <x v="9"/>
    <x v="1"/>
    <x v="0"/>
    <x v="0"/>
    <x v="38"/>
    <x v="28"/>
    <x v="75"/>
    <x v="133"/>
    <x v="402"/>
    <x v="982"/>
    <x v="1449"/>
    <x v="1390"/>
    <x v="1456"/>
    <x v="1041"/>
    <x v="85"/>
    <x v="158"/>
    <x v="160"/>
    <x v="85"/>
    <x v="2"/>
  </r>
  <r>
    <x v="17"/>
    <x v="0"/>
    <x v="7"/>
    <x v="1"/>
    <x v="6"/>
    <x v="0"/>
    <x v="29"/>
    <x v="24"/>
    <x v="58"/>
    <x v="7"/>
    <x v="319"/>
    <x v="1290"/>
    <x v="1450"/>
    <x v="1391"/>
    <x v="1457"/>
    <x v="402"/>
    <x v="30"/>
    <x v="161"/>
    <x v="91"/>
    <x v="30"/>
    <x v="1"/>
  </r>
  <r>
    <x v="55"/>
    <x v="1"/>
    <x v="2"/>
    <x v="1"/>
    <x v="4"/>
    <x v="3"/>
    <x v="18"/>
    <x v="7"/>
    <x v="7"/>
    <x v="94"/>
    <x v="59"/>
    <x v="1125"/>
    <x v="1451"/>
    <x v="95"/>
    <x v="1458"/>
    <x v="1042"/>
    <x v="180"/>
    <x v="111"/>
    <x v="785"/>
    <x v="180"/>
    <x v="2"/>
  </r>
  <r>
    <x v="15"/>
    <x v="0"/>
    <x v="1"/>
    <x v="2"/>
    <x v="5"/>
    <x v="3"/>
    <x v="42"/>
    <x v="53"/>
    <x v="5"/>
    <x v="37"/>
    <x v="298"/>
    <x v="1144"/>
    <x v="1452"/>
    <x v="1392"/>
    <x v="1459"/>
    <x v="1043"/>
    <x v="178"/>
    <x v="156"/>
    <x v="1245"/>
    <x v="178"/>
    <x v="2"/>
  </r>
  <r>
    <x v="0"/>
    <x v="0"/>
    <x v="3"/>
    <x v="2"/>
    <x v="6"/>
    <x v="2"/>
    <x v="50"/>
    <x v="43"/>
    <x v="20"/>
    <x v="126"/>
    <x v="400"/>
    <x v="1291"/>
    <x v="1453"/>
    <x v="1393"/>
    <x v="1460"/>
    <x v="730"/>
    <x v="173"/>
    <x v="155"/>
    <x v="1246"/>
    <x v="173"/>
    <x v="0"/>
  </r>
  <r>
    <x v="42"/>
    <x v="0"/>
    <x v="2"/>
    <x v="3"/>
    <x v="5"/>
    <x v="1"/>
    <x v="11"/>
    <x v="34"/>
    <x v="15"/>
    <x v="88"/>
    <x v="76"/>
    <x v="1292"/>
    <x v="1454"/>
    <x v="1394"/>
    <x v="1461"/>
    <x v="168"/>
    <x v="158"/>
    <x v="99"/>
    <x v="491"/>
    <x v="158"/>
    <x v="2"/>
  </r>
  <r>
    <x v="4"/>
    <x v="0"/>
    <x v="0"/>
    <x v="3"/>
    <x v="3"/>
    <x v="0"/>
    <x v="72"/>
    <x v="28"/>
    <x v="4"/>
    <x v="0"/>
    <x v="432"/>
    <x v="1293"/>
    <x v="1455"/>
    <x v="1395"/>
    <x v="1462"/>
    <x v="347"/>
    <x v="77"/>
    <x v="105"/>
    <x v="1247"/>
    <x v="77"/>
    <x v="1"/>
  </r>
  <r>
    <x v="53"/>
    <x v="1"/>
    <x v="8"/>
    <x v="1"/>
    <x v="4"/>
    <x v="3"/>
    <x v="94"/>
    <x v="59"/>
    <x v="33"/>
    <x v="4"/>
    <x v="291"/>
    <x v="1294"/>
    <x v="1456"/>
    <x v="1396"/>
    <x v="1463"/>
    <x v="1044"/>
    <x v="23"/>
    <x v="190"/>
    <x v="1248"/>
    <x v="23"/>
    <x v="1"/>
  </r>
  <r>
    <x v="30"/>
    <x v="1"/>
    <x v="1"/>
    <x v="0"/>
    <x v="0"/>
    <x v="1"/>
    <x v="101"/>
    <x v="28"/>
    <x v="29"/>
    <x v="142"/>
    <x v="7"/>
    <x v="1295"/>
    <x v="1457"/>
    <x v="1397"/>
    <x v="1464"/>
    <x v="479"/>
    <x v="20"/>
    <x v="192"/>
    <x v="1249"/>
    <x v="20"/>
    <x v="1"/>
  </r>
  <r>
    <x v="2"/>
    <x v="1"/>
    <x v="1"/>
    <x v="0"/>
    <x v="3"/>
    <x v="0"/>
    <x v="101"/>
    <x v="52"/>
    <x v="46"/>
    <x v="72"/>
    <x v="143"/>
    <x v="1296"/>
    <x v="1458"/>
    <x v="1398"/>
    <x v="1465"/>
    <x v="1045"/>
    <x v="49"/>
    <x v="95"/>
    <x v="1250"/>
    <x v="49"/>
    <x v="2"/>
  </r>
  <r>
    <x v="10"/>
    <x v="0"/>
    <x v="5"/>
    <x v="1"/>
    <x v="5"/>
    <x v="0"/>
    <x v="108"/>
    <x v="9"/>
    <x v="19"/>
    <x v="41"/>
    <x v="161"/>
    <x v="592"/>
    <x v="1459"/>
    <x v="1399"/>
    <x v="1466"/>
    <x v="1046"/>
    <x v="137"/>
    <x v="26"/>
    <x v="1251"/>
    <x v="137"/>
    <x v="2"/>
  </r>
  <r>
    <x v="53"/>
    <x v="0"/>
    <x v="0"/>
    <x v="0"/>
    <x v="1"/>
    <x v="1"/>
    <x v="89"/>
    <x v="26"/>
    <x v="60"/>
    <x v="87"/>
    <x v="31"/>
    <x v="1297"/>
    <x v="1460"/>
    <x v="1400"/>
    <x v="1467"/>
    <x v="887"/>
    <x v="20"/>
    <x v="126"/>
    <x v="267"/>
    <x v="20"/>
    <x v="1"/>
  </r>
  <r>
    <x v="37"/>
    <x v="0"/>
    <x v="1"/>
    <x v="1"/>
    <x v="6"/>
    <x v="3"/>
    <x v="52"/>
    <x v="36"/>
    <x v="62"/>
    <x v="38"/>
    <x v="102"/>
    <x v="1298"/>
    <x v="1461"/>
    <x v="1401"/>
    <x v="1468"/>
    <x v="1047"/>
    <x v="152"/>
    <x v="157"/>
    <x v="1252"/>
    <x v="152"/>
    <x v="2"/>
  </r>
  <r>
    <x v="11"/>
    <x v="1"/>
    <x v="1"/>
    <x v="3"/>
    <x v="1"/>
    <x v="0"/>
    <x v="100"/>
    <x v="1"/>
    <x v="53"/>
    <x v="157"/>
    <x v="368"/>
    <x v="1299"/>
    <x v="1462"/>
    <x v="1402"/>
    <x v="1469"/>
    <x v="1048"/>
    <x v="64"/>
    <x v="93"/>
    <x v="1253"/>
    <x v="64"/>
    <x v="1"/>
  </r>
  <r>
    <x v="56"/>
    <x v="1"/>
    <x v="7"/>
    <x v="0"/>
    <x v="6"/>
    <x v="3"/>
    <x v="118"/>
    <x v="67"/>
    <x v="54"/>
    <x v="148"/>
    <x v="168"/>
    <x v="569"/>
    <x v="1463"/>
    <x v="1403"/>
    <x v="1470"/>
    <x v="1049"/>
    <x v="15"/>
    <x v="211"/>
    <x v="1254"/>
    <x v="15"/>
    <x v="2"/>
  </r>
  <r>
    <x v="15"/>
    <x v="1"/>
    <x v="8"/>
    <x v="1"/>
    <x v="3"/>
    <x v="2"/>
    <x v="55"/>
    <x v="17"/>
    <x v="10"/>
    <x v="12"/>
    <x v="9"/>
    <x v="1300"/>
    <x v="1464"/>
    <x v="1404"/>
    <x v="1471"/>
    <x v="1050"/>
    <x v="53"/>
    <x v="0"/>
    <x v="1255"/>
    <x v="53"/>
    <x v="2"/>
  </r>
  <r>
    <x v="51"/>
    <x v="0"/>
    <x v="4"/>
    <x v="1"/>
    <x v="2"/>
    <x v="2"/>
    <x v="110"/>
    <x v="44"/>
    <x v="80"/>
    <x v="21"/>
    <x v="314"/>
    <x v="1301"/>
    <x v="1465"/>
    <x v="1405"/>
    <x v="1472"/>
    <x v="934"/>
    <x v="78"/>
    <x v="163"/>
    <x v="1256"/>
    <x v="78"/>
    <x v="2"/>
  </r>
  <r>
    <x v="43"/>
    <x v="1"/>
    <x v="1"/>
    <x v="4"/>
    <x v="0"/>
    <x v="2"/>
    <x v="46"/>
    <x v="60"/>
    <x v="35"/>
    <x v="87"/>
    <x v="252"/>
    <x v="591"/>
    <x v="1466"/>
    <x v="763"/>
    <x v="1473"/>
    <x v="616"/>
    <x v="187"/>
    <x v="79"/>
    <x v="1257"/>
    <x v="187"/>
    <x v="2"/>
  </r>
  <r>
    <x v="7"/>
    <x v="1"/>
    <x v="0"/>
    <x v="3"/>
    <x v="4"/>
    <x v="1"/>
    <x v="106"/>
    <x v="60"/>
    <x v="14"/>
    <x v="28"/>
    <x v="370"/>
    <x v="1302"/>
    <x v="1467"/>
    <x v="1406"/>
    <x v="1474"/>
    <x v="1051"/>
    <x v="46"/>
    <x v="84"/>
    <x v="101"/>
    <x v="46"/>
    <x v="2"/>
  </r>
  <r>
    <x v="51"/>
    <x v="1"/>
    <x v="1"/>
    <x v="4"/>
    <x v="0"/>
    <x v="3"/>
    <x v="61"/>
    <x v="31"/>
    <x v="9"/>
    <x v="156"/>
    <x v="103"/>
    <x v="1303"/>
    <x v="1468"/>
    <x v="1407"/>
    <x v="1475"/>
    <x v="298"/>
    <x v="144"/>
    <x v="2"/>
    <x v="1258"/>
    <x v="144"/>
    <x v="2"/>
  </r>
  <r>
    <x v="56"/>
    <x v="1"/>
    <x v="1"/>
    <x v="3"/>
    <x v="4"/>
    <x v="0"/>
    <x v="74"/>
    <x v="38"/>
    <x v="73"/>
    <x v="5"/>
    <x v="359"/>
    <x v="1304"/>
    <x v="1469"/>
    <x v="1408"/>
    <x v="1476"/>
    <x v="1052"/>
    <x v="139"/>
    <x v="220"/>
    <x v="1259"/>
    <x v="139"/>
    <x v="2"/>
  </r>
  <r>
    <x v="33"/>
    <x v="0"/>
    <x v="4"/>
    <x v="1"/>
    <x v="2"/>
    <x v="1"/>
    <x v="52"/>
    <x v="12"/>
    <x v="67"/>
    <x v="106"/>
    <x v="327"/>
    <x v="1305"/>
    <x v="1470"/>
    <x v="1409"/>
    <x v="1477"/>
    <x v="430"/>
    <x v="80"/>
    <x v="111"/>
    <x v="125"/>
    <x v="80"/>
    <x v="2"/>
  </r>
  <r>
    <x v="38"/>
    <x v="1"/>
    <x v="2"/>
    <x v="4"/>
    <x v="2"/>
    <x v="1"/>
    <x v="13"/>
    <x v="78"/>
    <x v="8"/>
    <x v="114"/>
    <x v="413"/>
    <x v="1306"/>
    <x v="1471"/>
    <x v="1410"/>
    <x v="1478"/>
    <x v="29"/>
    <x v="148"/>
    <x v="168"/>
    <x v="1260"/>
    <x v="148"/>
    <x v="2"/>
  </r>
  <r>
    <x v="2"/>
    <x v="1"/>
    <x v="6"/>
    <x v="4"/>
    <x v="2"/>
    <x v="2"/>
    <x v="26"/>
    <x v="26"/>
    <x v="7"/>
    <x v="52"/>
    <x v="368"/>
    <x v="1307"/>
    <x v="1472"/>
    <x v="1411"/>
    <x v="1479"/>
    <x v="319"/>
    <x v="108"/>
    <x v="6"/>
    <x v="1261"/>
    <x v="108"/>
    <x v="2"/>
  </r>
  <r>
    <x v="4"/>
    <x v="1"/>
    <x v="1"/>
    <x v="1"/>
    <x v="2"/>
    <x v="1"/>
    <x v="36"/>
    <x v="60"/>
    <x v="54"/>
    <x v="104"/>
    <x v="433"/>
    <x v="1308"/>
    <x v="1473"/>
    <x v="1412"/>
    <x v="1480"/>
    <x v="1053"/>
    <x v="118"/>
    <x v="126"/>
    <x v="236"/>
    <x v="118"/>
    <x v="1"/>
  </r>
  <r>
    <x v="39"/>
    <x v="1"/>
    <x v="7"/>
    <x v="4"/>
    <x v="3"/>
    <x v="3"/>
    <x v="39"/>
    <x v="10"/>
    <x v="47"/>
    <x v="158"/>
    <x v="417"/>
    <x v="1309"/>
    <x v="1474"/>
    <x v="1413"/>
    <x v="1481"/>
    <x v="879"/>
    <x v="111"/>
    <x v="111"/>
    <x v="1262"/>
    <x v="111"/>
    <x v="2"/>
  </r>
  <r>
    <x v="24"/>
    <x v="0"/>
    <x v="1"/>
    <x v="3"/>
    <x v="1"/>
    <x v="2"/>
    <x v="7"/>
    <x v="65"/>
    <x v="53"/>
    <x v="71"/>
    <x v="31"/>
    <x v="1310"/>
    <x v="1475"/>
    <x v="1414"/>
    <x v="1482"/>
    <x v="1054"/>
    <x v="37"/>
    <x v="72"/>
    <x v="1263"/>
    <x v="37"/>
    <x v="1"/>
  </r>
  <r>
    <x v="21"/>
    <x v="0"/>
    <x v="2"/>
    <x v="2"/>
    <x v="2"/>
    <x v="3"/>
    <x v="44"/>
    <x v="49"/>
    <x v="16"/>
    <x v="32"/>
    <x v="172"/>
    <x v="467"/>
    <x v="1476"/>
    <x v="1415"/>
    <x v="1483"/>
    <x v="1055"/>
    <x v="110"/>
    <x v="163"/>
    <x v="1264"/>
    <x v="110"/>
    <x v="0"/>
  </r>
  <r>
    <x v="41"/>
    <x v="0"/>
    <x v="7"/>
    <x v="4"/>
    <x v="2"/>
    <x v="1"/>
    <x v="65"/>
    <x v="76"/>
    <x v="79"/>
    <x v="153"/>
    <x v="178"/>
    <x v="1311"/>
    <x v="1477"/>
    <x v="1416"/>
    <x v="1484"/>
    <x v="35"/>
    <x v="71"/>
    <x v="138"/>
    <x v="1265"/>
    <x v="71"/>
    <x v="2"/>
  </r>
  <r>
    <x v="11"/>
    <x v="0"/>
    <x v="5"/>
    <x v="0"/>
    <x v="6"/>
    <x v="0"/>
    <x v="59"/>
    <x v="8"/>
    <x v="3"/>
    <x v="108"/>
    <x v="4"/>
    <x v="1312"/>
    <x v="1478"/>
    <x v="1417"/>
    <x v="1485"/>
    <x v="377"/>
    <x v="119"/>
    <x v="139"/>
    <x v="471"/>
    <x v="119"/>
    <x v="1"/>
  </r>
  <r>
    <x v="35"/>
    <x v="0"/>
    <x v="1"/>
    <x v="0"/>
    <x v="3"/>
    <x v="0"/>
    <x v="38"/>
    <x v="35"/>
    <x v="85"/>
    <x v="9"/>
    <x v="60"/>
    <x v="1313"/>
    <x v="767"/>
    <x v="1418"/>
    <x v="1486"/>
    <x v="612"/>
    <x v="16"/>
    <x v="59"/>
    <x v="1266"/>
    <x v="16"/>
    <x v="2"/>
  </r>
  <r>
    <x v="53"/>
    <x v="0"/>
    <x v="8"/>
    <x v="0"/>
    <x v="6"/>
    <x v="3"/>
    <x v="2"/>
    <x v="37"/>
    <x v="6"/>
    <x v="31"/>
    <x v="272"/>
    <x v="1314"/>
    <x v="1479"/>
    <x v="1419"/>
    <x v="1487"/>
    <x v="1056"/>
    <x v="54"/>
    <x v="89"/>
    <x v="1267"/>
    <x v="54"/>
    <x v="1"/>
  </r>
  <r>
    <x v="0"/>
    <x v="0"/>
    <x v="1"/>
    <x v="0"/>
    <x v="3"/>
    <x v="1"/>
    <x v="55"/>
    <x v="50"/>
    <x v="29"/>
    <x v="32"/>
    <x v="348"/>
    <x v="1315"/>
    <x v="1480"/>
    <x v="1420"/>
    <x v="1488"/>
    <x v="1057"/>
    <x v="42"/>
    <x v="11"/>
    <x v="527"/>
    <x v="42"/>
    <x v="0"/>
  </r>
  <r>
    <x v="25"/>
    <x v="1"/>
    <x v="1"/>
    <x v="0"/>
    <x v="0"/>
    <x v="2"/>
    <x v="32"/>
    <x v="61"/>
    <x v="66"/>
    <x v="19"/>
    <x v="31"/>
    <x v="1316"/>
    <x v="1481"/>
    <x v="1421"/>
    <x v="1489"/>
    <x v="1058"/>
    <x v="86"/>
    <x v="106"/>
    <x v="1268"/>
    <x v="86"/>
    <x v="0"/>
  </r>
  <r>
    <x v="12"/>
    <x v="0"/>
    <x v="9"/>
    <x v="0"/>
    <x v="1"/>
    <x v="0"/>
    <x v="39"/>
    <x v="18"/>
    <x v="25"/>
    <x v="73"/>
    <x v="315"/>
    <x v="1317"/>
    <x v="1482"/>
    <x v="1106"/>
    <x v="419"/>
    <x v="1059"/>
    <x v="25"/>
    <x v="37"/>
    <x v="1269"/>
    <x v="25"/>
    <x v="0"/>
  </r>
  <r>
    <x v="16"/>
    <x v="0"/>
    <x v="1"/>
    <x v="2"/>
    <x v="6"/>
    <x v="1"/>
    <x v="56"/>
    <x v="38"/>
    <x v="7"/>
    <x v="158"/>
    <x v="395"/>
    <x v="396"/>
    <x v="1483"/>
    <x v="1422"/>
    <x v="1490"/>
    <x v="1060"/>
    <x v="81"/>
    <x v="199"/>
    <x v="1270"/>
    <x v="81"/>
    <x v="0"/>
  </r>
  <r>
    <x v="7"/>
    <x v="1"/>
    <x v="3"/>
    <x v="1"/>
    <x v="1"/>
    <x v="2"/>
    <x v="99"/>
    <x v="34"/>
    <x v="79"/>
    <x v="43"/>
    <x v="399"/>
    <x v="1318"/>
    <x v="1484"/>
    <x v="1423"/>
    <x v="1491"/>
    <x v="1004"/>
    <x v="155"/>
    <x v="71"/>
    <x v="1271"/>
    <x v="155"/>
    <x v="2"/>
  </r>
  <r>
    <x v="50"/>
    <x v="1"/>
    <x v="9"/>
    <x v="1"/>
    <x v="2"/>
    <x v="2"/>
    <x v="15"/>
    <x v="17"/>
    <x v="35"/>
    <x v="140"/>
    <x v="434"/>
    <x v="1319"/>
    <x v="1485"/>
    <x v="1424"/>
    <x v="1492"/>
    <x v="1061"/>
    <x v="1"/>
    <x v="121"/>
    <x v="53"/>
    <x v="1"/>
    <x v="2"/>
  </r>
  <r>
    <x v="16"/>
    <x v="1"/>
    <x v="2"/>
    <x v="4"/>
    <x v="5"/>
    <x v="3"/>
    <x v="72"/>
    <x v="29"/>
    <x v="56"/>
    <x v="57"/>
    <x v="384"/>
    <x v="1320"/>
    <x v="1486"/>
    <x v="1425"/>
    <x v="1493"/>
    <x v="466"/>
    <x v="17"/>
    <x v="211"/>
    <x v="114"/>
    <x v="17"/>
    <x v="0"/>
  </r>
  <r>
    <x v="15"/>
    <x v="0"/>
    <x v="3"/>
    <x v="0"/>
    <x v="2"/>
    <x v="2"/>
    <x v="18"/>
    <x v="56"/>
    <x v="67"/>
    <x v="58"/>
    <x v="345"/>
    <x v="1321"/>
    <x v="1487"/>
    <x v="9"/>
    <x v="1494"/>
    <x v="0"/>
    <x v="124"/>
    <x v="185"/>
    <x v="1272"/>
    <x v="124"/>
    <x v="2"/>
  </r>
  <r>
    <x v="35"/>
    <x v="0"/>
    <x v="1"/>
    <x v="2"/>
    <x v="4"/>
    <x v="3"/>
    <x v="96"/>
    <x v="7"/>
    <x v="67"/>
    <x v="2"/>
    <x v="435"/>
    <x v="1322"/>
    <x v="1488"/>
    <x v="1426"/>
    <x v="1495"/>
    <x v="1062"/>
    <x v="111"/>
    <x v="146"/>
    <x v="1273"/>
    <x v="111"/>
    <x v="2"/>
  </r>
  <r>
    <x v="41"/>
    <x v="1"/>
    <x v="2"/>
    <x v="2"/>
    <x v="3"/>
    <x v="3"/>
    <x v="96"/>
    <x v="43"/>
    <x v="11"/>
    <x v="64"/>
    <x v="73"/>
    <x v="1323"/>
    <x v="1489"/>
    <x v="1427"/>
    <x v="1496"/>
    <x v="1063"/>
    <x v="144"/>
    <x v="189"/>
    <x v="1274"/>
    <x v="144"/>
    <x v="2"/>
  </r>
  <r>
    <x v="49"/>
    <x v="1"/>
    <x v="2"/>
    <x v="2"/>
    <x v="0"/>
    <x v="0"/>
    <x v="105"/>
    <x v="21"/>
    <x v="8"/>
    <x v="90"/>
    <x v="321"/>
    <x v="1324"/>
    <x v="1490"/>
    <x v="1423"/>
    <x v="1497"/>
    <x v="1064"/>
    <x v="8"/>
    <x v="76"/>
    <x v="8"/>
    <x v="8"/>
    <x v="1"/>
  </r>
  <r>
    <x v="9"/>
    <x v="1"/>
    <x v="9"/>
    <x v="1"/>
    <x v="0"/>
    <x v="3"/>
    <x v="48"/>
    <x v="58"/>
    <x v="21"/>
    <x v="37"/>
    <x v="247"/>
    <x v="1325"/>
    <x v="1491"/>
    <x v="33"/>
    <x v="1498"/>
    <x v="39"/>
    <x v="34"/>
    <x v="54"/>
    <x v="1275"/>
    <x v="34"/>
    <x v="0"/>
  </r>
  <r>
    <x v="56"/>
    <x v="0"/>
    <x v="1"/>
    <x v="3"/>
    <x v="0"/>
    <x v="1"/>
    <x v="6"/>
    <x v="62"/>
    <x v="42"/>
    <x v="145"/>
    <x v="93"/>
    <x v="7"/>
    <x v="1492"/>
    <x v="1428"/>
    <x v="1499"/>
    <x v="112"/>
    <x v="50"/>
    <x v="5"/>
    <x v="1276"/>
    <x v="50"/>
    <x v="2"/>
  </r>
  <r>
    <x v="25"/>
    <x v="0"/>
    <x v="7"/>
    <x v="1"/>
    <x v="5"/>
    <x v="2"/>
    <x v="54"/>
    <x v="63"/>
    <x v="22"/>
    <x v="141"/>
    <x v="30"/>
    <x v="0"/>
    <x v="1493"/>
    <x v="1429"/>
    <x v="1500"/>
    <x v="1065"/>
    <x v="100"/>
    <x v="126"/>
    <x v="1277"/>
    <x v="100"/>
    <x v="0"/>
  </r>
  <r>
    <x v="20"/>
    <x v="0"/>
    <x v="5"/>
    <x v="0"/>
    <x v="0"/>
    <x v="0"/>
    <x v="67"/>
    <x v="27"/>
    <x v="54"/>
    <x v="23"/>
    <x v="216"/>
    <x v="1326"/>
    <x v="1494"/>
    <x v="1430"/>
    <x v="1501"/>
    <x v="82"/>
    <x v="6"/>
    <x v="33"/>
    <x v="1278"/>
    <x v="6"/>
    <x v="1"/>
  </r>
  <r>
    <x v="32"/>
    <x v="0"/>
    <x v="9"/>
    <x v="1"/>
    <x v="5"/>
    <x v="2"/>
    <x v="93"/>
    <x v="41"/>
    <x v="79"/>
    <x v="66"/>
    <x v="281"/>
    <x v="1327"/>
    <x v="1495"/>
    <x v="1431"/>
    <x v="1502"/>
    <x v="1066"/>
    <x v="30"/>
    <x v="0"/>
    <x v="1279"/>
    <x v="30"/>
    <x v="1"/>
  </r>
  <r>
    <x v="39"/>
    <x v="1"/>
    <x v="5"/>
    <x v="4"/>
    <x v="0"/>
    <x v="3"/>
    <x v="44"/>
    <x v="79"/>
    <x v="50"/>
    <x v="132"/>
    <x v="330"/>
    <x v="1328"/>
    <x v="1496"/>
    <x v="1432"/>
    <x v="1503"/>
    <x v="1067"/>
    <x v="66"/>
    <x v="200"/>
    <x v="370"/>
    <x v="66"/>
    <x v="2"/>
  </r>
  <r>
    <x v="42"/>
    <x v="1"/>
    <x v="2"/>
    <x v="0"/>
    <x v="4"/>
    <x v="2"/>
    <x v="11"/>
    <x v="62"/>
    <x v="27"/>
    <x v="47"/>
    <x v="201"/>
    <x v="1329"/>
    <x v="1497"/>
    <x v="1433"/>
    <x v="1504"/>
    <x v="935"/>
    <x v="34"/>
    <x v="80"/>
    <x v="1280"/>
    <x v="34"/>
    <x v="2"/>
  </r>
  <r>
    <x v="37"/>
    <x v="0"/>
    <x v="1"/>
    <x v="4"/>
    <x v="5"/>
    <x v="3"/>
    <x v="36"/>
    <x v="15"/>
    <x v="80"/>
    <x v="78"/>
    <x v="130"/>
    <x v="1330"/>
    <x v="1498"/>
    <x v="1434"/>
    <x v="1505"/>
    <x v="968"/>
    <x v="51"/>
    <x v="61"/>
    <x v="1281"/>
    <x v="51"/>
    <x v="2"/>
  </r>
  <r>
    <x v="8"/>
    <x v="1"/>
    <x v="5"/>
    <x v="0"/>
    <x v="3"/>
    <x v="1"/>
    <x v="75"/>
    <x v="33"/>
    <x v="87"/>
    <x v="96"/>
    <x v="70"/>
    <x v="1331"/>
    <x v="1499"/>
    <x v="1435"/>
    <x v="1506"/>
    <x v="980"/>
    <x v="7"/>
    <x v="43"/>
    <x v="721"/>
    <x v="7"/>
    <x v="2"/>
  </r>
  <r>
    <x v="41"/>
    <x v="1"/>
    <x v="7"/>
    <x v="2"/>
    <x v="2"/>
    <x v="0"/>
    <x v="38"/>
    <x v="47"/>
    <x v="26"/>
    <x v="29"/>
    <x v="5"/>
    <x v="1332"/>
    <x v="1500"/>
    <x v="1436"/>
    <x v="1507"/>
    <x v="1068"/>
    <x v="5"/>
    <x v="114"/>
    <x v="1282"/>
    <x v="5"/>
    <x v="2"/>
  </r>
  <r>
    <x v="32"/>
    <x v="0"/>
    <x v="0"/>
    <x v="2"/>
    <x v="0"/>
    <x v="0"/>
    <x v="3"/>
    <x v="21"/>
    <x v="64"/>
    <x v="29"/>
    <x v="436"/>
    <x v="1333"/>
    <x v="1501"/>
    <x v="1437"/>
    <x v="1508"/>
    <x v="1069"/>
    <x v="140"/>
    <x v="117"/>
    <x v="681"/>
    <x v="140"/>
    <x v="1"/>
  </r>
  <r>
    <x v="49"/>
    <x v="1"/>
    <x v="7"/>
    <x v="0"/>
    <x v="1"/>
    <x v="1"/>
    <x v="46"/>
    <x v="40"/>
    <x v="73"/>
    <x v="149"/>
    <x v="58"/>
    <x v="1334"/>
    <x v="1502"/>
    <x v="1438"/>
    <x v="1509"/>
    <x v="658"/>
    <x v="161"/>
    <x v="151"/>
    <x v="1283"/>
    <x v="161"/>
    <x v="1"/>
  </r>
  <r>
    <x v="2"/>
    <x v="1"/>
    <x v="4"/>
    <x v="3"/>
    <x v="2"/>
    <x v="3"/>
    <x v="18"/>
    <x v="63"/>
    <x v="1"/>
    <x v="18"/>
    <x v="350"/>
    <x v="1335"/>
    <x v="1503"/>
    <x v="1439"/>
    <x v="1510"/>
    <x v="1070"/>
    <x v="59"/>
    <x v="173"/>
    <x v="1284"/>
    <x v="59"/>
    <x v="2"/>
  </r>
  <r>
    <x v="23"/>
    <x v="1"/>
    <x v="5"/>
    <x v="2"/>
    <x v="5"/>
    <x v="2"/>
    <x v="34"/>
    <x v="52"/>
    <x v="77"/>
    <x v="146"/>
    <x v="110"/>
    <x v="793"/>
    <x v="1504"/>
    <x v="1440"/>
    <x v="1511"/>
    <x v="834"/>
    <x v="75"/>
    <x v="65"/>
    <x v="1285"/>
    <x v="75"/>
    <x v="1"/>
  </r>
  <r>
    <x v="0"/>
    <x v="1"/>
    <x v="5"/>
    <x v="1"/>
    <x v="5"/>
    <x v="0"/>
    <x v="79"/>
    <x v="19"/>
    <x v="37"/>
    <x v="17"/>
    <x v="104"/>
    <x v="1336"/>
    <x v="1505"/>
    <x v="1441"/>
    <x v="1512"/>
    <x v="1071"/>
    <x v="65"/>
    <x v="138"/>
    <x v="631"/>
    <x v="65"/>
    <x v="0"/>
  </r>
  <r>
    <x v="31"/>
    <x v="1"/>
    <x v="5"/>
    <x v="2"/>
    <x v="2"/>
    <x v="3"/>
    <x v="73"/>
    <x v="57"/>
    <x v="27"/>
    <x v="22"/>
    <x v="410"/>
    <x v="851"/>
    <x v="1506"/>
    <x v="1442"/>
    <x v="1513"/>
    <x v="334"/>
    <x v="86"/>
    <x v="132"/>
    <x v="1286"/>
    <x v="86"/>
    <x v="2"/>
  </r>
  <r>
    <x v="28"/>
    <x v="0"/>
    <x v="9"/>
    <x v="2"/>
    <x v="6"/>
    <x v="0"/>
    <x v="36"/>
    <x v="12"/>
    <x v="83"/>
    <x v="20"/>
    <x v="16"/>
    <x v="1337"/>
    <x v="1507"/>
    <x v="1443"/>
    <x v="1514"/>
    <x v="206"/>
    <x v="141"/>
    <x v="149"/>
    <x v="1287"/>
    <x v="141"/>
    <x v="0"/>
  </r>
  <r>
    <x v="36"/>
    <x v="1"/>
    <x v="8"/>
    <x v="4"/>
    <x v="2"/>
    <x v="1"/>
    <x v="55"/>
    <x v="66"/>
    <x v="84"/>
    <x v="83"/>
    <x v="155"/>
    <x v="1338"/>
    <x v="1508"/>
    <x v="1444"/>
    <x v="1515"/>
    <x v="1072"/>
    <x v="78"/>
    <x v="147"/>
    <x v="1288"/>
    <x v="78"/>
    <x v="1"/>
  </r>
  <r>
    <x v="3"/>
    <x v="1"/>
    <x v="9"/>
    <x v="4"/>
    <x v="2"/>
    <x v="1"/>
    <x v="64"/>
    <x v="79"/>
    <x v="15"/>
    <x v="41"/>
    <x v="257"/>
    <x v="1339"/>
    <x v="1509"/>
    <x v="1445"/>
    <x v="1516"/>
    <x v="1073"/>
    <x v="20"/>
    <x v="55"/>
    <x v="390"/>
    <x v="20"/>
    <x v="0"/>
  </r>
  <r>
    <x v="59"/>
    <x v="0"/>
    <x v="3"/>
    <x v="1"/>
    <x v="1"/>
    <x v="2"/>
    <x v="7"/>
    <x v="45"/>
    <x v="30"/>
    <x v="22"/>
    <x v="389"/>
    <x v="1340"/>
    <x v="1510"/>
    <x v="1446"/>
    <x v="1517"/>
    <x v="529"/>
    <x v="142"/>
    <x v="8"/>
    <x v="1289"/>
    <x v="142"/>
    <x v="0"/>
  </r>
  <r>
    <x v="2"/>
    <x v="1"/>
    <x v="0"/>
    <x v="1"/>
    <x v="2"/>
    <x v="3"/>
    <x v="4"/>
    <x v="76"/>
    <x v="80"/>
    <x v="66"/>
    <x v="437"/>
    <x v="1341"/>
    <x v="1511"/>
    <x v="1447"/>
    <x v="1518"/>
    <x v="1074"/>
    <x v="104"/>
    <x v="96"/>
    <x v="1290"/>
    <x v="104"/>
    <x v="2"/>
  </r>
  <r>
    <x v="5"/>
    <x v="0"/>
    <x v="0"/>
    <x v="1"/>
    <x v="1"/>
    <x v="2"/>
    <x v="99"/>
    <x v="30"/>
    <x v="53"/>
    <x v="156"/>
    <x v="285"/>
    <x v="1049"/>
    <x v="1512"/>
    <x v="1448"/>
    <x v="1519"/>
    <x v="1075"/>
    <x v="41"/>
    <x v="133"/>
    <x v="1291"/>
    <x v="41"/>
    <x v="2"/>
  </r>
  <r>
    <x v="55"/>
    <x v="0"/>
    <x v="3"/>
    <x v="3"/>
    <x v="3"/>
    <x v="0"/>
    <x v="74"/>
    <x v="27"/>
    <x v="24"/>
    <x v="157"/>
    <x v="389"/>
    <x v="1342"/>
    <x v="1513"/>
    <x v="1449"/>
    <x v="1520"/>
    <x v="130"/>
    <x v="15"/>
    <x v="105"/>
    <x v="1292"/>
    <x v="15"/>
    <x v="2"/>
  </r>
  <r>
    <x v="45"/>
    <x v="0"/>
    <x v="1"/>
    <x v="2"/>
    <x v="5"/>
    <x v="2"/>
    <x v="66"/>
    <x v="8"/>
    <x v="8"/>
    <x v="125"/>
    <x v="232"/>
    <x v="1343"/>
    <x v="1514"/>
    <x v="1450"/>
    <x v="1521"/>
    <x v="1076"/>
    <x v="106"/>
    <x v="158"/>
    <x v="1293"/>
    <x v="106"/>
    <x v="2"/>
  </r>
  <r>
    <x v="16"/>
    <x v="0"/>
    <x v="2"/>
    <x v="4"/>
    <x v="4"/>
    <x v="0"/>
    <x v="73"/>
    <x v="34"/>
    <x v="42"/>
    <x v="138"/>
    <x v="97"/>
    <x v="1344"/>
    <x v="1515"/>
    <x v="710"/>
    <x v="1522"/>
    <x v="400"/>
    <x v="132"/>
    <x v="119"/>
    <x v="772"/>
    <x v="132"/>
    <x v="0"/>
  </r>
  <r>
    <x v="15"/>
    <x v="1"/>
    <x v="2"/>
    <x v="3"/>
    <x v="0"/>
    <x v="1"/>
    <x v="76"/>
    <x v="47"/>
    <x v="40"/>
    <x v="152"/>
    <x v="380"/>
    <x v="1345"/>
    <x v="1516"/>
    <x v="1451"/>
    <x v="1523"/>
    <x v="712"/>
    <x v="43"/>
    <x v="181"/>
    <x v="1294"/>
    <x v="43"/>
    <x v="2"/>
  </r>
  <r>
    <x v="3"/>
    <x v="0"/>
    <x v="2"/>
    <x v="0"/>
    <x v="4"/>
    <x v="3"/>
    <x v="66"/>
    <x v="3"/>
    <x v="5"/>
    <x v="32"/>
    <x v="184"/>
    <x v="1346"/>
    <x v="1517"/>
    <x v="1452"/>
    <x v="1524"/>
    <x v="1077"/>
    <x v="68"/>
    <x v="66"/>
    <x v="1295"/>
    <x v="68"/>
    <x v="0"/>
  </r>
  <r>
    <x v="35"/>
    <x v="1"/>
    <x v="4"/>
    <x v="4"/>
    <x v="5"/>
    <x v="1"/>
    <x v="56"/>
    <x v="14"/>
    <x v="54"/>
    <x v="81"/>
    <x v="91"/>
    <x v="1347"/>
    <x v="1518"/>
    <x v="1453"/>
    <x v="1525"/>
    <x v="719"/>
    <x v="132"/>
    <x v="52"/>
    <x v="1296"/>
    <x v="132"/>
    <x v="2"/>
  </r>
  <r>
    <x v="28"/>
    <x v="1"/>
    <x v="8"/>
    <x v="3"/>
    <x v="4"/>
    <x v="3"/>
    <x v="86"/>
    <x v="27"/>
    <x v="39"/>
    <x v="76"/>
    <x v="212"/>
    <x v="1348"/>
    <x v="1519"/>
    <x v="1454"/>
    <x v="1526"/>
    <x v="1078"/>
    <x v="20"/>
    <x v="204"/>
    <x v="1297"/>
    <x v="20"/>
    <x v="0"/>
  </r>
  <r>
    <x v="38"/>
    <x v="0"/>
    <x v="9"/>
    <x v="4"/>
    <x v="6"/>
    <x v="3"/>
    <x v="46"/>
    <x v="25"/>
    <x v="57"/>
    <x v="49"/>
    <x v="161"/>
    <x v="664"/>
    <x v="1520"/>
    <x v="1455"/>
    <x v="1527"/>
    <x v="6"/>
    <x v="19"/>
    <x v="88"/>
    <x v="1298"/>
    <x v="19"/>
    <x v="2"/>
  </r>
  <r>
    <x v="23"/>
    <x v="0"/>
    <x v="4"/>
    <x v="2"/>
    <x v="6"/>
    <x v="0"/>
    <x v="81"/>
    <x v="19"/>
    <x v="85"/>
    <x v="113"/>
    <x v="148"/>
    <x v="1349"/>
    <x v="1521"/>
    <x v="1456"/>
    <x v="1528"/>
    <x v="225"/>
    <x v="150"/>
    <x v="51"/>
    <x v="1299"/>
    <x v="150"/>
    <x v="1"/>
  </r>
  <r>
    <x v="9"/>
    <x v="1"/>
    <x v="0"/>
    <x v="4"/>
    <x v="5"/>
    <x v="0"/>
    <x v="52"/>
    <x v="14"/>
    <x v="28"/>
    <x v="85"/>
    <x v="153"/>
    <x v="1350"/>
    <x v="1522"/>
    <x v="1192"/>
    <x v="1529"/>
    <x v="577"/>
    <x v="71"/>
    <x v="130"/>
    <x v="1300"/>
    <x v="71"/>
    <x v="0"/>
  </r>
  <r>
    <x v="33"/>
    <x v="1"/>
    <x v="5"/>
    <x v="0"/>
    <x v="6"/>
    <x v="0"/>
    <x v="75"/>
    <x v="7"/>
    <x v="25"/>
    <x v="121"/>
    <x v="200"/>
    <x v="1351"/>
    <x v="1523"/>
    <x v="1457"/>
    <x v="1530"/>
    <x v="450"/>
    <x v="188"/>
    <x v="73"/>
    <x v="1301"/>
    <x v="188"/>
    <x v="2"/>
  </r>
  <r>
    <x v="25"/>
    <x v="0"/>
    <x v="5"/>
    <x v="3"/>
    <x v="3"/>
    <x v="2"/>
    <x v="20"/>
    <x v="4"/>
    <x v="31"/>
    <x v="49"/>
    <x v="83"/>
    <x v="1352"/>
    <x v="1524"/>
    <x v="1458"/>
    <x v="1531"/>
    <x v="1079"/>
    <x v="12"/>
    <x v="150"/>
    <x v="200"/>
    <x v="12"/>
    <x v="0"/>
  </r>
  <r>
    <x v="53"/>
    <x v="1"/>
    <x v="3"/>
    <x v="3"/>
    <x v="3"/>
    <x v="0"/>
    <x v="88"/>
    <x v="16"/>
    <x v="6"/>
    <x v="19"/>
    <x v="5"/>
    <x v="1353"/>
    <x v="1525"/>
    <x v="1459"/>
    <x v="1532"/>
    <x v="948"/>
    <x v="57"/>
    <x v="18"/>
    <x v="1302"/>
    <x v="57"/>
    <x v="1"/>
  </r>
  <r>
    <x v="10"/>
    <x v="0"/>
    <x v="9"/>
    <x v="1"/>
    <x v="5"/>
    <x v="3"/>
    <x v="63"/>
    <x v="69"/>
    <x v="5"/>
    <x v="81"/>
    <x v="429"/>
    <x v="1354"/>
    <x v="1526"/>
    <x v="1460"/>
    <x v="1533"/>
    <x v="490"/>
    <x v="98"/>
    <x v="218"/>
    <x v="1303"/>
    <x v="98"/>
    <x v="2"/>
  </r>
  <r>
    <x v="32"/>
    <x v="1"/>
    <x v="8"/>
    <x v="1"/>
    <x v="3"/>
    <x v="1"/>
    <x v="25"/>
    <x v="51"/>
    <x v="27"/>
    <x v="68"/>
    <x v="188"/>
    <x v="1355"/>
    <x v="1527"/>
    <x v="1461"/>
    <x v="1534"/>
    <x v="746"/>
    <x v="42"/>
    <x v="41"/>
    <x v="1304"/>
    <x v="42"/>
    <x v="1"/>
  </r>
  <r>
    <x v="43"/>
    <x v="1"/>
    <x v="5"/>
    <x v="2"/>
    <x v="6"/>
    <x v="2"/>
    <x v="52"/>
    <x v="47"/>
    <x v="70"/>
    <x v="120"/>
    <x v="306"/>
    <x v="1356"/>
    <x v="1528"/>
    <x v="1462"/>
    <x v="1535"/>
    <x v="980"/>
    <x v="122"/>
    <x v="26"/>
    <x v="1305"/>
    <x v="122"/>
    <x v="2"/>
  </r>
  <r>
    <x v="45"/>
    <x v="1"/>
    <x v="4"/>
    <x v="1"/>
    <x v="4"/>
    <x v="3"/>
    <x v="29"/>
    <x v="49"/>
    <x v="7"/>
    <x v="8"/>
    <x v="152"/>
    <x v="1357"/>
    <x v="1529"/>
    <x v="1463"/>
    <x v="1536"/>
    <x v="715"/>
    <x v="98"/>
    <x v="83"/>
    <x v="1306"/>
    <x v="98"/>
    <x v="2"/>
  </r>
  <r>
    <x v="29"/>
    <x v="1"/>
    <x v="6"/>
    <x v="4"/>
    <x v="4"/>
    <x v="1"/>
    <x v="67"/>
    <x v="54"/>
    <x v="26"/>
    <x v="105"/>
    <x v="267"/>
    <x v="1358"/>
    <x v="1530"/>
    <x v="1464"/>
    <x v="1537"/>
    <x v="1040"/>
    <x v="113"/>
    <x v="202"/>
    <x v="295"/>
    <x v="113"/>
    <x v="2"/>
  </r>
  <r>
    <x v="41"/>
    <x v="1"/>
    <x v="2"/>
    <x v="0"/>
    <x v="5"/>
    <x v="1"/>
    <x v="6"/>
    <x v="71"/>
    <x v="8"/>
    <x v="123"/>
    <x v="233"/>
    <x v="1359"/>
    <x v="1531"/>
    <x v="1465"/>
    <x v="1538"/>
    <x v="1080"/>
    <x v="18"/>
    <x v="63"/>
    <x v="1175"/>
    <x v="18"/>
    <x v="2"/>
  </r>
  <r>
    <x v="28"/>
    <x v="0"/>
    <x v="6"/>
    <x v="0"/>
    <x v="4"/>
    <x v="0"/>
    <x v="66"/>
    <x v="8"/>
    <x v="21"/>
    <x v="70"/>
    <x v="410"/>
    <x v="1360"/>
    <x v="1532"/>
    <x v="1466"/>
    <x v="1539"/>
    <x v="79"/>
    <x v="106"/>
    <x v="70"/>
    <x v="1307"/>
    <x v="106"/>
    <x v="0"/>
  </r>
  <r>
    <x v="58"/>
    <x v="1"/>
    <x v="7"/>
    <x v="2"/>
    <x v="1"/>
    <x v="3"/>
    <x v="11"/>
    <x v="32"/>
    <x v="74"/>
    <x v="139"/>
    <x v="404"/>
    <x v="1361"/>
    <x v="1533"/>
    <x v="1467"/>
    <x v="1540"/>
    <x v="61"/>
    <x v="136"/>
    <x v="100"/>
    <x v="1308"/>
    <x v="136"/>
    <x v="0"/>
  </r>
  <r>
    <x v="19"/>
    <x v="0"/>
    <x v="5"/>
    <x v="3"/>
    <x v="0"/>
    <x v="1"/>
    <x v="66"/>
    <x v="64"/>
    <x v="30"/>
    <x v="103"/>
    <x v="327"/>
    <x v="1362"/>
    <x v="1534"/>
    <x v="1468"/>
    <x v="1541"/>
    <x v="829"/>
    <x v="12"/>
    <x v="148"/>
    <x v="1309"/>
    <x v="12"/>
    <x v="1"/>
  </r>
  <r>
    <x v="5"/>
    <x v="0"/>
    <x v="0"/>
    <x v="3"/>
    <x v="5"/>
    <x v="3"/>
    <x v="82"/>
    <x v="29"/>
    <x v="23"/>
    <x v="53"/>
    <x v="136"/>
    <x v="1363"/>
    <x v="1535"/>
    <x v="1469"/>
    <x v="1542"/>
    <x v="1081"/>
    <x v="15"/>
    <x v="53"/>
    <x v="1310"/>
    <x v="15"/>
    <x v="2"/>
  </r>
  <r>
    <x v="13"/>
    <x v="1"/>
    <x v="0"/>
    <x v="2"/>
    <x v="4"/>
    <x v="0"/>
    <x v="87"/>
    <x v="72"/>
    <x v="46"/>
    <x v="128"/>
    <x v="358"/>
    <x v="1364"/>
    <x v="1536"/>
    <x v="1470"/>
    <x v="1543"/>
    <x v="365"/>
    <x v="132"/>
    <x v="118"/>
    <x v="786"/>
    <x v="132"/>
    <x v="2"/>
  </r>
  <r>
    <x v="8"/>
    <x v="0"/>
    <x v="7"/>
    <x v="3"/>
    <x v="3"/>
    <x v="0"/>
    <x v="27"/>
    <x v="3"/>
    <x v="28"/>
    <x v="73"/>
    <x v="413"/>
    <x v="1365"/>
    <x v="1537"/>
    <x v="1471"/>
    <x v="1544"/>
    <x v="842"/>
    <x v="24"/>
    <x v="31"/>
    <x v="1311"/>
    <x v="24"/>
    <x v="2"/>
  </r>
  <r>
    <x v="24"/>
    <x v="1"/>
    <x v="3"/>
    <x v="0"/>
    <x v="1"/>
    <x v="2"/>
    <x v="53"/>
    <x v="17"/>
    <x v="37"/>
    <x v="157"/>
    <x v="336"/>
    <x v="108"/>
    <x v="1538"/>
    <x v="1472"/>
    <x v="1545"/>
    <x v="275"/>
    <x v="103"/>
    <x v="31"/>
    <x v="1312"/>
    <x v="103"/>
    <x v="1"/>
  </r>
  <r>
    <x v="51"/>
    <x v="0"/>
    <x v="7"/>
    <x v="4"/>
    <x v="5"/>
    <x v="3"/>
    <x v="35"/>
    <x v="70"/>
    <x v="35"/>
    <x v="72"/>
    <x v="47"/>
    <x v="1366"/>
    <x v="1539"/>
    <x v="1473"/>
    <x v="1546"/>
    <x v="133"/>
    <x v="13"/>
    <x v="180"/>
    <x v="116"/>
    <x v="13"/>
    <x v="2"/>
  </r>
  <r>
    <x v="5"/>
    <x v="1"/>
    <x v="2"/>
    <x v="3"/>
    <x v="5"/>
    <x v="3"/>
    <x v="0"/>
    <x v="45"/>
    <x v="16"/>
    <x v="94"/>
    <x v="28"/>
    <x v="624"/>
    <x v="1540"/>
    <x v="652"/>
    <x v="1547"/>
    <x v="1082"/>
    <x v="104"/>
    <x v="87"/>
    <x v="883"/>
    <x v="104"/>
    <x v="2"/>
  </r>
  <r>
    <x v="56"/>
    <x v="0"/>
    <x v="3"/>
    <x v="1"/>
    <x v="6"/>
    <x v="0"/>
    <x v="104"/>
    <x v="31"/>
    <x v="54"/>
    <x v="157"/>
    <x v="253"/>
    <x v="1351"/>
    <x v="1541"/>
    <x v="1474"/>
    <x v="1548"/>
    <x v="1083"/>
    <x v="151"/>
    <x v="95"/>
    <x v="1313"/>
    <x v="151"/>
    <x v="2"/>
  </r>
  <r>
    <x v="32"/>
    <x v="1"/>
    <x v="8"/>
    <x v="3"/>
    <x v="3"/>
    <x v="1"/>
    <x v="53"/>
    <x v="35"/>
    <x v="40"/>
    <x v="139"/>
    <x v="192"/>
    <x v="1367"/>
    <x v="1542"/>
    <x v="1475"/>
    <x v="1549"/>
    <x v="1002"/>
    <x v="30"/>
    <x v="27"/>
    <x v="1314"/>
    <x v="30"/>
    <x v="1"/>
  </r>
  <r>
    <x v="22"/>
    <x v="1"/>
    <x v="6"/>
    <x v="1"/>
    <x v="0"/>
    <x v="2"/>
    <x v="115"/>
    <x v="34"/>
    <x v="68"/>
    <x v="135"/>
    <x v="50"/>
    <x v="1368"/>
    <x v="1543"/>
    <x v="1476"/>
    <x v="1550"/>
    <x v="1084"/>
    <x v="146"/>
    <x v="106"/>
    <x v="1315"/>
    <x v="146"/>
    <x v="0"/>
  </r>
  <r>
    <x v="59"/>
    <x v="1"/>
    <x v="9"/>
    <x v="4"/>
    <x v="4"/>
    <x v="3"/>
    <x v="28"/>
    <x v="39"/>
    <x v="68"/>
    <x v="128"/>
    <x v="39"/>
    <x v="1369"/>
    <x v="1544"/>
    <x v="1477"/>
    <x v="1551"/>
    <x v="73"/>
    <x v="164"/>
    <x v="34"/>
    <x v="1316"/>
    <x v="164"/>
    <x v="0"/>
  </r>
  <r>
    <x v="52"/>
    <x v="1"/>
    <x v="8"/>
    <x v="2"/>
    <x v="3"/>
    <x v="1"/>
    <x v="36"/>
    <x v="16"/>
    <x v="88"/>
    <x v="136"/>
    <x v="390"/>
    <x v="1370"/>
    <x v="1545"/>
    <x v="1478"/>
    <x v="1552"/>
    <x v="1085"/>
    <x v="6"/>
    <x v="82"/>
    <x v="1317"/>
    <x v="6"/>
    <x v="2"/>
  </r>
  <r>
    <x v="52"/>
    <x v="0"/>
    <x v="7"/>
    <x v="2"/>
    <x v="5"/>
    <x v="3"/>
    <x v="31"/>
    <x v="30"/>
    <x v="41"/>
    <x v="77"/>
    <x v="282"/>
    <x v="1371"/>
    <x v="1546"/>
    <x v="1479"/>
    <x v="1553"/>
    <x v="1086"/>
    <x v="28"/>
    <x v="109"/>
    <x v="1318"/>
    <x v="28"/>
    <x v="2"/>
  </r>
  <r>
    <x v="27"/>
    <x v="1"/>
    <x v="5"/>
    <x v="0"/>
    <x v="5"/>
    <x v="3"/>
    <x v="79"/>
    <x v="60"/>
    <x v="60"/>
    <x v="93"/>
    <x v="300"/>
    <x v="1372"/>
    <x v="1547"/>
    <x v="1480"/>
    <x v="1554"/>
    <x v="1030"/>
    <x v="1"/>
    <x v="10"/>
    <x v="1319"/>
    <x v="1"/>
    <x v="0"/>
  </r>
  <r>
    <x v="45"/>
    <x v="0"/>
    <x v="0"/>
    <x v="3"/>
    <x v="3"/>
    <x v="1"/>
    <x v="94"/>
    <x v="41"/>
    <x v="30"/>
    <x v="50"/>
    <x v="311"/>
    <x v="1373"/>
    <x v="1548"/>
    <x v="1481"/>
    <x v="1555"/>
    <x v="1087"/>
    <x v="104"/>
    <x v="176"/>
    <x v="314"/>
    <x v="104"/>
    <x v="2"/>
  </r>
  <r>
    <x v="30"/>
    <x v="1"/>
    <x v="8"/>
    <x v="3"/>
    <x v="6"/>
    <x v="3"/>
    <x v="63"/>
    <x v="37"/>
    <x v="45"/>
    <x v="116"/>
    <x v="22"/>
    <x v="1374"/>
    <x v="1549"/>
    <x v="1482"/>
    <x v="1556"/>
    <x v="988"/>
    <x v="23"/>
    <x v="109"/>
    <x v="1320"/>
    <x v="23"/>
    <x v="1"/>
  </r>
  <r>
    <x v="2"/>
    <x v="0"/>
    <x v="5"/>
    <x v="0"/>
    <x v="6"/>
    <x v="1"/>
    <x v="6"/>
    <x v="38"/>
    <x v="43"/>
    <x v="148"/>
    <x v="184"/>
    <x v="233"/>
    <x v="1550"/>
    <x v="1483"/>
    <x v="1557"/>
    <x v="197"/>
    <x v="146"/>
    <x v="158"/>
    <x v="1321"/>
    <x v="146"/>
    <x v="2"/>
  </r>
  <r>
    <x v="41"/>
    <x v="0"/>
    <x v="1"/>
    <x v="0"/>
    <x v="4"/>
    <x v="0"/>
    <x v="41"/>
    <x v="40"/>
    <x v="72"/>
    <x v="58"/>
    <x v="289"/>
    <x v="1144"/>
    <x v="1551"/>
    <x v="990"/>
    <x v="1558"/>
    <x v="749"/>
    <x v="28"/>
    <x v="16"/>
    <x v="1322"/>
    <x v="28"/>
    <x v="2"/>
  </r>
  <r>
    <x v="46"/>
    <x v="0"/>
    <x v="3"/>
    <x v="1"/>
    <x v="4"/>
    <x v="1"/>
    <x v="88"/>
    <x v="30"/>
    <x v="83"/>
    <x v="127"/>
    <x v="19"/>
    <x v="35"/>
    <x v="1552"/>
    <x v="1484"/>
    <x v="1559"/>
    <x v="1088"/>
    <x v="70"/>
    <x v="86"/>
    <x v="1323"/>
    <x v="70"/>
    <x v="1"/>
  </r>
  <r>
    <x v="9"/>
    <x v="0"/>
    <x v="4"/>
    <x v="1"/>
    <x v="3"/>
    <x v="0"/>
    <x v="110"/>
    <x v="15"/>
    <x v="8"/>
    <x v="65"/>
    <x v="225"/>
    <x v="1235"/>
    <x v="1553"/>
    <x v="1485"/>
    <x v="1560"/>
    <x v="1041"/>
    <x v="67"/>
    <x v="56"/>
    <x v="48"/>
    <x v="67"/>
    <x v="0"/>
  </r>
  <r>
    <x v="15"/>
    <x v="0"/>
    <x v="3"/>
    <x v="0"/>
    <x v="0"/>
    <x v="2"/>
    <x v="56"/>
    <x v="22"/>
    <x v="42"/>
    <x v="103"/>
    <x v="349"/>
    <x v="214"/>
    <x v="1554"/>
    <x v="1486"/>
    <x v="1561"/>
    <x v="264"/>
    <x v="49"/>
    <x v="198"/>
    <x v="1324"/>
    <x v="49"/>
    <x v="2"/>
  </r>
  <r>
    <x v="19"/>
    <x v="1"/>
    <x v="5"/>
    <x v="4"/>
    <x v="1"/>
    <x v="3"/>
    <x v="34"/>
    <x v="67"/>
    <x v="61"/>
    <x v="65"/>
    <x v="7"/>
    <x v="622"/>
    <x v="1553"/>
    <x v="1487"/>
    <x v="1562"/>
    <x v="1089"/>
    <x v="170"/>
    <x v="117"/>
    <x v="1325"/>
    <x v="170"/>
    <x v="1"/>
  </r>
  <r>
    <x v="8"/>
    <x v="0"/>
    <x v="3"/>
    <x v="2"/>
    <x v="0"/>
    <x v="1"/>
    <x v="80"/>
    <x v="26"/>
    <x v="51"/>
    <x v="16"/>
    <x v="3"/>
    <x v="564"/>
    <x v="1555"/>
    <x v="1488"/>
    <x v="1563"/>
    <x v="1090"/>
    <x v="35"/>
    <x v="9"/>
    <x v="1326"/>
    <x v="35"/>
    <x v="2"/>
  </r>
  <r>
    <x v="19"/>
    <x v="1"/>
    <x v="6"/>
    <x v="0"/>
    <x v="6"/>
    <x v="0"/>
    <x v="114"/>
    <x v="45"/>
    <x v="14"/>
    <x v="109"/>
    <x v="384"/>
    <x v="1375"/>
    <x v="1556"/>
    <x v="1489"/>
    <x v="1564"/>
    <x v="257"/>
    <x v="15"/>
    <x v="35"/>
    <x v="117"/>
    <x v="15"/>
    <x v="1"/>
  </r>
  <r>
    <x v="11"/>
    <x v="1"/>
    <x v="6"/>
    <x v="2"/>
    <x v="2"/>
    <x v="2"/>
    <x v="25"/>
    <x v="11"/>
    <x v="44"/>
    <x v="19"/>
    <x v="385"/>
    <x v="690"/>
    <x v="1557"/>
    <x v="1490"/>
    <x v="1565"/>
    <x v="823"/>
    <x v="38"/>
    <x v="110"/>
    <x v="1327"/>
    <x v="38"/>
    <x v="1"/>
  </r>
  <r>
    <x v="23"/>
    <x v="1"/>
    <x v="9"/>
    <x v="4"/>
    <x v="4"/>
    <x v="0"/>
    <x v="29"/>
    <x v="54"/>
    <x v="68"/>
    <x v="149"/>
    <x v="378"/>
    <x v="1376"/>
    <x v="1558"/>
    <x v="1491"/>
    <x v="1566"/>
    <x v="528"/>
    <x v="74"/>
    <x v="15"/>
    <x v="839"/>
    <x v="74"/>
    <x v="1"/>
  </r>
  <r>
    <x v="8"/>
    <x v="1"/>
    <x v="4"/>
    <x v="1"/>
    <x v="0"/>
    <x v="3"/>
    <x v="4"/>
    <x v="65"/>
    <x v="21"/>
    <x v="3"/>
    <x v="97"/>
    <x v="1377"/>
    <x v="1559"/>
    <x v="1492"/>
    <x v="1567"/>
    <x v="1005"/>
    <x v="143"/>
    <x v="108"/>
    <x v="1328"/>
    <x v="143"/>
    <x v="2"/>
  </r>
  <r>
    <x v="16"/>
    <x v="1"/>
    <x v="0"/>
    <x v="2"/>
    <x v="2"/>
    <x v="0"/>
    <x v="49"/>
    <x v="25"/>
    <x v="48"/>
    <x v="98"/>
    <x v="322"/>
    <x v="1358"/>
    <x v="1560"/>
    <x v="1493"/>
    <x v="1568"/>
    <x v="1091"/>
    <x v="35"/>
    <x v="161"/>
    <x v="1329"/>
    <x v="35"/>
    <x v="0"/>
  </r>
  <r>
    <x v="8"/>
    <x v="1"/>
    <x v="7"/>
    <x v="3"/>
    <x v="0"/>
    <x v="1"/>
    <x v="32"/>
    <x v="22"/>
    <x v="54"/>
    <x v="127"/>
    <x v="188"/>
    <x v="1288"/>
    <x v="1561"/>
    <x v="1494"/>
    <x v="1569"/>
    <x v="853"/>
    <x v="169"/>
    <x v="183"/>
    <x v="1330"/>
    <x v="169"/>
    <x v="2"/>
  </r>
  <r>
    <x v="38"/>
    <x v="1"/>
    <x v="1"/>
    <x v="2"/>
    <x v="4"/>
    <x v="2"/>
    <x v="58"/>
    <x v="51"/>
    <x v="67"/>
    <x v="39"/>
    <x v="296"/>
    <x v="1378"/>
    <x v="1562"/>
    <x v="441"/>
    <x v="1570"/>
    <x v="867"/>
    <x v="86"/>
    <x v="128"/>
    <x v="1331"/>
    <x v="86"/>
    <x v="2"/>
  </r>
  <r>
    <x v="45"/>
    <x v="0"/>
    <x v="7"/>
    <x v="2"/>
    <x v="3"/>
    <x v="2"/>
    <x v="59"/>
    <x v="30"/>
    <x v="15"/>
    <x v="137"/>
    <x v="165"/>
    <x v="1379"/>
    <x v="1563"/>
    <x v="1495"/>
    <x v="1571"/>
    <x v="221"/>
    <x v="97"/>
    <x v="150"/>
    <x v="736"/>
    <x v="97"/>
    <x v="2"/>
  </r>
  <r>
    <x v="39"/>
    <x v="0"/>
    <x v="8"/>
    <x v="1"/>
    <x v="6"/>
    <x v="2"/>
    <x v="58"/>
    <x v="61"/>
    <x v="54"/>
    <x v="60"/>
    <x v="9"/>
    <x v="1380"/>
    <x v="1564"/>
    <x v="1496"/>
    <x v="1572"/>
    <x v="130"/>
    <x v="15"/>
    <x v="221"/>
    <x v="1254"/>
    <x v="15"/>
    <x v="2"/>
  </r>
  <r>
    <x v="41"/>
    <x v="0"/>
    <x v="2"/>
    <x v="2"/>
    <x v="3"/>
    <x v="1"/>
    <x v="66"/>
    <x v="50"/>
    <x v="58"/>
    <x v="61"/>
    <x v="277"/>
    <x v="1381"/>
    <x v="1565"/>
    <x v="1497"/>
    <x v="1573"/>
    <x v="802"/>
    <x v="98"/>
    <x v="138"/>
    <x v="91"/>
    <x v="98"/>
    <x v="2"/>
  </r>
  <r>
    <x v="17"/>
    <x v="1"/>
    <x v="0"/>
    <x v="1"/>
    <x v="4"/>
    <x v="1"/>
    <x v="79"/>
    <x v="7"/>
    <x v="33"/>
    <x v="98"/>
    <x v="140"/>
    <x v="1382"/>
    <x v="1566"/>
    <x v="1498"/>
    <x v="1574"/>
    <x v="51"/>
    <x v="132"/>
    <x v="199"/>
    <x v="1332"/>
    <x v="132"/>
    <x v="1"/>
  </r>
  <r>
    <x v="1"/>
    <x v="0"/>
    <x v="5"/>
    <x v="2"/>
    <x v="5"/>
    <x v="2"/>
    <x v="58"/>
    <x v="28"/>
    <x v="78"/>
    <x v="7"/>
    <x v="89"/>
    <x v="1383"/>
    <x v="1567"/>
    <x v="411"/>
    <x v="1575"/>
    <x v="2"/>
    <x v="91"/>
    <x v="182"/>
    <x v="169"/>
    <x v="91"/>
    <x v="1"/>
  </r>
  <r>
    <x v="24"/>
    <x v="0"/>
    <x v="2"/>
    <x v="1"/>
    <x v="5"/>
    <x v="0"/>
    <x v="92"/>
    <x v="39"/>
    <x v="5"/>
    <x v="4"/>
    <x v="432"/>
    <x v="1384"/>
    <x v="1568"/>
    <x v="1499"/>
    <x v="1576"/>
    <x v="1092"/>
    <x v="40"/>
    <x v="106"/>
    <x v="1333"/>
    <x v="40"/>
    <x v="1"/>
  </r>
  <r>
    <x v="0"/>
    <x v="1"/>
    <x v="3"/>
    <x v="4"/>
    <x v="0"/>
    <x v="1"/>
    <x v="38"/>
    <x v="40"/>
    <x v="13"/>
    <x v="8"/>
    <x v="423"/>
    <x v="1385"/>
    <x v="1569"/>
    <x v="1500"/>
    <x v="1577"/>
    <x v="748"/>
    <x v="46"/>
    <x v="97"/>
    <x v="1334"/>
    <x v="46"/>
    <x v="0"/>
  </r>
  <r>
    <x v="44"/>
    <x v="0"/>
    <x v="1"/>
    <x v="4"/>
    <x v="5"/>
    <x v="2"/>
    <x v="72"/>
    <x v="22"/>
    <x v="84"/>
    <x v="124"/>
    <x v="428"/>
    <x v="1386"/>
    <x v="1570"/>
    <x v="1501"/>
    <x v="1578"/>
    <x v="604"/>
    <x v="12"/>
    <x v="205"/>
    <x v="1335"/>
    <x v="12"/>
    <x v="2"/>
  </r>
  <r>
    <x v="43"/>
    <x v="0"/>
    <x v="0"/>
    <x v="2"/>
    <x v="1"/>
    <x v="2"/>
    <x v="42"/>
    <x v="73"/>
    <x v="58"/>
    <x v="66"/>
    <x v="344"/>
    <x v="1387"/>
    <x v="1571"/>
    <x v="695"/>
    <x v="1579"/>
    <x v="308"/>
    <x v="114"/>
    <x v="198"/>
    <x v="91"/>
    <x v="114"/>
    <x v="2"/>
  </r>
  <r>
    <x v="57"/>
    <x v="0"/>
    <x v="8"/>
    <x v="3"/>
    <x v="2"/>
    <x v="3"/>
    <x v="93"/>
    <x v="59"/>
    <x v="17"/>
    <x v="21"/>
    <x v="170"/>
    <x v="1388"/>
    <x v="1572"/>
    <x v="1502"/>
    <x v="1580"/>
    <x v="931"/>
    <x v="94"/>
    <x v="151"/>
    <x v="1336"/>
    <x v="94"/>
    <x v="0"/>
  </r>
  <r>
    <x v="35"/>
    <x v="0"/>
    <x v="2"/>
    <x v="3"/>
    <x v="0"/>
    <x v="2"/>
    <x v="117"/>
    <x v="49"/>
    <x v="76"/>
    <x v="45"/>
    <x v="217"/>
    <x v="1389"/>
    <x v="1573"/>
    <x v="1503"/>
    <x v="1581"/>
    <x v="831"/>
    <x v="178"/>
    <x v="103"/>
    <x v="1337"/>
    <x v="178"/>
    <x v="2"/>
  </r>
  <r>
    <x v="54"/>
    <x v="1"/>
    <x v="6"/>
    <x v="1"/>
    <x v="4"/>
    <x v="0"/>
    <x v="79"/>
    <x v="49"/>
    <x v="21"/>
    <x v="133"/>
    <x v="275"/>
    <x v="1390"/>
    <x v="1574"/>
    <x v="1504"/>
    <x v="1582"/>
    <x v="1093"/>
    <x v="144"/>
    <x v="181"/>
    <x v="629"/>
    <x v="144"/>
    <x v="0"/>
  </r>
  <r>
    <x v="41"/>
    <x v="0"/>
    <x v="1"/>
    <x v="2"/>
    <x v="0"/>
    <x v="3"/>
    <x v="47"/>
    <x v="62"/>
    <x v="55"/>
    <x v="64"/>
    <x v="293"/>
    <x v="1391"/>
    <x v="1575"/>
    <x v="1505"/>
    <x v="1583"/>
    <x v="902"/>
    <x v="133"/>
    <x v="37"/>
    <x v="1338"/>
    <x v="133"/>
    <x v="2"/>
  </r>
  <r>
    <x v="24"/>
    <x v="1"/>
    <x v="7"/>
    <x v="0"/>
    <x v="5"/>
    <x v="2"/>
    <x v="79"/>
    <x v="15"/>
    <x v="87"/>
    <x v="76"/>
    <x v="438"/>
    <x v="1392"/>
    <x v="1576"/>
    <x v="1506"/>
    <x v="1584"/>
    <x v="1094"/>
    <x v="79"/>
    <x v="159"/>
    <x v="1339"/>
    <x v="79"/>
    <x v="1"/>
  </r>
  <r>
    <x v="26"/>
    <x v="0"/>
    <x v="0"/>
    <x v="1"/>
    <x v="6"/>
    <x v="1"/>
    <x v="42"/>
    <x v="6"/>
    <x v="80"/>
    <x v="14"/>
    <x v="168"/>
    <x v="573"/>
    <x v="1577"/>
    <x v="1507"/>
    <x v="1585"/>
    <x v="766"/>
    <x v="152"/>
    <x v="39"/>
    <x v="1340"/>
    <x v="152"/>
    <x v="2"/>
  </r>
  <r>
    <x v="19"/>
    <x v="0"/>
    <x v="8"/>
    <x v="0"/>
    <x v="3"/>
    <x v="0"/>
    <x v="3"/>
    <x v="50"/>
    <x v="18"/>
    <x v="11"/>
    <x v="235"/>
    <x v="1393"/>
    <x v="1578"/>
    <x v="1508"/>
    <x v="1586"/>
    <x v="691"/>
    <x v="64"/>
    <x v="54"/>
    <x v="513"/>
    <x v="64"/>
    <x v="1"/>
  </r>
  <r>
    <x v="7"/>
    <x v="1"/>
    <x v="1"/>
    <x v="2"/>
    <x v="3"/>
    <x v="1"/>
    <x v="50"/>
    <x v="55"/>
    <x v="15"/>
    <x v="39"/>
    <x v="328"/>
    <x v="816"/>
    <x v="1579"/>
    <x v="1509"/>
    <x v="1587"/>
    <x v="1095"/>
    <x v="22"/>
    <x v="21"/>
    <x v="1341"/>
    <x v="22"/>
    <x v="2"/>
  </r>
  <r>
    <x v="33"/>
    <x v="0"/>
    <x v="5"/>
    <x v="1"/>
    <x v="2"/>
    <x v="2"/>
    <x v="2"/>
    <x v="74"/>
    <x v="45"/>
    <x v="92"/>
    <x v="19"/>
    <x v="1394"/>
    <x v="1580"/>
    <x v="1510"/>
    <x v="1588"/>
    <x v="1096"/>
    <x v="104"/>
    <x v="106"/>
    <x v="914"/>
    <x v="104"/>
    <x v="2"/>
  </r>
  <r>
    <x v="33"/>
    <x v="1"/>
    <x v="9"/>
    <x v="0"/>
    <x v="1"/>
    <x v="1"/>
    <x v="3"/>
    <x v="52"/>
    <x v="6"/>
    <x v="116"/>
    <x v="187"/>
    <x v="1395"/>
    <x v="1581"/>
    <x v="1511"/>
    <x v="1589"/>
    <x v="528"/>
    <x v="11"/>
    <x v="103"/>
    <x v="1342"/>
    <x v="11"/>
    <x v="2"/>
  </r>
  <r>
    <x v="25"/>
    <x v="1"/>
    <x v="7"/>
    <x v="2"/>
    <x v="5"/>
    <x v="1"/>
    <x v="16"/>
    <x v="9"/>
    <x v="78"/>
    <x v="140"/>
    <x v="245"/>
    <x v="1396"/>
    <x v="1582"/>
    <x v="1087"/>
    <x v="1590"/>
    <x v="1097"/>
    <x v="26"/>
    <x v="31"/>
    <x v="992"/>
    <x v="26"/>
    <x v="0"/>
  </r>
  <r>
    <x v="49"/>
    <x v="1"/>
    <x v="0"/>
    <x v="3"/>
    <x v="3"/>
    <x v="1"/>
    <x v="7"/>
    <x v="76"/>
    <x v="85"/>
    <x v="75"/>
    <x v="207"/>
    <x v="1397"/>
    <x v="1583"/>
    <x v="1512"/>
    <x v="1591"/>
    <x v="655"/>
    <x v="29"/>
    <x v="132"/>
    <x v="1343"/>
    <x v="29"/>
    <x v="1"/>
  </r>
  <r>
    <x v="55"/>
    <x v="0"/>
    <x v="7"/>
    <x v="0"/>
    <x v="4"/>
    <x v="0"/>
    <x v="31"/>
    <x v="61"/>
    <x v="39"/>
    <x v="32"/>
    <x v="376"/>
    <x v="1398"/>
    <x v="1584"/>
    <x v="1513"/>
    <x v="346"/>
    <x v="1098"/>
    <x v="2"/>
    <x v="180"/>
    <x v="1125"/>
    <x v="2"/>
    <x v="2"/>
  </r>
  <r>
    <x v="4"/>
    <x v="0"/>
    <x v="2"/>
    <x v="2"/>
    <x v="4"/>
    <x v="2"/>
    <x v="26"/>
    <x v="76"/>
    <x v="37"/>
    <x v="101"/>
    <x v="218"/>
    <x v="1399"/>
    <x v="1585"/>
    <x v="1514"/>
    <x v="1592"/>
    <x v="1099"/>
    <x v="113"/>
    <x v="182"/>
    <x v="1344"/>
    <x v="113"/>
    <x v="1"/>
  </r>
  <r>
    <x v="51"/>
    <x v="0"/>
    <x v="3"/>
    <x v="0"/>
    <x v="5"/>
    <x v="1"/>
    <x v="105"/>
    <x v="33"/>
    <x v="59"/>
    <x v="130"/>
    <x v="296"/>
    <x v="1400"/>
    <x v="1586"/>
    <x v="1515"/>
    <x v="1593"/>
    <x v="654"/>
    <x v="98"/>
    <x v="117"/>
    <x v="328"/>
    <x v="98"/>
    <x v="2"/>
  </r>
  <r>
    <x v="1"/>
    <x v="1"/>
    <x v="8"/>
    <x v="2"/>
    <x v="6"/>
    <x v="3"/>
    <x v="89"/>
    <x v="21"/>
    <x v="86"/>
    <x v="14"/>
    <x v="396"/>
    <x v="443"/>
    <x v="1587"/>
    <x v="1516"/>
    <x v="1594"/>
    <x v="1100"/>
    <x v="142"/>
    <x v="140"/>
    <x v="1345"/>
    <x v="142"/>
    <x v="1"/>
  </r>
  <r>
    <x v="23"/>
    <x v="0"/>
    <x v="1"/>
    <x v="4"/>
    <x v="2"/>
    <x v="0"/>
    <x v="54"/>
    <x v="76"/>
    <x v="32"/>
    <x v="111"/>
    <x v="113"/>
    <x v="1401"/>
    <x v="1588"/>
    <x v="1517"/>
    <x v="1595"/>
    <x v="1101"/>
    <x v="148"/>
    <x v="209"/>
    <x v="933"/>
    <x v="148"/>
    <x v="1"/>
  </r>
  <r>
    <x v="44"/>
    <x v="0"/>
    <x v="7"/>
    <x v="1"/>
    <x v="4"/>
    <x v="2"/>
    <x v="65"/>
    <x v="14"/>
    <x v="57"/>
    <x v="66"/>
    <x v="349"/>
    <x v="1402"/>
    <x v="1589"/>
    <x v="968"/>
    <x v="1596"/>
    <x v="1102"/>
    <x v="108"/>
    <x v="111"/>
    <x v="1113"/>
    <x v="108"/>
    <x v="2"/>
  </r>
  <r>
    <x v="10"/>
    <x v="1"/>
    <x v="0"/>
    <x v="4"/>
    <x v="1"/>
    <x v="2"/>
    <x v="48"/>
    <x v="26"/>
    <x v="72"/>
    <x v="111"/>
    <x v="400"/>
    <x v="357"/>
    <x v="1590"/>
    <x v="1518"/>
    <x v="1597"/>
    <x v="1103"/>
    <x v="23"/>
    <x v="58"/>
    <x v="1346"/>
    <x v="23"/>
    <x v="2"/>
  </r>
  <r>
    <x v="54"/>
    <x v="1"/>
    <x v="2"/>
    <x v="3"/>
    <x v="6"/>
    <x v="3"/>
    <x v="37"/>
    <x v="63"/>
    <x v="14"/>
    <x v="20"/>
    <x v="135"/>
    <x v="1403"/>
    <x v="1591"/>
    <x v="1111"/>
    <x v="1598"/>
    <x v="712"/>
    <x v="135"/>
    <x v="49"/>
    <x v="52"/>
    <x v="135"/>
    <x v="0"/>
  </r>
  <r>
    <x v="23"/>
    <x v="0"/>
    <x v="7"/>
    <x v="4"/>
    <x v="0"/>
    <x v="2"/>
    <x v="75"/>
    <x v="3"/>
    <x v="19"/>
    <x v="84"/>
    <x v="137"/>
    <x v="1404"/>
    <x v="1592"/>
    <x v="1519"/>
    <x v="1599"/>
    <x v="1104"/>
    <x v="19"/>
    <x v="88"/>
    <x v="1347"/>
    <x v="19"/>
    <x v="1"/>
  </r>
  <r>
    <x v="17"/>
    <x v="0"/>
    <x v="8"/>
    <x v="1"/>
    <x v="2"/>
    <x v="2"/>
    <x v="77"/>
    <x v="40"/>
    <x v="44"/>
    <x v="48"/>
    <x v="213"/>
    <x v="1405"/>
    <x v="1593"/>
    <x v="1520"/>
    <x v="1600"/>
    <x v="1105"/>
    <x v="133"/>
    <x v="117"/>
    <x v="516"/>
    <x v="133"/>
    <x v="1"/>
  </r>
  <r>
    <x v="23"/>
    <x v="0"/>
    <x v="2"/>
    <x v="2"/>
    <x v="5"/>
    <x v="1"/>
    <x v="8"/>
    <x v="1"/>
    <x v="72"/>
    <x v="60"/>
    <x v="81"/>
    <x v="1406"/>
    <x v="1594"/>
    <x v="1521"/>
    <x v="1601"/>
    <x v="716"/>
    <x v="25"/>
    <x v="64"/>
    <x v="1348"/>
    <x v="25"/>
    <x v="1"/>
  </r>
  <r>
    <x v="0"/>
    <x v="0"/>
    <x v="9"/>
    <x v="3"/>
    <x v="5"/>
    <x v="3"/>
    <x v="67"/>
    <x v="30"/>
    <x v="76"/>
    <x v="5"/>
    <x v="100"/>
    <x v="1407"/>
    <x v="1595"/>
    <x v="1522"/>
    <x v="1602"/>
    <x v="1106"/>
    <x v="129"/>
    <x v="11"/>
    <x v="1349"/>
    <x v="129"/>
    <x v="0"/>
  </r>
  <r>
    <x v="44"/>
    <x v="0"/>
    <x v="1"/>
    <x v="3"/>
    <x v="0"/>
    <x v="3"/>
    <x v="107"/>
    <x v="34"/>
    <x v="46"/>
    <x v="65"/>
    <x v="71"/>
    <x v="1408"/>
    <x v="1596"/>
    <x v="1523"/>
    <x v="1603"/>
    <x v="1026"/>
    <x v="166"/>
    <x v="166"/>
    <x v="1350"/>
    <x v="166"/>
    <x v="2"/>
  </r>
  <r>
    <x v="54"/>
    <x v="1"/>
    <x v="4"/>
    <x v="1"/>
    <x v="2"/>
    <x v="2"/>
    <x v="48"/>
    <x v="9"/>
    <x v="51"/>
    <x v="69"/>
    <x v="298"/>
    <x v="1409"/>
    <x v="1597"/>
    <x v="1524"/>
    <x v="1604"/>
    <x v="1072"/>
    <x v="116"/>
    <x v="69"/>
    <x v="1351"/>
    <x v="116"/>
    <x v="0"/>
  </r>
  <r>
    <x v="41"/>
    <x v="0"/>
    <x v="5"/>
    <x v="4"/>
    <x v="0"/>
    <x v="2"/>
    <x v="99"/>
    <x v="17"/>
    <x v="55"/>
    <x v="51"/>
    <x v="342"/>
    <x v="979"/>
    <x v="1598"/>
    <x v="1525"/>
    <x v="1605"/>
    <x v="1107"/>
    <x v="120"/>
    <x v="175"/>
    <x v="1352"/>
    <x v="120"/>
    <x v="2"/>
  </r>
  <r>
    <x v="12"/>
    <x v="1"/>
    <x v="9"/>
    <x v="3"/>
    <x v="1"/>
    <x v="0"/>
    <x v="46"/>
    <x v="24"/>
    <x v="69"/>
    <x v="102"/>
    <x v="325"/>
    <x v="1410"/>
    <x v="1599"/>
    <x v="1526"/>
    <x v="1606"/>
    <x v="626"/>
    <x v="16"/>
    <x v="134"/>
    <x v="1353"/>
    <x v="16"/>
    <x v="0"/>
  </r>
  <r>
    <x v="20"/>
    <x v="0"/>
    <x v="0"/>
    <x v="2"/>
    <x v="6"/>
    <x v="0"/>
    <x v="91"/>
    <x v="70"/>
    <x v="61"/>
    <x v="143"/>
    <x v="88"/>
    <x v="1411"/>
    <x v="1600"/>
    <x v="1527"/>
    <x v="1607"/>
    <x v="1108"/>
    <x v="28"/>
    <x v="179"/>
    <x v="143"/>
    <x v="28"/>
    <x v="1"/>
  </r>
  <r>
    <x v="26"/>
    <x v="1"/>
    <x v="1"/>
    <x v="4"/>
    <x v="2"/>
    <x v="2"/>
    <x v="64"/>
    <x v="76"/>
    <x v="85"/>
    <x v="147"/>
    <x v="292"/>
    <x v="1412"/>
    <x v="1601"/>
    <x v="113"/>
    <x v="1608"/>
    <x v="1109"/>
    <x v="76"/>
    <x v="95"/>
    <x v="51"/>
    <x v="76"/>
    <x v="2"/>
  </r>
  <r>
    <x v="16"/>
    <x v="0"/>
    <x v="8"/>
    <x v="0"/>
    <x v="5"/>
    <x v="3"/>
    <x v="62"/>
    <x v="73"/>
    <x v="14"/>
    <x v="139"/>
    <x v="371"/>
    <x v="1413"/>
    <x v="1602"/>
    <x v="1528"/>
    <x v="1609"/>
    <x v="1110"/>
    <x v="148"/>
    <x v="186"/>
    <x v="1354"/>
    <x v="148"/>
    <x v="0"/>
  </r>
  <r>
    <x v="22"/>
    <x v="0"/>
    <x v="9"/>
    <x v="2"/>
    <x v="1"/>
    <x v="1"/>
    <x v="117"/>
    <x v="54"/>
    <x v="81"/>
    <x v="15"/>
    <x v="74"/>
    <x v="1414"/>
    <x v="1603"/>
    <x v="1529"/>
    <x v="1610"/>
    <x v="1111"/>
    <x v="14"/>
    <x v="23"/>
    <x v="1355"/>
    <x v="14"/>
    <x v="0"/>
  </r>
  <r>
    <x v="22"/>
    <x v="1"/>
    <x v="5"/>
    <x v="1"/>
    <x v="5"/>
    <x v="3"/>
    <x v="83"/>
    <x v="24"/>
    <x v="80"/>
    <x v="138"/>
    <x v="121"/>
    <x v="1415"/>
    <x v="1604"/>
    <x v="1530"/>
    <x v="1611"/>
    <x v="1112"/>
    <x v="25"/>
    <x v="40"/>
    <x v="1356"/>
    <x v="25"/>
    <x v="0"/>
  </r>
  <r>
    <x v="52"/>
    <x v="0"/>
    <x v="6"/>
    <x v="2"/>
    <x v="5"/>
    <x v="1"/>
    <x v="110"/>
    <x v="50"/>
    <x v="38"/>
    <x v="48"/>
    <x v="222"/>
    <x v="1416"/>
    <x v="1605"/>
    <x v="1531"/>
    <x v="1612"/>
    <x v="778"/>
    <x v="18"/>
    <x v="131"/>
    <x v="1123"/>
    <x v="18"/>
    <x v="2"/>
  </r>
  <r>
    <x v="59"/>
    <x v="1"/>
    <x v="4"/>
    <x v="1"/>
    <x v="2"/>
    <x v="2"/>
    <x v="34"/>
    <x v="41"/>
    <x v="2"/>
    <x v="8"/>
    <x v="294"/>
    <x v="1375"/>
    <x v="841"/>
    <x v="1532"/>
    <x v="1613"/>
    <x v="1113"/>
    <x v="110"/>
    <x v="149"/>
    <x v="1357"/>
    <x v="110"/>
    <x v="0"/>
  </r>
  <r>
    <x v="50"/>
    <x v="1"/>
    <x v="8"/>
    <x v="4"/>
    <x v="3"/>
    <x v="1"/>
    <x v="16"/>
    <x v="46"/>
    <x v="51"/>
    <x v="74"/>
    <x v="199"/>
    <x v="1417"/>
    <x v="1606"/>
    <x v="1533"/>
    <x v="1614"/>
    <x v="340"/>
    <x v="62"/>
    <x v="140"/>
    <x v="1358"/>
    <x v="62"/>
    <x v="2"/>
  </r>
  <r>
    <x v="52"/>
    <x v="0"/>
    <x v="0"/>
    <x v="3"/>
    <x v="0"/>
    <x v="0"/>
    <x v="21"/>
    <x v="52"/>
    <x v="19"/>
    <x v="21"/>
    <x v="30"/>
    <x v="1418"/>
    <x v="1607"/>
    <x v="1534"/>
    <x v="1615"/>
    <x v="473"/>
    <x v="168"/>
    <x v="15"/>
    <x v="117"/>
    <x v="168"/>
    <x v="2"/>
  </r>
  <r>
    <x v="52"/>
    <x v="0"/>
    <x v="2"/>
    <x v="1"/>
    <x v="5"/>
    <x v="0"/>
    <x v="50"/>
    <x v="45"/>
    <x v="71"/>
    <x v="125"/>
    <x v="52"/>
    <x v="1419"/>
    <x v="1608"/>
    <x v="1535"/>
    <x v="1616"/>
    <x v="957"/>
    <x v="139"/>
    <x v="48"/>
    <x v="1359"/>
    <x v="139"/>
    <x v="2"/>
  </r>
  <r>
    <x v="27"/>
    <x v="1"/>
    <x v="5"/>
    <x v="0"/>
    <x v="5"/>
    <x v="0"/>
    <x v="64"/>
    <x v="6"/>
    <x v="83"/>
    <x v="93"/>
    <x v="305"/>
    <x v="1420"/>
    <x v="1609"/>
    <x v="1536"/>
    <x v="1617"/>
    <x v="1114"/>
    <x v="80"/>
    <x v="77"/>
    <x v="574"/>
    <x v="80"/>
    <x v="0"/>
  </r>
  <r>
    <x v="32"/>
    <x v="1"/>
    <x v="5"/>
    <x v="4"/>
    <x v="2"/>
    <x v="2"/>
    <x v="69"/>
    <x v="46"/>
    <x v="47"/>
    <x v="101"/>
    <x v="235"/>
    <x v="1090"/>
    <x v="1610"/>
    <x v="1537"/>
    <x v="1618"/>
    <x v="1115"/>
    <x v="96"/>
    <x v="11"/>
    <x v="48"/>
    <x v="96"/>
    <x v="1"/>
  </r>
  <r>
    <x v="17"/>
    <x v="0"/>
    <x v="6"/>
    <x v="3"/>
    <x v="4"/>
    <x v="0"/>
    <x v="118"/>
    <x v="3"/>
    <x v="19"/>
    <x v="104"/>
    <x v="249"/>
    <x v="1421"/>
    <x v="1611"/>
    <x v="1538"/>
    <x v="1619"/>
    <x v="857"/>
    <x v="132"/>
    <x v="155"/>
    <x v="430"/>
    <x v="132"/>
    <x v="1"/>
  </r>
  <r>
    <x v="41"/>
    <x v="1"/>
    <x v="5"/>
    <x v="4"/>
    <x v="2"/>
    <x v="3"/>
    <x v="73"/>
    <x v="47"/>
    <x v="47"/>
    <x v="103"/>
    <x v="169"/>
    <x v="1069"/>
    <x v="1612"/>
    <x v="1539"/>
    <x v="1620"/>
    <x v="1062"/>
    <x v="137"/>
    <x v="110"/>
    <x v="1360"/>
    <x v="137"/>
    <x v="2"/>
  </r>
  <r>
    <x v="9"/>
    <x v="0"/>
    <x v="8"/>
    <x v="4"/>
    <x v="5"/>
    <x v="1"/>
    <x v="68"/>
    <x v="4"/>
    <x v="36"/>
    <x v="149"/>
    <x v="145"/>
    <x v="1422"/>
    <x v="1613"/>
    <x v="1540"/>
    <x v="1621"/>
    <x v="531"/>
    <x v="24"/>
    <x v="9"/>
    <x v="767"/>
    <x v="24"/>
    <x v="0"/>
  </r>
  <r>
    <x v="35"/>
    <x v="1"/>
    <x v="4"/>
    <x v="4"/>
    <x v="0"/>
    <x v="1"/>
    <x v="75"/>
    <x v="29"/>
    <x v="71"/>
    <x v="40"/>
    <x v="261"/>
    <x v="1423"/>
    <x v="1614"/>
    <x v="1541"/>
    <x v="1622"/>
    <x v="1116"/>
    <x v="120"/>
    <x v="128"/>
    <x v="1361"/>
    <x v="120"/>
    <x v="2"/>
  </r>
  <r>
    <x v="14"/>
    <x v="0"/>
    <x v="5"/>
    <x v="4"/>
    <x v="4"/>
    <x v="1"/>
    <x v="41"/>
    <x v="62"/>
    <x v="7"/>
    <x v="83"/>
    <x v="439"/>
    <x v="1424"/>
    <x v="1615"/>
    <x v="1542"/>
    <x v="1623"/>
    <x v="128"/>
    <x v="16"/>
    <x v="183"/>
    <x v="1362"/>
    <x v="16"/>
    <x v="2"/>
  </r>
  <r>
    <x v="42"/>
    <x v="1"/>
    <x v="0"/>
    <x v="3"/>
    <x v="2"/>
    <x v="1"/>
    <x v="114"/>
    <x v="30"/>
    <x v="87"/>
    <x v="70"/>
    <x v="225"/>
    <x v="1425"/>
    <x v="1616"/>
    <x v="1543"/>
    <x v="1624"/>
    <x v="342"/>
    <x v="12"/>
    <x v="30"/>
    <x v="867"/>
    <x v="12"/>
    <x v="2"/>
  </r>
  <r>
    <x v="0"/>
    <x v="1"/>
    <x v="6"/>
    <x v="2"/>
    <x v="4"/>
    <x v="0"/>
    <x v="78"/>
    <x v="6"/>
    <x v="68"/>
    <x v="140"/>
    <x v="257"/>
    <x v="1426"/>
    <x v="65"/>
    <x v="1544"/>
    <x v="1625"/>
    <x v="1117"/>
    <x v="21"/>
    <x v="119"/>
    <x v="1363"/>
    <x v="21"/>
    <x v="0"/>
  </r>
  <r>
    <x v="12"/>
    <x v="1"/>
    <x v="7"/>
    <x v="3"/>
    <x v="4"/>
    <x v="3"/>
    <x v="34"/>
    <x v="77"/>
    <x v="23"/>
    <x v="36"/>
    <x v="45"/>
    <x v="1427"/>
    <x v="1617"/>
    <x v="1545"/>
    <x v="1626"/>
    <x v="1118"/>
    <x v="121"/>
    <x v="200"/>
    <x v="1364"/>
    <x v="121"/>
    <x v="0"/>
  </r>
  <r>
    <x v="54"/>
    <x v="1"/>
    <x v="5"/>
    <x v="4"/>
    <x v="4"/>
    <x v="3"/>
    <x v="12"/>
    <x v="21"/>
    <x v="23"/>
    <x v="89"/>
    <x v="29"/>
    <x v="1363"/>
    <x v="1618"/>
    <x v="1546"/>
    <x v="1627"/>
    <x v="16"/>
    <x v="67"/>
    <x v="70"/>
    <x v="1365"/>
    <x v="67"/>
    <x v="0"/>
  </r>
  <r>
    <x v="10"/>
    <x v="0"/>
    <x v="4"/>
    <x v="3"/>
    <x v="0"/>
    <x v="3"/>
    <x v="100"/>
    <x v="69"/>
    <x v="50"/>
    <x v="153"/>
    <x v="216"/>
    <x v="1428"/>
    <x v="1619"/>
    <x v="1547"/>
    <x v="1628"/>
    <x v="217"/>
    <x v="117"/>
    <x v="74"/>
    <x v="49"/>
    <x v="117"/>
    <x v="2"/>
  </r>
  <r>
    <x v="4"/>
    <x v="1"/>
    <x v="5"/>
    <x v="3"/>
    <x v="6"/>
    <x v="0"/>
    <x v="34"/>
    <x v="52"/>
    <x v="40"/>
    <x v="43"/>
    <x v="67"/>
    <x v="1429"/>
    <x v="1620"/>
    <x v="1548"/>
    <x v="1629"/>
    <x v="613"/>
    <x v="75"/>
    <x v="22"/>
    <x v="1366"/>
    <x v="75"/>
    <x v="1"/>
  </r>
  <r>
    <x v="42"/>
    <x v="1"/>
    <x v="2"/>
    <x v="4"/>
    <x v="5"/>
    <x v="0"/>
    <x v="106"/>
    <x v="27"/>
    <x v="7"/>
    <x v="6"/>
    <x v="426"/>
    <x v="1430"/>
    <x v="1621"/>
    <x v="1549"/>
    <x v="1630"/>
    <x v="740"/>
    <x v="63"/>
    <x v="37"/>
    <x v="101"/>
    <x v="63"/>
    <x v="2"/>
  </r>
  <r>
    <x v="33"/>
    <x v="0"/>
    <x v="5"/>
    <x v="3"/>
    <x v="0"/>
    <x v="3"/>
    <x v="87"/>
    <x v="64"/>
    <x v="79"/>
    <x v="80"/>
    <x v="178"/>
    <x v="1431"/>
    <x v="1622"/>
    <x v="1448"/>
    <x v="1631"/>
    <x v="12"/>
    <x v="31"/>
    <x v="21"/>
    <x v="1367"/>
    <x v="31"/>
    <x v="2"/>
  </r>
  <r>
    <x v="3"/>
    <x v="0"/>
    <x v="6"/>
    <x v="3"/>
    <x v="3"/>
    <x v="0"/>
    <x v="15"/>
    <x v="63"/>
    <x v="88"/>
    <x v="102"/>
    <x v="373"/>
    <x v="1432"/>
    <x v="1623"/>
    <x v="1550"/>
    <x v="1632"/>
    <x v="826"/>
    <x v="111"/>
    <x v="106"/>
    <x v="528"/>
    <x v="111"/>
    <x v="0"/>
  </r>
  <r>
    <x v="28"/>
    <x v="1"/>
    <x v="2"/>
    <x v="2"/>
    <x v="6"/>
    <x v="0"/>
    <x v="105"/>
    <x v="57"/>
    <x v="85"/>
    <x v="127"/>
    <x v="329"/>
    <x v="1433"/>
    <x v="1624"/>
    <x v="1551"/>
    <x v="1633"/>
    <x v="23"/>
    <x v="173"/>
    <x v="177"/>
    <x v="1368"/>
    <x v="173"/>
    <x v="0"/>
  </r>
  <r>
    <x v="56"/>
    <x v="1"/>
    <x v="1"/>
    <x v="4"/>
    <x v="1"/>
    <x v="0"/>
    <x v="75"/>
    <x v="71"/>
    <x v="16"/>
    <x v="15"/>
    <x v="411"/>
    <x v="1434"/>
    <x v="1625"/>
    <x v="1552"/>
    <x v="1634"/>
    <x v="27"/>
    <x v="174"/>
    <x v="128"/>
    <x v="1369"/>
    <x v="174"/>
    <x v="2"/>
  </r>
  <r>
    <x v="49"/>
    <x v="1"/>
    <x v="1"/>
    <x v="1"/>
    <x v="3"/>
    <x v="2"/>
    <x v="96"/>
    <x v="14"/>
    <x v="53"/>
    <x v="132"/>
    <x v="201"/>
    <x v="1435"/>
    <x v="1626"/>
    <x v="1553"/>
    <x v="1635"/>
    <x v="702"/>
    <x v="113"/>
    <x v="6"/>
    <x v="1370"/>
    <x v="113"/>
    <x v="1"/>
  </r>
  <r>
    <x v="33"/>
    <x v="1"/>
    <x v="7"/>
    <x v="1"/>
    <x v="5"/>
    <x v="1"/>
    <x v="16"/>
    <x v="10"/>
    <x v="70"/>
    <x v="142"/>
    <x v="285"/>
    <x v="1436"/>
    <x v="1627"/>
    <x v="1541"/>
    <x v="1636"/>
    <x v="441"/>
    <x v="90"/>
    <x v="77"/>
    <x v="465"/>
    <x v="90"/>
    <x v="2"/>
  </r>
  <r>
    <x v="27"/>
    <x v="0"/>
    <x v="5"/>
    <x v="0"/>
    <x v="2"/>
    <x v="2"/>
    <x v="91"/>
    <x v="78"/>
    <x v="56"/>
    <x v="90"/>
    <x v="428"/>
    <x v="553"/>
    <x v="1628"/>
    <x v="867"/>
    <x v="1637"/>
    <x v="639"/>
    <x v="139"/>
    <x v="43"/>
    <x v="486"/>
    <x v="139"/>
    <x v="0"/>
  </r>
  <r>
    <x v="17"/>
    <x v="1"/>
    <x v="5"/>
    <x v="2"/>
    <x v="6"/>
    <x v="0"/>
    <x v="68"/>
    <x v="5"/>
    <x v="54"/>
    <x v="59"/>
    <x v="124"/>
    <x v="1437"/>
    <x v="1629"/>
    <x v="1554"/>
    <x v="1638"/>
    <x v="394"/>
    <x v="34"/>
    <x v="60"/>
    <x v="1244"/>
    <x v="34"/>
    <x v="1"/>
  </r>
  <r>
    <x v="16"/>
    <x v="0"/>
    <x v="3"/>
    <x v="2"/>
    <x v="2"/>
    <x v="3"/>
    <x v="61"/>
    <x v="37"/>
    <x v="88"/>
    <x v="19"/>
    <x v="263"/>
    <x v="1438"/>
    <x v="1630"/>
    <x v="1006"/>
    <x v="1639"/>
    <x v="1119"/>
    <x v="12"/>
    <x v="183"/>
    <x v="1371"/>
    <x v="12"/>
    <x v="0"/>
  </r>
  <r>
    <x v="44"/>
    <x v="1"/>
    <x v="9"/>
    <x v="3"/>
    <x v="0"/>
    <x v="0"/>
    <x v="45"/>
    <x v="2"/>
    <x v="35"/>
    <x v="127"/>
    <x v="88"/>
    <x v="1439"/>
    <x v="1631"/>
    <x v="1555"/>
    <x v="1640"/>
    <x v="1061"/>
    <x v="67"/>
    <x v="96"/>
    <x v="764"/>
    <x v="67"/>
    <x v="2"/>
  </r>
  <r>
    <x v="17"/>
    <x v="1"/>
    <x v="2"/>
    <x v="2"/>
    <x v="0"/>
    <x v="3"/>
    <x v="53"/>
    <x v="57"/>
    <x v="25"/>
    <x v="5"/>
    <x v="89"/>
    <x v="1440"/>
    <x v="1632"/>
    <x v="1556"/>
    <x v="1641"/>
    <x v="1120"/>
    <x v="118"/>
    <x v="218"/>
    <x v="1372"/>
    <x v="118"/>
    <x v="1"/>
  </r>
  <r>
    <x v="16"/>
    <x v="1"/>
    <x v="4"/>
    <x v="4"/>
    <x v="3"/>
    <x v="1"/>
    <x v="29"/>
    <x v="52"/>
    <x v="60"/>
    <x v="95"/>
    <x v="291"/>
    <x v="1441"/>
    <x v="1633"/>
    <x v="1557"/>
    <x v="1642"/>
    <x v="189"/>
    <x v="118"/>
    <x v="71"/>
    <x v="1373"/>
    <x v="118"/>
    <x v="0"/>
  </r>
  <r>
    <x v="16"/>
    <x v="0"/>
    <x v="3"/>
    <x v="1"/>
    <x v="3"/>
    <x v="0"/>
    <x v="65"/>
    <x v="27"/>
    <x v="11"/>
    <x v="40"/>
    <x v="252"/>
    <x v="614"/>
    <x v="1634"/>
    <x v="307"/>
    <x v="1643"/>
    <x v="1121"/>
    <x v="61"/>
    <x v="89"/>
    <x v="1374"/>
    <x v="61"/>
    <x v="0"/>
  </r>
  <r>
    <x v="53"/>
    <x v="0"/>
    <x v="9"/>
    <x v="3"/>
    <x v="2"/>
    <x v="1"/>
    <x v="89"/>
    <x v="68"/>
    <x v="5"/>
    <x v="124"/>
    <x v="332"/>
    <x v="775"/>
    <x v="1635"/>
    <x v="1558"/>
    <x v="1644"/>
    <x v="166"/>
    <x v="2"/>
    <x v="180"/>
    <x v="1375"/>
    <x v="2"/>
    <x v="1"/>
  </r>
  <r>
    <x v="20"/>
    <x v="0"/>
    <x v="7"/>
    <x v="0"/>
    <x v="4"/>
    <x v="3"/>
    <x v="111"/>
    <x v="71"/>
    <x v="45"/>
    <x v="156"/>
    <x v="52"/>
    <x v="1442"/>
    <x v="1636"/>
    <x v="1559"/>
    <x v="1645"/>
    <x v="328"/>
    <x v="49"/>
    <x v="34"/>
    <x v="1376"/>
    <x v="49"/>
    <x v="1"/>
  </r>
  <r>
    <x v="22"/>
    <x v="1"/>
    <x v="8"/>
    <x v="3"/>
    <x v="0"/>
    <x v="1"/>
    <x v="94"/>
    <x v="8"/>
    <x v="79"/>
    <x v="71"/>
    <x v="273"/>
    <x v="1443"/>
    <x v="1637"/>
    <x v="1560"/>
    <x v="1646"/>
    <x v="1122"/>
    <x v="99"/>
    <x v="110"/>
    <x v="757"/>
    <x v="99"/>
    <x v="0"/>
  </r>
  <r>
    <x v="48"/>
    <x v="0"/>
    <x v="5"/>
    <x v="1"/>
    <x v="0"/>
    <x v="2"/>
    <x v="36"/>
    <x v="6"/>
    <x v="21"/>
    <x v="37"/>
    <x v="86"/>
    <x v="1444"/>
    <x v="1638"/>
    <x v="1561"/>
    <x v="1647"/>
    <x v="670"/>
    <x v="26"/>
    <x v="23"/>
    <x v="1377"/>
    <x v="26"/>
    <x v="2"/>
  </r>
  <r>
    <x v="30"/>
    <x v="0"/>
    <x v="0"/>
    <x v="4"/>
    <x v="3"/>
    <x v="1"/>
    <x v="79"/>
    <x v="66"/>
    <x v="42"/>
    <x v="53"/>
    <x v="63"/>
    <x v="65"/>
    <x v="1639"/>
    <x v="1562"/>
    <x v="1648"/>
    <x v="1022"/>
    <x v="94"/>
    <x v="133"/>
    <x v="1378"/>
    <x v="94"/>
    <x v="1"/>
  </r>
  <r>
    <x v="18"/>
    <x v="1"/>
    <x v="2"/>
    <x v="4"/>
    <x v="6"/>
    <x v="0"/>
    <x v="83"/>
    <x v="2"/>
    <x v="75"/>
    <x v="50"/>
    <x v="18"/>
    <x v="51"/>
    <x v="1640"/>
    <x v="1563"/>
    <x v="1649"/>
    <x v="807"/>
    <x v="54"/>
    <x v="223"/>
    <x v="1379"/>
    <x v="54"/>
    <x v="2"/>
  </r>
  <r>
    <x v="30"/>
    <x v="0"/>
    <x v="2"/>
    <x v="3"/>
    <x v="0"/>
    <x v="0"/>
    <x v="73"/>
    <x v="7"/>
    <x v="85"/>
    <x v="78"/>
    <x v="2"/>
    <x v="1445"/>
    <x v="1641"/>
    <x v="1564"/>
    <x v="1650"/>
    <x v="1123"/>
    <x v="42"/>
    <x v="93"/>
    <x v="1380"/>
    <x v="42"/>
    <x v="1"/>
  </r>
  <r>
    <x v="46"/>
    <x v="0"/>
    <x v="1"/>
    <x v="4"/>
    <x v="6"/>
    <x v="2"/>
    <x v="9"/>
    <x v="52"/>
    <x v="77"/>
    <x v="69"/>
    <x v="306"/>
    <x v="1446"/>
    <x v="1642"/>
    <x v="1565"/>
    <x v="1651"/>
    <x v="938"/>
    <x v="70"/>
    <x v="38"/>
    <x v="1381"/>
    <x v="70"/>
    <x v="1"/>
  </r>
  <r>
    <x v="41"/>
    <x v="0"/>
    <x v="2"/>
    <x v="3"/>
    <x v="0"/>
    <x v="2"/>
    <x v="59"/>
    <x v="29"/>
    <x v="39"/>
    <x v="91"/>
    <x v="101"/>
    <x v="150"/>
    <x v="1643"/>
    <x v="1566"/>
    <x v="1652"/>
    <x v="1114"/>
    <x v="105"/>
    <x v="177"/>
    <x v="1382"/>
    <x v="105"/>
    <x v="2"/>
  </r>
  <r>
    <x v="1"/>
    <x v="1"/>
    <x v="2"/>
    <x v="2"/>
    <x v="6"/>
    <x v="3"/>
    <x v="94"/>
    <x v="79"/>
    <x v="71"/>
    <x v="10"/>
    <x v="218"/>
    <x v="1447"/>
    <x v="1644"/>
    <x v="1567"/>
    <x v="1653"/>
    <x v="1124"/>
    <x v="24"/>
    <x v="37"/>
    <x v="1383"/>
    <x v="24"/>
    <x v="1"/>
  </r>
  <r>
    <x v="46"/>
    <x v="0"/>
    <x v="5"/>
    <x v="3"/>
    <x v="1"/>
    <x v="3"/>
    <x v="104"/>
    <x v="15"/>
    <x v="27"/>
    <x v="130"/>
    <x v="28"/>
    <x v="1448"/>
    <x v="1645"/>
    <x v="1568"/>
    <x v="1654"/>
    <x v="1125"/>
    <x v="93"/>
    <x v="156"/>
    <x v="1384"/>
    <x v="93"/>
    <x v="1"/>
  </r>
  <r>
    <x v="43"/>
    <x v="1"/>
    <x v="4"/>
    <x v="4"/>
    <x v="2"/>
    <x v="3"/>
    <x v="16"/>
    <x v="49"/>
    <x v="81"/>
    <x v="75"/>
    <x v="440"/>
    <x v="1449"/>
    <x v="1646"/>
    <x v="1569"/>
    <x v="1655"/>
    <x v="1126"/>
    <x v="84"/>
    <x v="82"/>
    <x v="1385"/>
    <x v="84"/>
    <x v="2"/>
  </r>
  <r>
    <x v="26"/>
    <x v="0"/>
    <x v="3"/>
    <x v="2"/>
    <x v="5"/>
    <x v="0"/>
    <x v="81"/>
    <x v="25"/>
    <x v="87"/>
    <x v="89"/>
    <x v="111"/>
    <x v="1450"/>
    <x v="1647"/>
    <x v="1570"/>
    <x v="1656"/>
    <x v="1127"/>
    <x v="22"/>
    <x v="21"/>
    <x v="1386"/>
    <x v="22"/>
    <x v="2"/>
  </r>
  <r>
    <x v="24"/>
    <x v="0"/>
    <x v="7"/>
    <x v="1"/>
    <x v="1"/>
    <x v="0"/>
    <x v="90"/>
    <x v="39"/>
    <x v="68"/>
    <x v="124"/>
    <x v="421"/>
    <x v="1451"/>
    <x v="1648"/>
    <x v="1571"/>
    <x v="1657"/>
    <x v="1128"/>
    <x v="101"/>
    <x v="159"/>
    <x v="1387"/>
    <x v="101"/>
    <x v="1"/>
  </r>
  <r>
    <x v="46"/>
    <x v="1"/>
    <x v="2"/>
    <x v="0"/>
    <x v="0"/>
    <x v="2"/>
    <x v="43"/>
    <x v="14"/>
    <x v="23"/>
    <x v="51"/>
    <x v="427"/>
    <x v="1452"/>
    <x v="1649"/>
    <x v="1572"/>
    <x v="1658"/>
    <x v="1129"/>
    <x v="81"/>
    <x v="165"/>
    <x v="1388"/>
    <x v="81"/>
    <x v="1"/>
  </r>
  <r>
    <x v="57"/>
    <x v="1"/>
    <x v="9"/>
    <x v="3"/>
    <x v="0"/>
    <x v="3"/>
    <x v="63"/>
    <x v="74"/>
    <x v="34"/>
    <x v="106"/>
    <x v="241"/>
    <x v="1453"/>
    <x v="1650"/>
    <x v="1573"/>
    <x v="1659"/>
    <x v="304"/>
    <x v="112"/>
    <x v="183"/>
    <x v="1389"/>
    <x v="112"/>
    <x v="0"/>
  </r>
  <r>
    <x v="11"/>
    <x v="1"/>
    <x v="6"/>
    <x v="4"/>
    <x v="1"/>
    <x v="2"/>
    <x v="18"/>
    <x v="10"/>
    <x v="45"/>
    <x v="55"/>
    <x v="313"/>
    <x v="1454"/>
    <x v="1651"/>
    <x v="1574"/>
    <x v="1660"/>
    <x v="241"/>
    <x v="35"/>
    <x v="117"/>
    <x v="1390"/>
    <x v="35"/>
    <x v="1"/>
  </r>
  <r>
    <x v="46"/>
    <x v="0"/>
    <x v="0"/>
    <x v="3"/>
    <x v="5"/>
    <x v="2"/>
    <x v="28"/>
    <x v="49"/>
    <x v="81"/>
    <x v="2"/>
    <x v="242"/>
    <x v="1455"/>
    <x v="1652"/>
    <x v="1575"/>
    <x v="1661"/>
    <x v="412"/>
    <x v="15"/>
    <x v="53"/>
    <x v="1391"/>
    <x v="15"/>
    <x v="1"/>
  </r>
  <r>
    <x v="26"/>
    <x v="1"/>
    <x v="3"/>
    <x v="0"/>
    <x v="4"/>
    <x v="2"/>
    <x v="1"/>
    <x v="66"/>
    <x v="2"/>
    <x v="135"/>
    <x v="22"/>
    <x v="1400"/>
    <x v="1653"/>
    <x v="1576"/>
    <x v="1662"/>
    <x v="176"/>
    <x v="15"/>
    <x v="81"/>
    <x v="1111"/>
    <x v="15"/>
    <x v="2"/>
  </r>
  <r>
    <x v="26"/>
    <x v="1"/>
    <x v="1"/>
    <x v="4"/>
    <x v="3"/>
    <x v="1"/>
    <x v="108"/>
    <x v="64"/>
    <x v="38"/>
    <x v="38"/>
    <x v="302"/>
    <x v="1456"/>
    <x v="1654"/>
    <x v="1577"/>
    <x v="1663"/>
    <x v="846"/>
    <x v="160"/>
    <x v="88"/>
    <x v="1392"/>
    <x v="160"/>
    <x v="2"/>
  </r>
  <r>
    <x v="57"/>
    <x v="0"/>
    <x v="4"/>
    <x v="0"/>
    <x v="6"/>
    <x v="3"/>
    <x v="101"/>
    <x v="74"/>
    <x v="26"/>
    <x v="58"/>
    <x v="231"/>
    <x v="466"/>
    <x v="1655"/>
    <x v="1578"/>
    <x v="1664"/>
    <x v="365"/>
    <x v="13"/>
    <x v="218"/>
    <x v="1393"/>
    <x v="13"/>
    <x v="0"/>
  </r>
  <r>
    <x v="12"/>
    <x v="1"/>
    <x v="4"/>
    <x v="0"/>
    <x v="5"/>
    <x v="3"/>
    <x v="11"/>
    <x v="34"/>
    <x v="86"/>
    <x v="14"/>
    <x v="404"/>
    <x v="735"/>
    <x v="1656"/>
    <x v="1579"/>
    <x v="1665"/>
    <x v="1130"/>
    <x v="158"/>
    <x v="78"/>
    <x v="1394"/>
    <x v="158"/>
    <x v="0"/>
  </r>
  <r>
    <x v="15"/>
    <x v="1"/>
    <x v="2"/>
    <x v="2"/>
    <x v="4"/>
    <x v="2"/>
    <x v="116"/>
    <x v="57"/>
    <x v="31"/>
    <x v="32"/>
    <x v="361"/>
    <x v="1457"/>
    <x v="1657"/>
    <x v="1580"/>
    <x v="1666"/>
    <x v="887"/>
    <x v="3"/>
    <x v="19"/>
    <x v="1395"/>
    <x v="3"/>
    <x v="2"/>
  </r>
  <r>
    <x v="54"/>
    <x v="0"/>
    <x v="4"/>
    <x v="4"/>
    <x v="1"/>
    <x v="3"/>
    <x v="57"/>
    <x v="39"/>
    <x v="52"/>
    <x v="117"/>
    <x v="326"/>
    <x v="1458"/>
    <x v="1658"/>
    <x v="1581"/>
    <x v="1667"/>
    <x v="812"/>
    <x v="94"/>
    <x v="13"/>
    <x v="1396"/>
    <x v="94"/>
    <x v="0"/>
  </r>
  <r>
    <x v="22"/>
    <x v="1"/>
    <x v="3"/>
    <x v="1"/>
    <x v="0"/>
    <x v="2"/>
    <x v="34"/>
    <x v="78"/>
    <x v="73"/>
    <x v="96"/>
    <x v="62"/>
    <x v="288"/>
    <x v="1659"/>
    <x v="1582"/>
    <x v="1668"/>
    <x v="271"/>
    <x v="77"/>
    <x v="190"/>
    <x v="1397"/>
    <x v="77"/>
    <x v="0"/>
  </r>
  <r>
    <x v="36"/>
    <x v="1"/>
    <x v="5"/>
    <x v="2"/>
    <x v="4"/>
    <x v="2"/>
    <x v="107"/>
    <x v="59"/>
    <x v="35"/>
    <x v="144"/>
    <x v="154"/>
    <x v="1459"/>
    <x v="1660"/>
    <x v="1583"/>
    <x v="1669"/>
    <x v="893"/>
    <x v="46"/>
    <x v="42"/>
    <x v="688"/>
    <x v="46"/>
    <x v="1"/>
  </r>
  <r>
    <x v="2"/>
    <x v="1"/>
    <x v="9"/>
    <x v="2"/>
    <x v="3"/>
    <x v="3"/>
    <x v="58"/>
    <x v="10"/>
    <x v="66"/>
    <x v="64"/>
    <x v="91"/>
    <x v="1460"/>
    <x v="1661"/>
    <x v="1584"/>
    <x v="1670"/>
    <x v="291"/>
    <x v="21"/>
    <x v="99"/>
    <x v="1398"/>
    <x v="21"/>
    <x v="2"/>
  </r>
  <r>
    <x v="17"/>
    <x v="0"/>
    <x v="8"/>
    <x v="0"/>
    <x v="3"/>
    <x v="3"/>
    <x v="99"/>
    <x v="62"/>
    <x v="35"/>
    <x v="76"/>
    <x v="284"/>
    <x v="1461"/>
    <x v="1662"/>
    <x v="1585"/>
    <x v="1671"/>
    <x v="1131"/>
    <x v="3"/>
    <x v="102"/>
    <x v="1399"/>
    <x v="3"/>
    <x v="1"/>
  </r>
  <r>
    <x v="6"/>
    <x v="0"/>
    <x v="1"/>
    <x v="3"/>
    <x v="2"/>
    <x v="3"/>
    <x v="10"/>
    <x v="35"/>
    <x v="51"/>
    <x v="113"/>
    <x v="101"/>
    <x v="1462"/>
    <x v="1663"/>
    <x v="1586"/>
    <x v="1672"/>
    <x v="1132"/>
    <x v="95"/>
    <x v="6"/>
    <x v="1400"/>
    <x v="95"/>
    <x v="2"/>
  </r>
  <r>
    <x v="5"/>
    <x v="1"/>
    <x v="6"/>
    <x v="4"/>
    <x v="3"/>
    <x v="3"/>
    <x v="82"/>
    <x v="7"/>
    <x v="59"/>
    <x v="115"/>
    <x v="135"/>
    <x v="1077"/>
    <x v="1664"/>
    <x v="1423"/>
    <x v="1673"/>
    <x v="1133"/>
    <x v="87"/>
    <x v="8"/>
    <x v="1401"/>
    <x v="87"/>
    <x v="2"/>
  </r>
  <r>
    <x v="46"/>
    <x v="1"/>
    <x v="4"/>
    <x v="4"/>
    <x v="6"/>
    <x v="0"/>
    <x v="23"/>
    <x v="6"/>
    <x v="38"/>
    <x v="71"/>
    <x v="338"/>
    <x v="1463"/>
    <x v="1665"/>
    <x v="1587"/>
    <x v="1674"/>
    <x v="986"/>
    <x v="38"/>
    <x v="207"/>
    <x v="985"/>
    <x v="38"/>
    <x v="1"/>
  </r>
  <r>
    <x v="30"/>
    <x v="1"/>
    <x v="7"/>
    <x v="0"/>
    <x v="4"/>
    <x v="3"/>
    <x v="75"/>
    <x v="0"/>
    <x v="18"/>
    <x v="138"/>
    <x v="39"/>
    <x v="1464"/>
    <x v="1666"/>
    <x v="1588"/>
    <x v="1675"/>
    <x v="1134"/>
    <x v="49"/>
    <x v="65"/>
    <x v="923"/>
    <x v="49"/>
    <x v="1"/>
  </r>
  <r>
    <x v="44"/>
    <x v="1"/>
    <x v="2"/>
    <x v="1"/>
    <x v="2"/>
    <x v="3"/>
    <x v="32"/>
    <x v="6"/>
    <x v="74"/>
    <x v="143"/>
    <x v="95"/>
    <x v="80"/>
    <x v="1667"/>
    <x v="309"/>
    <x v="1676"/>
    <x v="388"/>
    <x v="178"/>
    <x v="67"/>
    <x v="1272"/>
    <x v="178"/>
    <x v="2"/>
  </r>
  <r>
    <x v="50"/>
    <x v="0"/>
    <x v="4"/>
    <x v="4"/>
    <x v="2"/>
    <x v="3"/>
    <x v="69"/>
    <x v="73"/>
    <x v="86"/>
    <x v="63"/>
    <x v="48"/>
    <x v="1465"/>
    <x v="1668"/>
    <x v="1589"/>
    <x v="1677"/>
    <x v="885"/>
    <x v="101"/>
    <x v="224"/>
    <x v="401"/>
    <x v="101"/>
    <x v="2"/>
  </r>
  <r>
    <x v="39"/>
    <x v="0"/>
    <x v="9"/>
    <x v="2"/>
    <x v="4"/>
    <x v="0"/>
    <x v="97"/>
    <x v="78"/>
    <x v="46"/>
    <x v="113"/>
    <x v="266"/>
    <x v="1466"/>
    <x v="1669"/>
    <x v="1590"/>
    <x v="1678"/>
    <x v="1135"/>
    <x v="79"/>
    <x v="106"/>
    <x v="1402"/>
    <x v="79"/>
    <x v="2"/>
  </r>
  <r>
    <x v="27"/>
    <x v="1"/>
    <x v="8"/>
    <x v="1"/>
    <x v="1"/>
    <x v="3"/>
    <x v="92"/>
    <x v="37"/>
    <x v="27"/>
    <x v="81"/>
    <x v="356"/>
    <x v="1467"/>
    <x v="1670"/>
    <x v="1591"/>
    <x v="1232"/>
    <x v="798"/>
    <x v="115"/>
    <x v="219"/>
    <x v="1403"/>
    <x v="115"/>
    <x v="0"/>
  </r>
  <r>
    <x v="0"/>
    <x v="0"/>
    <x v="6"/>
    <x v="3"/>
    <x v="5"/>
    <x v="2"/>
    <x v="97"/>
    <x v="45"/>
    <x v="78"/>
    <x v="104"/>
    <x v="145"/>
    <x v="1468"/>
    <x v="1671"/>
    <x v="1592"/>
    <x v="1679"/>
    <x v="1136"/>
    <x v="10"/>
    <x v="85"/>
    <x v="1404"/>
    <x v="10"/>
    <x v="0"/>
  </r>
  <r>
    <x v="11"/>
    <x v="0"/>
    <x v="4"/>
    <x v="2"/>
    <x v="5"/>
    <x v="3"/>
    <x v="29"/>
    <x v="43"/>
    <x v="58"/>
    <x v="110"/>
    <x v="436"/>
    <x v="1469"/>
    <x v="1672"/>
    <x v="1593"/>
    <x v="1680"/>
    <x v="461"/>
    <x v="112"/>
    <x v="209"/>
    <x v="91"/>
    <x v="112"/>
    <x v="1"/>
  </r>
  <r>
    <x v="34"/>
    <x v="0"/>
    <x v="0"/>
    <x v="2"/>
    <x v="3"/>
    <x v="0"/>
    <x v="74"/>
    <x v="57"/>
    <x v="1"/>
    <x v="157"/>
    <x v="392"/>
    <x v="1470"/>
    <x v="1673"/>
    <x v="1594"/>
    <x v="1681"/>
    <x v="420"/>
    <x v="94"/>
    <x v="8"/>
    <x v="1405"/>
    <x v="94"/>
    <x v="2"/>
  </r>
  <r>
    <x v="42"/>
    <x v="1"/>
    <x v="9"/>
    <x v="2"/>
    <x v="3"/>
    <x v="2"/>
    <x v="50"/>
    <x v="43"/>
    <x v="0"/>
    <x v="65"/>
    <x v="143"/>
    <x v="1102"/>
    <x v="1674"/>
    <x v="1595"/>
    <x v="1682"/>
    <x v="1137"/>
    <x v="173"/>
    <x v="9"/>
    <x v="1406"/>
    <x v="173"/>
    <x v="2"/>
  </r>
  <r>
    <x v="46"/>
    <x v="1"/>
    <x v="8"/>
    <x v="2"/>
    <x v="0"/>
    <x v="2"/>
    <x v="11"/>
    <x v="67"/>
    <x v="35"/>
    <x v="32"/>
    <x v="143"/>
    <x v="1471"/>
    <x v="1675"/>
    <x v="1596"/>
    <x v="1683"/>
    <x v="911"/>
    <x v="120"/>
    <x v="61"/>
    <x v="1407"/>
    <x v="120"/>
    <x v="1"/>
  </r>
  <r>
    <x v="39"/>
    <x v="1"/>
    <x v="3"/>
    <x v="3"/>
    <x v="2"/>
    <x v="2"/>
    <x v="21"/>
    <x v="28"/>
    <x v="47"/>
    <x v="75"/>
    <x v="127"/>
    <x v="1472"/>
    <x v="1676"/>
    <x v="1597"/>
    <x v="1684"/>
    <x v="265"/>
    <x v="186"/>
    <x v="84"/>
    <x v="1408"/>
    <x v="186"/>
    <x v="2"/>
  </r>
  <r>
    <x v="26"/>
    <x v="1"/>
    <x v="0"/>
    <x v="1"/>
    <x v="3"/>
    <x v="0"/>
    <x v="76"/>
    <x v="22"/>
    <x v="63"/>
    <x v="107"/>
    <x v="69"/>
    <x v="1473"/>
    <x v="1677"/>
    <x v="1598"/>
    <x v="1685"/>
    <x v="1119"/>
    <x v="23"/>
    <x v="66"/>
    <x v="1409"/>
    <x v="23"/>
    <x v="2"/>
  </r>
  <r>
    <x v="4"/>
    <x v="1"/>
    <x v="0"/>
    <x v="3"/>
    <x v="0"/>
    <x v="0"/>
    <x v="93"/>
    <x v="47"/>
    <x v="7"/>
    <x v="11"/>
    <x v="441"/>
    <x v="1474"/>
    <x v="1678"/>
    <x v="1599"/>
    <x v="1686"/>
    <x v="555"/>
    <x v="33"/>
    <x v="84"/>
    <x v="455"/>
    <x v="33"/>
    <x v="1"/>
  </r>
  <r>
    <x v="3"/>
    <x v="1"/>
    <x v="0"/>
    <x v="3"/>
    <x v="4"/>
    <x v="1"/>
    <x v="45"/>
    <x v="58"/>
    <x v="4"/>
    <x v="94"/>
    <x v="167"/>
    <x v="1379"/>
    <x v="1679"/>
    <x v="1600"/>
    <x v="1687"/>
    <x v="1138"/>
    <x v="166"/>
    <x v="90"/>
    <x v="392"/>
    <x v="166"/>
    <x v="0"/>
  </r>
  <r>
    <x v="55"/>
    <x v="1"/>
    <x v="6"/>
    <x v="4"/>
    <x v="1"/>
    <x v="0"/>
    <x v="6"/>
    <x v="10"/>
    <x v="62"/>
    <x v="7"/>
    <x v="303"/>
    <x v="1475"/>
    <x v="1680"/>
    <x v="194"/>
    <x v="1688"/>
    <x v="531"/>
    <x v="56"/>
    <x v="33"/>
    <x v="1410"/>
    <x v="56"/>
    <x v="2"/>
  </r>
  <r>
    <x v="35"/>
    <x v="0"/>
    <x v="2"/>
    <x v="2"/>
    <x v="5"/>
    <x v="1"/>
    <x v="74"/>
    <x v="11"/>
    <x v="70"/>
    <x v="29"/>
    <x v="185"/>
    <x v="1476"/>
    <x v="1681"/>
    <x v="1601"/>
    <x v="1689"/>
    <x v="1139"/>
    <x v="160"/>
    <x v="69"/>
    <x v="1411"/>
    <x v="160"/>
    <x v="2"/>
  </r>
  <r>
    <x v="37"/>
    <x v="1"/>
    <x v="9"/>
    <x v="2"/>
    <x v="0"/>
    <x v="0"/>
    <x v="31"/>
    <x v="47"/>
    <x v="46"/>
    <x v="40"/>
    <x v="417"/>
    <x v="1477"/>
    <x v="1682"/>
    <x v="1602"/>
    <x v="1690"/>
    <x v="985"/>
    <x v="41"/>
    <x v="24"/>
    <x v="1412"/>
    <x v="41"/>
    <x v="2"/>
  </r>
  <r>
    <x v="31"/>
    <x v="0"/>
    <x v="9"/>
    <x v="4"/>
    <x v="1"/>
    <x v="3"/>
    <x v="92"/>
    <x v="14"/>
    <x v="54"/>
    <x v="159"/>
    <x v="278"/>
    <x v="1478"/>
    <x v="1683"/>
    <x v="1603"/>
    <x v="1691"/>
    <x v="1140"/>
    <x v="74"/>
    <x v="105"/>
    <x v="1413"/>
    <x v="74"/>
    <x v="2"/>
  </r>
  <r>
    <x v="2"/>
    <x v="0"/>
    <x v="0"/>
    <x v="4"/>
    <x v="2"/>
    <x v="3"/>
    <x v="17"/>
    <x v="15"/>
    <x v="18"/>
    <x v="51"/>
    <x v="390"/>
    <x v="1479"/>
    <x v="1684"/>
    <x v="1604"/>
    <x v="1692"/>
    <x v="758"/>
    <x v="0"/>
    <x v="202"/>
    <x v="543"/>
    <x v="0"/>
    <x v="2"/>
  </r>
  <r>
    <x v="43"/>
    <x v="0"/>
    <x v="4"/>
    <x v="1"/>
    <x v="0"/>
    <x v="2"/>
    <x v="49"/>
    <x v="0"/>
    <x v="28"/>
    <x v="111"/>
    <x v="128"/>
    <x v="732"/>
    <x v="1685"/>
    <x v="936"/>
    <x v="1693"/>
    <x v="1141"/>
    <x v="70"/>
    <x v="187"/>
    <x v="1414"/>
    <x v="70"/>
    <x v="2"/>
  </r>
  <r>
    <x v="11"/>
    <x v="0"/>
    <x v="1"/>
    <x v="0"/>
    <x v="4"/>
    <x v="1"/>
    <x v="48"/>
    <x v="32"/>
    <x v="58"/>
    <x v="94"/>
    <x v="11"/>
    <x v="1480"/>
    <x v="1686"/>
    <x v="1605"/>
    <x v="1694"/>
    <x v="266"/>
    <x v="127"/>
    <x v="141"/>
    <x v="91"/>
    <x v="127"/>
    <x v="1"/>
  </r>
  <r>
    <x v="55"/>
    <x v="0"/>
    <x v="9"/>
    <x v="2"/>
    <x v="1"/>
    <x v="1"/>
    <x v="113"/>
    <x v="11"/>
    <x v="43"/>
    <x v="138"/>
    <x v="331"/>
    <x v="1481"/>
    <x v="1687"/>
    <x v="1606"/>
    <x v="1695"/>
    <x v="252"/>
    <x v="66"/>
    <x v="35"/>
    <x v="1415"/>
    <x v="66"/>
    <x v="2"/>
  </r>
  <r>
    <x v="21"/>
    <x v="1"/>
    <x v="2"/>
    <x v="2"/>
    <x v="5"/>
    <x v="3"/>
    <x v="33"/>
    <x v="0"/>
    <x v="75"/>
    <x v="126"/>
    <x v="238"/>
    <x v="1482"/>
    <x v="1688"/>
    <x v="1112"/>
    <x v="1696"/>
    <x v="1142"/>
    <x v="172"/>
    <x v="153"/>
    <x v="1416"/>
    <x v="172"/>
    <x v="0"/>
  </r>
  <r>
    <x v="23"/>
    <x v="0"/>
    <x v="8"/>
    <x v="0"/>
    <x v="6"/>
    <x v="3"/>
    <x v="91"/>
    <x v="27"/>
    <x v="25"/>
    <x v="27"/>
    <x v="330"/>
    <x v="921"/>
    <x v="1689"/>
    <x v="466"/>
    <x v="1697"/>
    <x v="1143"/>
    <x v="10"/>
    <x v="133"/>
    <x v="1417"/>
    <x v="10"/>
    <x v="1"/>
  </r>
  <r>
    <x v="24"/>
    <x v="1"/>
    <x v="3"/>
    <x v="3"/>
    <x v="2"/>
    <x v="3"/>
    <x v="89"/>
    <x v="79"/>
    <x v="46"/>
    <x v="14"/>
    <x v="268"/>
    <x v="1483"/>
    <x v="1690"/>
    <x v="1607"/>
    <x v="1698"/>
    <x v="75"/>
    <x v="46"/>
    <x v="61"/>
    <x v="1418"/>
    <x v="46"/>
    <x v="1"/>
  </r>
  <r>
    <x v="6"/>
    <x v="0"/>
    <x v="3"/>
    <x v="3"/>
    <x v="0"/>
    <x v="0"/>
    <x v="39"/>
    <x v="59"/>
    <x v="69"/>
    <x v="95"/>
    <x v="142"/>
    <x v="1484"/>
    <x v="1691"/>
    <x v="846"/>
    <x v="1699"/>
    <x v="1144"/>
    <x v="167"/>
    <x v="80"/>
    <x v="1419"/>
    <x v="167"/>
    <x v="2"/>
  </r>
  <r>
    <x v="38"/>
    <x v="1"/>
    <x v="7"/>
    <x v="4"/>
    <x v="1"/>
    <x v="2"/>
    <x v="88"/>
    <x v="9"/>
    <x v="45"/>
    <x v="14"/>
    <x v="120"/>
    <x v="1485"/>
    <x v="1692"/>
    <x v="1608"/>
    <x v="1700"/>
    <x v="1145"/>
    <x v="55"/>
    <x v="160"/>
    <x v="711"/>
    <x v="55"/>
    <x v="2"/>
  </r>
  <r>
    <x v="50"/>
    <x v="1"/>
    <x v="3"/>
    <x v="0"/>
    <x v="2"/>
    <x v="1"/>
    <x v="35"/>
    <x v="17"/>
    <x v="59"/>
    <x v="129"/>
    <x v="419"/>
    <x v="1486"/>
    <x v="1693"/>
    <x v="1609"/>
    <x v="1701"/>
    <x v="1146"/>
    <x v="149"/>
    <x v="81"/>
    <x v="1420"/>
    <x v="149"/>
    <x v="2"/>
  </r>
  <r>
    <x v="59"/>
    <x v="0"/>
    <x v="2"/>
    <x v="3"/>
    <x v="2"/>
    <x v="1"/>
    <x v="36"/>
    <x v="74"/>
    <x v="5"/>
    <x v="139"/>
    <x v="442"/>
    <x v="1487"/>
    <x v="1694"/>
    <x v="1610"/>
    <x v="1702"/>
    <x v="1147"/>
    <x v="110"/>
    <x v="77"/>
    <x v="1182"/>
    <x v="110"/>
    <x v="0"/>
  </r>
  <r>
    <x v="34"/>
    <x v="1"/>
    <x v="9"/>
    <x v="3"/>
    <x v="2"/>
    <x v="2"/>
    <x v="106"/>
    <x v="22"/>
    <x v="40"/>
    <x v="82"/>
    <x v="387"/>
    <x v="1488"/>
    <x v="1695"/>
    <x v="1611"/>
    <x v="1703"/>
    <x v="1148"/>
    <x v="3"/>
    <x v="137"/>
    <x v="148"/>
    <x v="3"/>
    <x v="2"/>
  </r>
  <r>
    <x v="13"/>
    <x v="0"/>
    <x v="5"/>
    <x v="2"/>
    <x v="2"/>
    <x v="0"/>
    <x v="34"/>
    <x v="15"/>
    <x v="52"/>
    <x v="26"/>
    <x v="286"/>
    <x v="1489"/>
    <x v="1696"/>
    <x v="1612"/>
    <x v="1704"/>
    <x v="1149"/>
    <x v="56"/>
    <x v="105"/>
    <x v="1421"/>
    <x v="56"/>
    <x v="2"/>
  </r>
  <r>
    <x v="1"/>
    <x v="1"/>
    <x v="8"/>
    <x v="2"/>
    <x v="0"/>
    <x v="0"/>
    <x v="78"/>
    <x v="73"/>
    <x v="45"/>
    <x v="111"/>
    <x v="391"/>
    <x v="1490"/>
    <x v="1697"/>
    <x v="273"/>
    <x v="1705"/>
    <x v="1150"/>
    <x v="129"/>
    <x v="206"/>
    <x v="435"/>
    <x v="129"/>
    <x v="1"/>
  </r>
  <r>
    <x v="22"/>
    <x v="1"/>
    <x v="7"/>
    <x v="4"/>
    <x v="2"/>
    <x v="2"/>
    <x v="12"/>
    <x v="51"/>
    <x v="67"/>
    <x v="89"/>
    <x v="149"/>
    <x v="1491"/>
    <x v="1698"/>
    <x v="1613"/>
    <x v="1706"/>
    <x v="402"/>
    <x v="127"/>
    <x v="160"/>
    <x v="1422"/>
    <x v="127"/>
    <x v="0"/>
  </r>
  <r>
    <x v="33"/>
    <x v="1"/>
    <x v="3"/>
    <x v="2"/>
    <x v="1"/>
    <x v="2"/>
    <x v="25"/>
    <x v="76"/>
    <x v="32"/>
    <x v="37"/>
    <x v="278"/>
    <x v="1492"/>
    <x v="1699"/>
    <x v="1614"/>
    <x v="1707"/>
    <x v="1069"/>
    <x v="98"/>
    <x v="70"/>
    <x v="1423"/>
    <x v="98"/>
    <x v="2"/>
  </r>
  <r>
    <x v="46"/>
    <x v="0"/>
    <x v="0"/>
    <x v="0"/>
    <x v="2"/>
    <x v="2"/>
    <x v="80"/>
    <x v="52"/>
    <x v="34"/>
    <x v="9"/>
    <x v="159"/>
    <x v="1493"/>
    <x v="1700"/>
    <x v="1615"/>
    <x v="1708"/>
    <x v="1151"/>
    <x v="141"/>
    <x v="129"/>
    <x v="1424"/>
    <x v="141"/>
    <x v="1"/>
  </r>
  <r>
    <x v="24"/>
    <x v="0"/>
    <x v="2"/>
    <x v="4"/>
    <x v="4"/>
    <x v="0"/>
    <x v="97"/>
    <x v="52"/>
    <x v="76"/>
    <x v="116"/>
    <x v="51"/>
    <x v="540"/>
    <x v="1701"/>
    <x v="1616"/>
    <x v="1709"/>
    <x v="712"/>
    <x v="98"/>
    <x v="103"/>
    <x v="1425"/>
    <x v="98"/>
    <x v="1"/>
  </r>
  <r>
    <x v="0"/>
    <x v="0"/>
    <x v="9"/>
    <x v="0"/>
    <x v="3"/>
    <x v="2"/>
    <x v="72"/>
    <x v="23"/>
    <x v="69"/>
    <x v="20"/>
    <x v="299"/>
    <x v="1494"/>
    <x v="1702"/>
    <x v="1617"/>
    <x v="1710"/>
    <x v="1152"/>
    <x v="71"/>
    <x v="60"/>
    <x v="1426"/>
    <x v="71"/>
    <x v="0"/>
  </r>
  <r>
    <x v="21"/>
    <x v="1"/>
    <x v="6"/>
    <x v="1"/>
    <x v="3"/>
    <x v="2"/>
    <x v="91"/>
    <x v="35"/>
    <x v="49"/>
    <x v="135"/>
    <x v="64"/>
    <x v="1495"/>
    <x v="1703"/>
    <x v="643"/>
    <x v="1711"/>
    <x v="18"/>
    <x v="66"/>
    <x v="124"/>
    <x v="384"/>
    <x v="66"/>
    <x v="0"/>
  </r>
  <r>
    <x v="55"/>
    <x v="1"/>
    <x v="9"/>
    <x v="3"/>
    <x v="0"/>
    <x v="3"/>
    <x v="107"/>
    <x v="30"/>
    <x v="53"/>
    <x v="65"/>
    <x v="146"/>
    <x v="1012"/>
    <x v="1704"/>
    <x v="1618"/>
    <x v="1712"/>
    <x v="1153"/>
    <x v="3"/>
    <x v="163"/>
    <x v="744"/>
    <x v="3"/>
    <x v="2"/>
  </r>
  <r>
    <x v="35"/>
    <x v="1"/>
    <x v="0"/>
    <x v="1"/>
    <x v="1"/>
    <x v="1"/>
    <x v="86"/>
    <x v="31"/>
    <x v="47"/>
    <x v="66"/>
    <x v="159"/>
    <x v="1211"/>
    <x v="1705"/>
    <x v="1619"/>
    <x v="1713"/>
    <x v="829"/>
    <x v="30"/>
    <x v="112"/>
    <x v="798"/>
    <x v="30"/>
    <x v="2"/>
  </r>
  <r>
    <x v="26"/>
    <x v="1"/>
    <x v="6"/>
    <x v="3"/>
    <x v="4"/>
    <x v="2"/>
    <x v="0"/>
    <x v="1"/>
    <x v="69"/>
    <x v="105"/>
    <x v="193"/>
    <x v="1496"/>
    <x v="1706"/>
    <x v="1620"/>
    <x v="1714"/>
    <x v="52"/>
    <x v="126"/>
    <x v="194"/>
    <x v="1427"/>
    <x v="126"/>
    <x v="2"/>
  </r>
  <r>
    <x v="51"/>
    <x v="0"/>
    <x v="5"/>
    <x v="0"/>
    <x v="5"/>
    <x v="1"/>
    <x v="57"/>
    <x v="29"/>
    <x v="82"/>
    <x v="79"/>
    <x v="105"/>
    <x v="1497"/>
    <x v="1707"/>
    <x v="1621"/>
    <x v="1715"/>
    <x v="1154"/>
    <x v="189"/>
    <x v="51"/>
    <x v="1428"/>
    <x v="189"/>
    <x v="2"/>
  </r>
  <r>
    <x v="51"/>
    <x v="0"/>
    <x v="9"/>
    <x v="1"/>
    <x v="3"/>
    <x v="3"/>
    <x v="44"/>
    <x v="60"/>
    <x v="45"/>
    <x v="116"/>
    <x v="117"/>
    <x v="1498"/>
    <x v="1708"/>
    <x v="1622"/>
    <x v="1716"/>
    <x v="1155"/>
    <x v="74"/>
    <x v="114"/>
    <x v="1429"/>
    <x v="74"/>
    <x v="2"/>
  </r>
  <r>
    <x v="16"/>
    <x v="0"/>
    <x v="4"/>
    <x v="2"/>
    <x v="6"/>
    <x v="1"/>
    <x v="103"/>
    <x v="56"/>
    <x v="89"/>
    <x v="51"/>
    <x v="97"/>
    <x v="1499"/>
    <x v="1709"/>
    <x v="1623"/>
    <x v="1717"/>
    <x v="18"/>
    <x v="160"/>
    <x v="61"/>
    <x v="1430"/>
    <x v="160"/>
    <x v="0"/>
  </r>
  <r>
    <x v="48"/>
    <x v="1"/>
    <x v="8"/>
    <x v="1"/>
    <x v="0"/>
    <x v="2"/>
    <x v="87"/>
    <x v="22"/>
    <x v="82"/>
    <x v="79"/>
    <x v="231"/>
    <x v="1500"/>
    <x v="1710"/>
    <x v="1624"/>
    <x v="1718"/>
    <x v="229"/>
    <x v="88"/>
    <x v="67"/>
    <x v="226"/>
    <x v="88"/>
    <x v="2"/>
  </r>
  <r>
    <x v="32"/>
    <x v="1"/>
    <x v="2"/>
    <x v="3"/>
    <x v="4"/>
    <x v="1"/>
    <x v="76"/>
    <x v="66"/>
    <x v="66"/>
    <x v="34"/>
    <x v="434"/>
    <x v="1501"/>
    <x v="1711"/>
    <x v="1625"/>
    <x v="1719"/>
    <x v="1156"/>
    <x v="10"/>
    <x v="165"/>
    <x v="1431"/>
    <x v="10"/>
    <x v="1"/>
  </r>
  <r>
    <x v="10"/>
    <x v="0"/>
    <x v="7"/>
    <x v="4"/>
    <x v="6"/>
    <x v="3"/>
    <x v="60"/>
    <x v="38"/>
    <x v="70"/>
    <x v="58"/>
    <x v="137"/>
    <x v="1502"/>
    <x v="1712"/>
    <x v="1626"/>
    <x v="1720"/>
    <x v="1157"/>
    <x v="53"/>
    <x v="102"/>
    <x v="1432"/>
    <x v="53"/>
    <x v="2"/>
  </r>
  <r>
    <x v="22"/>
    <x v="0"/>
    <x v="9"/>
    <x v="2"/>
    <x v="6"/>
    <x v="1"/>
    <x v="29"/>
    <x v="57"/>
    <x v="3"/>
    <x v="137"/>
    <x v="91"/>
    <x v="1503"/>
    <x v="1713"/>
    <x v="1627"/>
    <x v="1721"/>
    <x v="1158"/>
    <x v="72"/>
    <x v="3"/>
    <x v="1433"/>
    <x v="72"/>
    <x v="0"/>
  </r>
  <r>
    <x v="28"/>
    <x v="1"/>
    <x v="5"/>
    <x v="2"/>
    <x v="5"/>
    <x v="1"/>
    <x v="84"/>
    <x v="59"/>
    <x v="68"/>
    <x v="5"/>
    <x v="222"/>
    <x v="1504"/>
    <x v="1714"/>
    <x v="1628"/>
    <x v="1722"/>
    <x v="1159"/>
    <x v="151"/>
    <x v="56"/>
    <x v="156"/>
    <x v="151"/>
    <x v="0"/>
  </r>
  <r>
    <x v="26"/>
    <x v="0"/>
    <x v="3"/>
    <x v="1"/>
    <x v="4"/>
    <x v="0"/>
    <x v="73"/>
    <x v="41"/>
    <x v="17"/>
    <x v="14"/>
    <x v="366"/>
    <x v="1505"/>
    <x v="1715"/>
    <x v="1629"/>
    <x v="1723"/>
    <x v="976"/>
    <x v="147"/>
    <x v="168"/>
    <x v="1434"/>
    <x v="147"/>
    <x v="2"/>
  </r>
  <r>
    <x v="24"/>
    <x v="1"/>
    <x v="9"/>
    <x v="3"/>
    <x v="4"/>
    <x v="2"/>
    <x v="86"/>
    <x v="6"/>
    <x v="88"/>
    <x v="2"/>
    <x v="133"/>
    <x v="1506"/>
    <x v="1716"/>
    <x v="1630"/>
    <x v="1724"/>
    <x v="48"/>
    <x v="43"/>
    <x v="68"/>
    <x v="1435"/>
    <x v="43"/>
    <x v="1"/>
  </r>
  <r>
    <x v="37"/>
    <x v="1"/>
    <x v="0"/>
    <x v="1"/>
    <x v="1"/>
    <x v="1"/>
    <x v="2"/>
    <x v="71"/>
    <x v="63"/>
    <x v="123"/>
    <x v="113"/>
    <x v="428"/>
    <x v="1717"/>
    <x v="1631"/>
    <x v="1725"/>
    <x v="1160"/>
    <x v="140"/>
    <x v="63"/>
    <x v="1436"/>
    <x v="140"/>
    <x v="2"/>
  </r>
  <r>
    <x v="38"/>
    <x v="0"/>
    <x v="2"/>
    <x v="2"/>
    <x v="2"/>
    <x v="0"/>
    <x v="50"/>
    <x v="70"/>
    <x v="64"/>
    <x v="158"/>
    <x v="233"/>
    <x v="719"/>
    <x v="1718"/>
    <x v="1632"/>
    <x v="1726"/>
    <x v="1161"/>
    <x v="101"/>
    <x v="7"/>
    <x v="58"/>
    <x v="101"/>
    <x v="2"/>
  </r>
  <r>
    <x v="1"/>
    <x v="0"/>
    <x v="4"/>
    <x v="2"/>
    <x v="5"/>
    <x v="0"/>
    <x v="74"/>
    <x v="19"/>
    <x v="65"/>
    <x v="52"/>
    <x v="156"/>
    <x v="506"/>
    <x v="1719"/>
    <x v="1633"/>
    <x v="1727"/>
    <x v="146"/>
    <x v="129"/>
    <x v="43"/>
    <x v="1437"/>
    <x v="129"/>
    <x v="1"/>
  </r>
  <r>
    <x v="51"/>
    <x v="0"/>
    <x v="5"/>
    <x v="0"/>
    <x v="3"/>
    <x v="3"/>
    <x v="28"/>
    <x v="61"/>
    <x v="17"/>
    <x v="64"/>
    <x v="248"/>
    <x v="1507"/>
    <x v="1720"/>
    <x v="1634"/>
    <x v="1728"/>
    <x v="390"/>
    <x v="13"/>
    <x v="123"/>
    <x v="1438"/>
    <x v="13"/>
    <x v="2"/>
  </r>
  <r>
    <x v="34"/>
    <x v="0"/>
    <x v="3"/>
    <x v="2"/>
    <x v="6"/>
    <x v="3"/>
    <x v="119"/>
    <x v="66"/>
    <x v="20"/>
    <x v="13"/>
    <x v="18"/>
    <x v="1508"/>
    <x v="1721"/>
    <x v="1635"/>
    <x v="1729"/>
    <x v="1099"/>
    <x v="124"/>
    <x v="42"/>
    <x v="1439"/>
    <x v="124"/>
    <x v="2"/>
  </r>
  <r>
    <x v="16"/>
    <x v="1"/>
    <x v="4"/>
    <x v="0"/>
    <x v="6"/>
    <x v="2"/>
    <x v="104"/>
    <x v="16"/>
    <x v="55"/>
    <x v="30"/>
    <x v="277"/>
    <x v="1509"/>
    <x v="1722"/>
    <x v="1636"/>
    <x v="1730"/>
    <x v="1162"/>
    <x v="157"/>
    <x v="3"/>
    <x v="238"/>
    <x v="157"/>
    <x v="0"/>
  </r>
  <r>
    <x v="18"/>
    <x v="1"/>
    <x v="3"/>
    <x v="1"/>
    <x v="0"/>
    <x v="2"/>
    <x v="1"/>
    <x v="72"/>
    <x v="17"/>
    <x v="94"/>
    <x v="5"/>
    <x v="1510"/>
    <x v="1723"/>
    <x v="1637"/>
    <x v="1731"/>
    <x v="111"/>
    <x v="98"/>
    <x v="183"/>
    <x v="1440"/>
    <x v="98"/>
    <x v="2"/>
  </r>
  <r>
    <x v="12"/>
    <x v="0"/>
    <x v="0"/>
    <x v="2"/>
    <x v="0"/>
    <x v="1"/>
    <x v="110"/>
    <x v="14"/>
    <x v="72"/>
    <x v="56"/>
    <x v="204"/>
    <x v="1511"/>
    <x v="1724"/>
    <x v="1638"/>
    <x v="1732"/>
    <x v="629"/>
    <x v="4"/>
    <x v="13"/>
    <x v="729"/>
    <x v="4"/>
    <x v="0"/>
  </r>
  <r>
    <x v="38"/>
    <x v="0"/>
    <x v="3"/>
    <x v="4"/>
    <x v="6"/>
    <x v="0"/>
    <x v="58"/>
    <x v="33"/>
    <x v="70"/>
    <x v="58"/>
    <x v="275"/>
    <x v="368"/>
    <x v="1725"/>
    <x v="1639"/>
    <x v="1733"/>
    <x v="1163"/>
    <x v="41"/>
    <x v="222"/>
    <x v="1441"/>
    <x v="41"/>
    <x v="2"/>
  </r>
  <r>
    <x v="35"/>
    <x v="1"/>
    <x v="1"/>
    <x v="3"/>
    <x v="3"/>
    <x v="1"/>
    <x v="38"/>
    <x v="60"/>
    <x v="31"/>
    <x v="148"/>
    <x v="334"/>
    <x v="491"/>
    <x v="1726"/>
    <x v="1640"/>
    <x v="1734"/>
    <x v="1164"/>
    <x v="19"/>
    <x v="127"/>
    <x v="509"/>
    <x v="19"/>
    <x v="2"/>
  </r>
  <r>
    <x v="36"/>
    <x v="0"/>
    <x v="9"/>
    <x v="4"/>
    <x v="1"/>
    <x v="1"/>
    <x v="43"/>
    <x v="37"/>
    <x v="46"/>
    <x v="83"/>
    <x v="262"/>
    <x v="1512"/>
    <x v="1727"/>
    <x v="1641"/>
    <x v="1735"/>
    <x v="1165"/>
    <x v="46"/>
    <x v="25"/>
    <x v="1418"/>
    <x v="46"/>
    <x v="1"/>
  </r>
  <r>
    <x v="28"/>
    <x v="0"/>
    <x v="5"/>
    <x v="2"/>
    <x v="1"/>
    <x v="2"/>
    <x v="37"/>
    <x v="63"/>
    <x v="24"/>
    <x v="64"/>
    <x v="317"/>
    <x v="1513"/>
    <x v="1728"/>
    <x v="1642"/>
    <x v="1736"/>
    <x v="1166"/>
    <x v="135"/>
    <x v="182"/>
    <x v="1442"/>
    <x v="135"/>
    <x v="0"/>
  </r>
  <r>
    <x v="57"/>
    <x v="0"/>
    <x v="6"/>
    <x v="2"/>
    <x v="4"/>
    <x v="2"/>
    <x v="8"/>
    <x v="18"/>
    <x v="36"/>
    <x v="154"/>
    <x v="46"/>
    <x v="1514"/>
    <x v="1729"/>
    <x v="1643"/>
    <x v="1737"/>
    <x v="472"/>
    <x v="30"/>
    <x v="136"/>
    <x v="1443"/>
    <x v="30"/>
    <x v="0"/>
  </r>
  <r>
    <x v="47"/>
    <x v="0"/>
    <x v="0"/>
    <x v="0"/>
    <x v="6"/>
    <x v="0"/>
    <x v="23"/>
    <x v="71"/>
    <x v="13"/>
    <x v="66"/>
    <x v="324"/>
    <x v="1515"/>
    <x v="1730"/>
    <x v="1644"/>
    <x v="1738"/>
    <x v="210"/>
    <x v="164"/>
    <x v="75"/>
    <x v="1444"/>
    <x v="164"/>
    <x v="0"/>
  </r>
  <r>
    <x v="54"/>
    <x v="1"/>
    <x v="5"/>
    <x v="2"/>
    <x v="0"/>
    <x v="2"/>
    <x v="19"/>
    <x v="10"/>
    <x v="76"/>
    <x v="13"/>
    <x v="7"/>
    <x v="1516"/>
    <x v="1731"/>
    <x v="1645"/>
    <x v="1739"/>
    <x v="1167"/>
    <x v="118"/>
    <x v="18"/>
    <x v="1445"/>
    <x v="118"/>
    <x v="0"/>
  </r>
  <r>
    <x v="21"/>
    <x v="1"/>
    <x v="1"/>
    <x v="0"/>
    <x v="4"/>
    <x v="2"/>
    <x v="58"/>
    <x v="52"/>
    <x v="19"/>
    <x v="128"/>
    <x v="183"/>
    <x v="386"/>
    <x v="1732"/>
    <x v="1646"/>
    <x v="1740"/>
    <x v="1168"/>
    <x v="173"/>
    <x v="48"/>
    <x v="1446"/>
    <x v="173"/>
    <x v="0"/>
  </r>
  <r>
    <x v="42"/>
    <x v="1"/>
    <x v="4"/>
    <x v="4"/>
    <x v="5"/>
    <x v="1"/>
    <x v="108"/>
    <x v="25"/>
    <x v="88"/>
    <x v="6"/>
    <x v="151"/>
    <x v="1517"/>
    <x v="1733"/>
    <x v="1647"/>
    <x v="1741"/>
    <x v="134"/>
    <x v="6"/>
    <x v="182"/>
    <x v="1317"/>
    <x v="6"/>
    <x v="2"/>
  </r>
  <r>
    <x v="6"/>
    <x v="1"/>
    <x v="2"/>
    <x v="1"/>
    <x v="6"/>
    <x v="3"/>
    <x v="2"/>
    <x v="55"/>
    <x v="2"/>
    <x v="107"/>
    <x v="415"/>
    <x v="1518"/>
    <x v="1734"/>
    <x v="1648"/>
    <x v="1742"/>
    <x v="1169"/>
    <x v="124"/>
    <x v="1"/>
    <x v="1447"/>
    <x v="124"/>
    <x v="2"/>
  </r>
  <r>
    <x v="36"/>
    <x v="1"/>
    <x v="2"/>
    <x v="1"/>
    <x v="4"/>
    <x v="1"/>
    <x v="119"/>
    <x v="9"/>
    <x v="62"/>
    <x v="126"/>
    <x v="305"/>
    <x v="1519"/>
    <x v="1735"/>
    <x v="1649"/>
    <x v="1743"/>
    <x v="22"/>
    <x v="58"/>
    <x v="207"/>
    <x v="1448"/>
    <x v="58"/>
    <x v="1"/>
  </r>
  <r>
    <x v="25"/>
    <x v="0"/>
    <x v="9"/>
    <x v="2"/>
    <x v="0"/>
    <x v="3"/>
    <x v="37"/>
    <x v="18"/>
    <x v="68"/>
    <x v="74"/>
    <x v="250"/>
    <x v="1520"/>
    <x v="1736"/>
    <x v="1255"/>
    <x v="1744"/>
    <x v="98"/>
    <x v="29"/>
    <x v="161"/>
    <x v="1449"/>
    <x v="29"/>
    <x v="0"/>
  </r>
  <r>
    <x v="21"/>
    <x v="1"/>
    <x v="2"/>
    <x v="1"/>
    <x v="4"/>
    <x v="1"/>
    <x v="114"/>
    <x v="58"/>
    <x v="3"/>
    <x v="73"/>
    <x v="132"/>
    <x v="1521"/>
    <x v="1737"/>
    <x v="1650"/>
    <x v="1530"/>
    <x v="14"/>
    <x v="66"/>
    <x v="29"/>
    <x v="1450"/>
    <x v="66"/>
    <x v="0"/>
  </r>
  <r>
    <x v="45"/>
    <x v="0"/>
    <x v="6"/>
    <x v="1"/>
    <x v="0"/>
    <x v="3"/>
    <x v="113"/>
    <x v="1"/>
    <x v="17"/>
    <x v="17"/>
    <x v="200"/>
    <x v="1522"/>
    <x v="1738"/>
    <x v="1651"/>
    <x v="1745"/>
    <x v="1170"/>
    <x v="4"/>
    <x v="120"/>
    <x v="1451"/>
    <x v="4"/>
    <x v="2"/>
  </r>
  <r>
    <x v="56"/>
    <x v="1"/>
    <x v="2"/>
    <x v="2"/>
    <x v="2"/>
    <x v="0"/>
    <x v="56"/>
    <x v="61"/>
    <x v="80"/>
    <x v="142"/>
    <x v="82"/>
    <x v="1523"/>
    <x v="1739"/>
    <x v="1652"/>
    <x v="1746"/>
    <x v="1171"/>
    <x v="74"/>
    <x v="99"/>
    <x v="486"/>
    <x v="74"/>
    <x v="2"/>
  </r>
  <r>
    <x v="39"/>
    <x v="1"/>
    <x v="4"/>
    <x v="4"/>
    <x v="1"/>
    <x v="2"/>
    <x v="72"/>
    <x v="50"/>
    <x v="33"/>
    <x v="37"/>
    <x v="115"/>
    <x v="1524"/>
    <x v="1740"/>
    <x v="1653"/>
    <x v="1747"/>
    <x v="349"/>
    <x v="22"/>
    <x v="15"/>
    <x v="1452"/>
    <x v="22"/>
    <x v="2"/>
  </r>
  <r>
    <x v="15"/>
    <x v="1"/>
    <x v="6"/>
    <x v="3"/>
    <x v="5"/>
    <x v="1"/>
    <x v="24"/>
    <x v="6"/>
    <x v="74"/>
    <x v="32"/>
    <x v="26"/>
    <x v="1303"/>
    <x v="1741"/>
    <x v="1654"/>
    <x v="1748"/>
    <x v="419"/>
    <x v="61"/>
    <x v="95"/>
    <x v="1453"/>
    <x v="61"/>
    <x v="2"/>
  </r>
  <r>
    <x v="11"/>
    <x v="1"/>
    <x v="6"/>
    <x v="0"/>
    <x v="4"/>
    <x v="1"/>
    <x v="69"/>
    <x v="43"/>
    <x v="88"/>
    <x v="24"/>
    <x v="1"/>
    <x v="1525"/>
    <x v="1742"/>
    <x v="1655"/>
    <x v="1749"/>
    <x v="892"/>
    <x v="81"/>
    <x v="126"/>
    <x v="1454"/>
    <x v="81"/>
    <x v="1"/>
  </r>
  <r>
    <x v="36"/>
    <x v="0"/>
    <x v="1"/>
    <x v="1"/>
    <x v="6"/>
    <x v="0"/>
    <x v="54"/>
    <x v="50"/>
    <x v="89"/>
    <x v="147"/>
    <x v="202"/>
    <x v="1526"/>
    <x v="1743"/>
    <x v="1656"/>
    <x v="1750"/>
    <x v="1172"/>
    <x v="173"/>
    <x v="83"/>
    <x v="1455"/>
    <x v="173"/>
    <x v="1"/>
  </r>
  <r>
    <x v="4"/>
    <x v="1"/>
    <x v="9"/>
    <x v="4"/>
    <x v="2"/>
    <x v="1"/>
    <x v="73"/>
    <x v="33"/>
    <x v="84"/>
    <x v="32"/>
    <x v="297"/>
    <x v="1527"/>
    <x v="1744"/>
    <x v="1657"/>
    <x v="1751"/>
    <x v="1095"/>
    <x v="116"/>
    <x v="221"/>
    <x v="1456"/>
    <x v="116"/>
    <x v="1"/>
  </r>
  <r>
    <x v="9"/>
    <x v="0"/>
    <x v="4"/>
    <x v="3"/>
    <x v="6"/>
    <x v="3"/>
    <x v="34"/>
    <x v="43"/>
    <x v="46"/>
    <x v="158"/>
    <x v="414"/>
    <x v="1528"/>
    <x v="1745"/>
    <x v="1658"/>
    <x v="1752"/>
    <x v="238"/>
    <x v="73"/>
    <x v="22"/>
    <x v="1457"/>
    <x v="73"/>
    <x v="0"/>
  </r>
  <r>
    <x v="43"/>
    <x v="0"/>
    <x v="5"/>
    <x v="3"/>
    <x v="0"/>
    <x v="0"/>
    <x v="104"/>
    <x v="17"/>
    <x v="75"/>
    <x v="100"/>
    <x v="155"/>
    <x v="1529"/>
    <x v="1746"/>
    <x v="1659"/>
    <x v="1753"/>
    <x v="1173"/>
    <x v="14"/>
    <x v="160"/>
    <x v="1458"/>
    <x v="14"/>
    <x v="2"/>
  </r>
  <r>
    <x v="21"/>
    <x v="0"/>
    <x v="7"/>
    <x v="0"/>
    <x v="5"/>
    <x v="3"/>
    <x v="72"/>
    <x v="30"/>
    <x v="0"/>
    <x v="21"/>
    <x v="425"/>
    <x v="1530"/>
    <x v="1747"/>
    <x v="657"/>
    <x v="1754"/>
    <x v="907"/>
    <x v="119"/>
    <x v="93"/>
    <x v="1459"/>
    <x v="119"/>
    <x v="0"/>
  </r>
  <r>
    <x v="46"/>
    <x v="1"/>
    <x v="3"/>
    <x v="1"/>
    <x v="1"/>
    <x v="0"/>
    <x v="103"/>
    <x v="29"/>
    <x v="1"/>
    <x v="97"/>
    <x v="174"/>
    <x v="805"/>
    <x v="1748"/>
    <x v="1660"/>
    <x v="1755"/>
    <x v="1174"/>
    <x v="26"/>
    <x v="67"/>
    <x v="1460"/>
    <x v="26"/>
    <x v="1"/>
  </r>
  <r>
    <x v="3"/>
    <x v="0"/>
    <x v="1"/>
    <x v="0"/>
    <x v="3"/>
    <x v="3"/>
    <x v="95"/>
    <x v="29"/>
    <x v="42"/>
    <x v="96"/>
    <x v="408"/>
    <x v="665"/>
    <x v="1749"/>
    <x v="1661"/>
    <x v="1756"/>
    <x v="1174"/>
    <x v="48"/>
    <x v="170"/>
    <x v="1461"/>
    <x v="48"/>
    <x v="0"/>
  </r>
  <r>
    <x v="19"/>
    <x v="0"/>
    <x v="0"/>
    <x v="2"/>
    <x v="6"/>
    <x v="1"/>
    <x v="67"/>
    <x v="52"/>
    <x v="8"/>
    <x v="54"/>
    <x v="422"/>
    <x v="1531"/>
    <x v="1750"/>
    <x v="1662"/>
    <x v="1757"/>
    <x v="1175"/>
    <x v="148"/>
    <x v="184"/>
    <x v="1260"/>
    <x v="148"/>
    <x v="1"/>
  </r>
  <r>
    <x v="57"/>
    <x v="0"/>
    <x v="6"/>
    <x v="2"/>
    <x v="4"/>
    <x v="2"/>
    <x v="60"/>
    <x v="53"/>
    <x v="52"/>
    <x v="11"/>
    <x v="326"/>
    <x v="1532"/>
    <x v="1751"/>
    <x v="1663"/>
    <x v="1758"/>
    <x v="226"/>
    <x v="6"/>
    <x v="83"/>
    <x v="1462"/>
    <x v="6"/>
    <x v="0"/>
  </r>
  <r>
    <x v="44"/>
    <x v="1"/>
    <x v="4"/>
    <x v="2"/>
    <x v="5"/>
    <x v="1"/>
    <x v="46"/>
    <x v="43"/>
    <x v="17"/>
    <x v="60"/>
    <x v="64"/>
    <x v="1533"/>
    <x v="1752"/>
    <x v="1664"/>
    <x v="1759"/>
    <x v="1176"/>
    <x v="101"/>
    <x v="59"/>
    <x v="187"/>
    <x v="101"/>
    <x v="2"/>
  </r>
  <r>
    <x v="15"/>
    <x v="0"/>
    <x v="7"/>
    <x v="4"/>
    <x v="5"/>
    <x v="3"/>
    <x v="19"/>
    <x v="60"/>
    <x v="20"/>
    <x v="134"/>
    <x v="373"/>
    <x v="1534"/>
    <x v="1753"/>
    <x v="1665"/>
    <x v="1760"/>
    <x v="1177"/>
    <x v="143"/>
    <x v="200"/>
    <x v="283"/>
    <x v="143"/>
    <x v="2"/>
  </r>
  <r>
    <x v="40"/>
    <x v="1"/>
    <x v="2"/>
    <x v="4"/>
    <x v="1"/>
    <x v="1"/>
    <x v="15"/>
    <x v="5"/>
    <x v="36"/>
    <x v="105"/>
    <x v="36"/>
    <x v="1535"/>
    <x v="1754"/>
    <x v="1666"/>
    <x v="1761"/>
    <x v="552"/>
    <x v="25"/>
    <x v="225"/>
    <x v="1463"/>
    <x v="25"/>
    <x v="2"/>
  </r>
  <r>
    <x v="39"/>
    <x v="0"/>
    <x v="3"/>
    <x v="0"/>
    <x v="6"/>
    <x v="3"/>
    <x v="90"/>
    <x v="74"/>
    <x v="39"/>
    <x v="156"/>
    <x v="206"/>
    <x v="1536"/>
    <x v="1755"/>
    <x v="1667"/>
    <x v="1762"/>
    <x v="727"/>
    <x v="97"/>
    <x v="1"/>
    <x v="1464"/>
    <x v="97"/>
    <x v="2"/>
  </r>
  <r>
    <x v="41"/>
    <x v="0"/>
    <x v="2"/>
    <x v="1"/>
    <x v="2"/>
    <x v="0"/>
    <x v="1"/>
    <x v="69"/>
    <x v="80"/>
    <x v="64"/>
    <x v="257"/>
    <x v="1537"/>
    <x v="1756"/>
    <x v="1668"/>
    <x v="1763"/>
    <x v="1178"/>
    <x v="80"/>
    <x v="36"/>
    <x v="1465"/>
    <x v="80"/>
    <x v="2"/>
  </r>
  <r>
    <x v="6"/>
    <x v="1"/>
    <x v="9"/>
    <x v="0"/>
    <x v="2"/>
    <x v="1"/>
    <x v="100"/>
    <x v="73"/>
    <x v="72"/>
    <x v="100"/>
    <x v="34"/>
    <x v="1538"/>
    <x v="1757"/>
    <x v="1405"/>
    <x v="1764"/>
    <x v="282"/>
    <x v="141"/>
    <x v="126"/>
    <x v="1466"/>
    <x v="141"/>
    <x v="2"/>
  </r>
  <r>
    <x v="24"/>
    <x v="1"/>
    <x v="6"/>
    <x v="3"/>
    <x v="5"/>
    <x v="3"/>
    <x v="44"/>
    <x v="38"/>
    <x v="44"/>
    <x v="129"/>
    <x v="195"/>
    <x v="1539"/>
    <x v="1758"/>
    <x v="1669"/>
    <x v="1765"/>
    <x v="126"/>
    <x v="23"/>
    <x v="109"/>
    <x v="1467"/>
    <x v="23"/>
    <x v="1"/>
  </r>
  <r>
    <x v="5"/>
    <x v="0"/>
    <x v="3"/>
    <x v="2"/>
    <x v="0"/>
    <x v="1"/>
    <x v="56"/>
    <x v="71"/>
    <x v="60"/>
    <x v="158"/>
    <x v="299"/>
    <x v="323"/>
    <x v="1759"/>
    <x v="1670"/>
    <x v="1766"/>
    <x v="1179"/>
    <x v="133"/>
    <x v="218"/>
    <x v="1468"/>
    <x v="133"/>
    <x v="2"/>
  </r>
  <r>
    <x v="56"/>
    <x v="1"/>
    <x v="9"/>
    <x v="4"/>
    <x v="5"/>
    <x v="3"/>
    <x v="41"/>
    <x v="6"/>
    <x v="31"/>
    <x v="88"/>
    <x v="237"/>
    <x v="1540"/>
    <x v="1760"/>
    <x v="1671"/>
    <x v="1767"/>
    <x v="308"/>
    <x v="57"/>
    <x v="214"/>
    <x v="1469"/>
    <x v="57"/>
    <x v="2"/>
  </r>
  <r>
    <x v="46"/>
    <x v="1"/>
    <x v="3"/>
    <x v="2"/>
    <x v="1"/>
    <x v="3"/>
    <x v="95"/>
    <x v="68"/>
    <x v="40"/>
    <x v="86"/>
    <x v="150"/>
    <x v="1541"/>
    <x v="1761"/>
    <x v="1672"/>
    <x v="1768"/>
    <x v="1165"/>
    <x v="80"/>
    <x v="60"/>
    <x v="1470"/>
    <x v="80"/>
    <x v="1"/>
  </r>
  <r>
    <x v="14"/>
    <x v="1"/>
    <x v="3"/>
    <x v="3"/>
    <x v="0"/>
    <x v="1"/>
    <x v="99"/>
    <x v="1"/>
    <x v="23"/>
    <x v="48"/>
    <x v="84"/>
    <x v="1496"/>
    <x v="1762"/>
    <x v="1673"/>
    <x v="1769"/>
    <x v="285"/>
    <x v="123"/>
    <x v="23"/>
    <x v="1471"/>
    <x v="123"/>
    <x v="2"/>
  </r>
  <r>
    <x v="24"/>
    <x v="0"/>
    <x v="7"/>
    <x v="4"/>
    <x v="5"/>
    <x v="1"/>
    <x v="114"/>
    <x v="46"/>
    <x v="63"/>
    <x v="40"/>
    <x v="394"/>
    <x v="1542"/>
    <x v="1763"/>
    <x v="1315"/>
    <x v="1770"/>
    <x v="249"/>
    <x v="30"/>
    <x v="80"/>
    <x v="197"/>
    <x v="30"/>
    <x v="1"/>
  </r>
  <r>
    <x v="3"/>
    <x v="1"/>
    <x v="8"/>
    <x v="1"/>
    <x v="0"/>
    <x v="1"/>
    <x v="54"/>
    <x v="42"/>
    <x v="8"/>
    <x v="54"/>
    <x v="273"/>
    <x v="190"/>
    <x v="1764"/>
    <x v="1674"/>
    <x v="1771"/>
    <x v="700"/>
    <x v="119"/>
    <x v="6"/>
    <x v="736"/>
    <x v="119"/>
    <x v="0"/>
  </r>
  <r>
    <x v="20"/>
    <x v="1"/>
    <x v="2"/>
    <x v="3"/>
    <x v="3"/>
    <x v="1"/>
    <x v="19"/>
    <x v="79"/>
    <x v="41"/>
    <x v="150"/>
    <x v="419"/>
    <x v="1543"/>
    <x v="1765"/>
    <x v="1675"/>
    <x v="1772"/>
    <x v="419"/>
    <x v="126"/>
    <x v="185"/>
    <x v="269"/>
    <x v="126"/>
    <x v="1"/>
  </r>
  <r>
    <x v="0"/>
    <x v="1"/>
    <x v="4"/>
    <x v="1"/>
    <x v="4"/>
    <x v="1"/>
    <x v="91"/>
    <x v="75"/>
    <x v="54"/>
    <x v="99"/>
    <x v="327"/>
    <x v="1544"/>
    <x v="1766"/>
    <x v="1676"/>
    <x v="1773"/>
    <x v="1180"/>
    <x v="132"/>
    <x v="65"/>
    <x v="1296"/>
    <x v="132"/>
    <x v="0"/>
  </r>
  <r>
    <x v="15"/>
    <x v="0"/>
    <x v="8"/>
    <x v="1"/>
    <x v="2"/>
    <x v="1"/>
    <x v="44"/>
    <x v="75"/>
    <x v="36"/>
    <x v="150"/>
    <x v="155"/>
    <x v="1545"/>
    <x v="1767"/>
    <x v="1677"/>
    <x v="1774"/>
    <x v="1181"/>
    <x v="85"/>
    <x v="168"/>
    <x v="1472"/>
    <x v="85"/>
    <x v="2"/>
  </r>
  <r>
    <x v="41"/>
    <x v="1"/>
    <x v="0"/>
    <x v="1"/>
    <x v="1"/>
    <x v="1"/>
    <x v="46"/>
    <x v="64"/>
    <x v="77"/>
    <x v="21"/>
    <x v="417"/>
    <x v="1397"/>
    <x v="1768"/>
    <x v="1678"/>
    <x v="1775"/>
    <x v="672"/>
    <x v="117"/>
    <x v="63"/>
    <x v="344"/>
    <x v="117"/>
    <x v="2"/>
  </r>
  <r>
    <x v="12"/>
    <x v="1"/>
    <x v="4"/>
    <x v="4"/>
    <x v="2"/>
    <x v="1"/>
    <x v="10"/>
    <x v="57"/>
    <x v="12"/>
    <x v="80"/>
    <x v="42"/>
    <x v="1546"/>
    <x v="1769"/>
    <x v="1679"/>
    <x v="1776"/>
    <x v="908"/>
    <x v="46"/>
    <x v="182"/>
    <x v="706"/>
    <x v="46"/>
    <x v="0"/>
  </r>
  <r>
    <x v="51"/>
    <x v="1"/>
    <x v="7"/>
    <x v="2"/>
    <x v="4"/>
    <x v="1"/>
    <x v="63"/>
    <x v="69"/>
    <x v="14"/>
    <x v="2"/>
    <x v="442"/>
    <x v="1547"/>
    <x v="1770"/>
    <x v="1680"/>
    <x v="1777"/>
    <x v="556"/>
    <x v="98"/>
    <x v="87"/>
    <x v="263"/>
    <x v="98"/>
    <x v="2"/>
  </r>
  <r>
    <x v="4"/>
    <x v="0"/>
    <x v="0"/>
    <x v="4"/>
    <x v="0"/>
    <x v="0"/>
    <x v="65"/>
    <x v="8"/>
    <x v="14"/>
    <x v="101"/>
    <x v="302"/>
    <x v="503"/>
    <x v="1771"/>
    <x v="1681"/>
    <x v="1778"/>
    <x v="1182"/>
    <x v="168"/>
    <x v="33"/>
    <x v="1473"/>
    <x v="168"/>
    <x v="1"/>
  </r>
  <r>
    <x v="25"/>
    <x v="0"/>
    <x v="7"/>
    <x v="0"/>
    <x v="4"/>
    <x v="3"/>
    <x v="15"/>
    <x v="5"/>
    <x v="73"/>
    <x v="135"/>
    <x v="281"/>
    <x v="1548"/>
    <x v="1772"/>
    <x v="805"/>
    <x v="1779"/>
    <x v="1183"/>
    <x v="25"/>
    <x v="126"/>
    <x v="314"/>
    <x v="25"/>
    <x v="0"/>
  </r>
  <r>
    <x v="1"/>
    <x v="1"/>
    <x v="4"/>
    <x v="0"/>
    <x v="5"/>
    <x v="2"/>
    <x v="77"/>
    <x v="64"/>
    <x v="30"/>
    <x v="94"/>
    <x v="97"/>
    <x v="1549"/>
    <x v="1773"/>
    <x v="1682"/>
    <x v="1780"/>
    <x v="1184"/>
    <x v="139"/>
    <x v="116"/>
    <x v="101"/>
    <x v="139"/>
    <x v="1"/>
  </r>
  <r>
    <x v="23"/>
    <x v="1"/>
    <x v="6"/>
    <x v="1"/>
    <x v="3"/>
    <x v="0"/>
    <x v="92"/>
    <x v="39"/>
    <x v="34"/>
    <x v="126"/>
    <x v="92"/>
    <x v="1550"/>
    <x v="1774"/>
    <x v="1683"/>
    <x v="1781"/>
    <x v="806"/>
    <x v="40"/>
    <x v="94"/>
    <x v="55"/>
    <x v="40"/>
    <x v="1"/>
  </r>
  <r>
    <x v="6"/>
    <x v="1"/>
    <x v="9"/>
    <x v="1"/>
    <x v="4"/>
    <x v="1"/>
    <x v="10"/>
    <x v="11"/>
    <x v="60"/>
    <x v="24"/>
    <x v="111"/>
    <x v="1551"/>
    <x v="1775"/>
    <x v="1684"/>
    <x v="238"/>
    <x v="904"/>
    <x v="25"/>
    <x v="32"/>
    <x v="1474"/>
    <x v="25"/>
    <x v="2"/>
  </r>
  <r>
    <x v="52"/>
    <x v="0"/>
    <x v="0"/>
    <x v="3"/>
    <x v="2"/>
    <x v="2"/>
    <x v="43"/>
    <x v="17"/>
    <x v="72"/>
    <x v="29"/>
    <x v="300"/>
    <x v="1165"/>
    <x v="1776"/>
    <x v="1490"/>
    <x v="1782"/>
    <x v="1185"/>
    <x v="146"/>
    <x v="21"/>
    <x v="1475"/>
    <x v="146"/>
    <x v="2"/>
  </r>
  <r>
    <x v="16"/>
    <x v="1"/>
    <x v="3"/>
    <x v="1"/>
    <x v="1"/>
    <x v="0"/>
    <x v="37"/>
    <x v="72"/>
    <x v="69"/>
    <x v="156"/>
    <x v="179"/>
    <x v="1359"/>
    <x v="1777"/>
    <x v="1685"/>
    <x v="1783"/>
    <x v="1059"/>
    <x v="64"/>
    <x v="55"/>
    <x v="1476"/>
    <x v="64"/>
    <x v="0"/>
  </r>
  <r>
    <x v="35"/>
    <x v="1"/>
    <x v="6"/>
    <x v="3"/>
    <x v="2"/>
    <x v="0"/>
    <x v="79"/>
    <x v="44"/>
    <x v="63"/>
    <x v="95"/>
    <x v="359"/>
    <x v="548"/>
    <x v="1778"/>
    <x v="1686"/>
    <x v="1784"/>
    <x v="720"/>
    <x v="129"/>
    <x v="193"/>
    <x v="704"/>
    <x v="129"/>
    <x v="2"/>
  </r>
  <r>
    <x v="40"/>
    <x v="0"/>
    <x v="4"/>
    <x v="1"/>
    <x v="2"/>
    <x v="2"/>
    <x v="96"/>
    <x v="58"/>
    <x v="23"/>
    <x v="100"/>
    <x v="373"/>
    <x v="1552"/>
    <x v="14"/>
    <x v="1687"/>
    <x v="1785"/>
    <x v="1186"/>
    <x v="1"/>
    <x v="95"/>
    <x v="1477"/>
    <x v="1"/>
    <x v="2"/>
  </r>
  <r>
    <x v="17"/>
    <x v="1"/>
    <x v="0"/>
    <x v="0"/>
    <x v="3"/>
    <x v="0"/>
    <x v="39"/>
    <x v="32"/>
    <x v="3"/>
    <x v="54"/>
    <x v="135"/>
    <x v="1553"/>
    <x v="1779"/>
    <x v="152"/>
    <x v="1786"/>
    <x v="95"/>
    <x v="95"/>
    <x v="2"/>
    <x v="105"/>
    <x v="95"/>
    <x v="1"/>
  </r>
  <r>
    <x v="0"/>
    <x v="1"/>
    <x v="9"/>
    <x v="4"/>
    <x v="4"/>
    <x v="2"/>
    <x v="37"/>
    <x v="22"/>
    <x v="68"/>
    <x v="16"/>
    <x v="305"/>
    <x v="1554"/>
    <x v="1780"/>
    <x v="1688"/>
    <x v="1787"/>
    <x v="982"/>
    <x v="171"/>
    <x v="140"/>
    <x v="1478"/>
    <x v="171"/>
    <x v="0"/>
  </r>
  <r>
    <x v="15"/>
    <x v="1"/>
    <x v="4"/>
    <x v="0"/>
    <x v="3"/>
    <x v="2"/>
    <x v="55"/>
    <x v="46"/>
    <x v="64"/>
    <x v="106"/>
    <x v="443"/>
    <x v="1555"/>
    <x v="1781"/>
    <x v="1689"/>
    <x v="1788"/>
    <x v="1187"/>
    <x v="50"/>
    <x v="90"/>
    <x v="4"/>
    <x v="50"/>
    <x v="2"/>
  </r>
  <r>
    <x v="59"/>
    <x v="1"/>
    <x v="0"/>
    <x v="3"/>
    <x v="5"/>
    <x v="3"/>
    <x v="42"/>
    <x v="67"/>
    <x v="18"/>
    <x v="61"/>
    <x v="53"/>
    <x v="1556"/>
    <x v="1782"/>
    <x v="1690"/>
    <x v="1789"/>
    <x v="980"/>
    <x v="183"/>
    <x v="128"/>
    <x v="1479"/>
    <x v="183"/>
    <x v="0"/>
  </r>
  <r>
    <x v="50"/>
    <x v="1"/>
    <x v="9"/>
    <x v="1"/>
    <x v="4"/>
    <x v="3"/>
    <x v="99"/>
    <x v="43"/>
    <x v="52"/>
    <x v="6"/>
    <x v="236"/>
    <x v="1557"/>
    <x v="1783"/>
    <x v="1691"/>
    <x v="1790"/>
    <x v="1188"/>
    <x v="93"/>
    <x v="10"/>
    <x v="1480"/>
    <x v="93"/>
    <x v="2"/>
  </r>
  <r>
    <x v="23"/>
    <x v="0"/>
    <x v="4"/>
    <x v="1"/>
    <x v="0"/>
    <x v="2"/>
    <x v="44"/>
    <x v="3"/>
    <x v="77"/>
    <x v="59"/>
    <x v="41"/>
    <x v="1558"/>
    <x v="1784"/>
    <x v="1692"/>
    <x v="1791"/>
    <x v="175"/>
    <x v="112"/>
    <x v="79"/>
    <x v="1481"/>
    <x v="112"/>
    <x v="1"/>
  </r>
  <r>
    <x v="20"/>
    <x v="1"/>
    <x v="8"/>
    <x v="2"/>
    <x v="3"/>
    <x v="2"/>
    <x v="101"/>
    <x v="32"/>
    <x v="4"/>
    <x v="1"/>
    <x v="215"/>
    <x v="1559"/>
    <x v="1785"/>
    <x v="1693"/>
    <x v="1792"/>
    <x v="183"/>
    <x v="176"/>
    <x v="182"/>
    <x v="1482"/>
    <x v="176"/>
    <x v="1"/>
  </r>
  <r>
    <x v="24"/>
    <x v="1"/>
    <x v="8"/>
    <x v="1"/>
    <x v="0"/>
    <x v="3"/>
    <x v="110"/>
    <x v="36"/>
    <x v="28"/>
    <x v="64"/>
    <x v="231"/>
    <x v="1560"/>
    <x v="1786"/>
    <x v="1463"/>
    <x v="1793"/>
    <x v="1189"/>
    <x v="88"/>
    <x v="198"/>
    <x v="1483"/>
    <x v="88"/>
    <x v="1"/>
  </r>
  <r>
    <x v="16"/>
    <x v="0"/>
    <x v="6"/>
    <x v="1"/>
    <x v="1"/>
    <x v="3"/>
    <x v="27"/>
    <x v="60"/>
    <x v="84"/>
    <x v="104"/>
    <x v="350"/>
    <x v="778"/>
    <x v="1787"/>
    <x v="1694"/>
    <x v="1794"/>
    <x v="620"/>
    <x v="164"/>
    <x v="126"/>
    <x v="1484"/>
    <x v="164"/>
    <x v="0"/>
  </r>
  <r>
    <x v="26"/>
    <x v="0"/>
    <x v="2"/>
    <x v="1"/>
    <x v="6"/>
    <x v="0"/>
    <x v="18"/>
    <x v="72"/>
    <x v="57"/>
    <x v="44"/>
    <x v="29"/>
    <x v="1561"/>
    <x v="1788"/>
    <x v="1695"/>
    <x v="1795"/>
    <x v="1190"/>
    <x v="28"/>
    <x v="68"/>
    <x v="1485"/>
    <x v="28"/>
    <x v="2"/>
  </r>
  <r>
    <x v="35"/>
    <x v="0"/>
    <x v="8"/>
    <x v="4"/>
    <x v="0"/>
    <x v="1"/>
    <x v="33"/>
    <x v="54"/>
    <x v="28"/>
    <x v="150"/>
    <x v="290"/>
    <x v="1562"/>
    <x v="1789"/>
    <x v="1696"/>
    <x v="1796"/>
    <x v="124"/>
    <x v="6"/>
    <x v="59"/>
    <x v="1486"/>
    <x v="6"/>
    <x v="2"/>
  </r>
  <r>
    <x v="36"/>
    <x v="0"/>
    <x v="1"/>
    <x v="4"/>
    <x v="6"/>
    <x v="0"/>
    <x v="47"/>
    <x v="40"/>
    <x v="76"/>
    <x v="11"/>
    <x v="83"/>
    <x v="1563"/>
    <x v="1790"/>
    <x v="1697"/>
    <x v="1797"/>
    <x v="1191"/>
    <x v="37"/>
    <x v="176"/>
    <x v="105"/>
    <x v="37"/>
    <x v="1"/>
  </r>
  <r>
    <x v="35"/>
    <x v="1"/>
    <x v="3"/>
    <x v="1"/>
    <x v="1"/>
    <x v="0"/>
    <x v="100"/>
    <x v="51"/>
    <x v="66"/>
    <x v="153"/>
    <x v="358"/>
    <x v="982"/>
    <x v="1791"/>
    <x v="1698"/>
    <x v="1798"/>
    <x v="1192"/>
    <x v="28"/>
    <x v="7"/>
    <x v="1487"/>
    <x v="28"/>
    <x v="2"/>
  </r>
  <r>
    <x v="58"/>
    <x v="1"/>
    <x v="9"/>
    <x v="4"/>
    <x v="1"/>
    <x v="1"/>
    <x v="87"/>
    <x v="76"/>
    <x v="21"/>
    <x v="157"/>
    <x v="229"/>
    <x v="1564"/>
    <x v="1792"/>
    <x v="506"/>
    <x v="1799"/>
    <x v="178"/>
    <x v="56"/>
    <x v="13"/>
    <x v="1488"/>
    <x v="56"/>
    <x v="0"/>
  </r>
  <r>
    <x v="47"/>
    <x v="0"/>
    <x v="8"/>
    <x v="1"/>
    <x v="6"/>
    <x v="0"/>
    <x v="100"/>
    <x v="37"/>
    <x v="86"/>
    <x v="0"/>
    <x v="385"/>
    <x v="1231"/>
    <x v="1793"/>
    <x v="1699"/>
    <x v="1800"/>
    <x v="456"/>
    <x v="176"/>
    <x v="120"/>
    <x v="1489"/>
    <x v="176"/>
    <x v="0"/>
  </r>
  <r>
    <x v="13"/>
    <x v="0"/>
    <x v="0"/>
    <x v="3"/>
    <x v="0"/>
    <x v="2"/>
    <x v="76"/>
    <x v="64"/>
    <x v="5"/>
    <x v="149"/>
    <x v="370"/>
    <x v="1565"/>
    <x v="1794"/>
    <x v="1700"/>
    <x v="1801"/>
    <x v="420"/>
    <x v="5"/>
    <x v="79"/>
    <x v="5"/>
    <x v="5"/>
    <x v="2"/>
  </r>
  <r>
    <x v="40"/>
    <x v="1"/>
    <x v="8"/>
    <x v="0"/>
    <x v="1"/>
    <x v="3"/>
    <x v="3"/>
    <x v="35"/>
    <x v="69"/>
    <x v="5"/>
    <x v="437"/>
    <x v="1566"/>
    <x v="1795"/>
    <x v="1701"/>
    <x v="1802"/>
    <x v="577"/>
    <x v="127"/>
    <x v="205"/>
    <x v="1490"/>
    <x v="127"/>
    <x v="2"/>
  </r>
  <r>
    <x v="57"/>
    <x v="0"/>
    <x v="2"/>
    <x v="2"/>
    <x v="5"/>
    <x v="2"/>
    <x v="103"/>
    <x v="11"/>
    <x v="85"/>
    <x v="15"/>
    <x v="105"/>
    <x v="1567"/>
    <x v="1796"/>
    <x v="1702"/>
    <x v="1803"/>
    <x v="111"/>
    <x v="105"/>
    <x v="184"/>
    <x v="1491"/>
    <x v="105"/>
    <x v="0"/>
  </r>
  <r>
    <x v="54"/>
    <x v="1"/>
    <x v="4"/>
    <x v="0"/>
    <x v="1"/>
    <x v="0"/>
    <x v="85"/>
    <x v="24"/>
    <x v="53"/>
    <x v="14"/>
    <x v="109"/>
    <x v="1568"/>
    <x v="1797"/>
    <x v="1703"/>
    <x v="1804"/>
    <x v="1193"/>
    <x v="60"/>
    <x v="156"/>
    <x v="710"/>
    <x v="60"/>
    <x v="0"/>
  </r>
  <r>
    <x v="3"/>
    <x v="1"/>
    <x v="4"/>
    <x v="3"/>
    <x v="4"/>
    <x v="0"/>
    <x v="100"/>
    <x v="21"/>
    <x v="2"/>
    <x v="58"/>
    <x v="313"/>
    <x v="1569"/>
    <x v="1798"/>
    <x v="1704"/>
    <x v="1805"/>
    <x v="263"/>
    <x v="171"/>
    <x v="149"/>
    <x v="1037"/>
    <x v="171"/>
    <x v="0"/>
  </r>
  <r>
    <x v="2"/>
    <x v="0"/>
    <x v="8"/>
    <x v="3"/>
    <x v="3"/>
    <x v="2"/>
    <x v="45"/>
    <x v="74"/>
    <x v="72"/>
    <x v="92"/>
    <x v="302"/>
    <x v="1570"/>
    <x v="1799"/>
    <x v="1705"/>
    <x v="1806"/>
    <x v="221"/>
    <x v="135"/>
    <x v="106"/>
    <x v="1492"/>
    <x v="135"/>
    <x v="2"/>
  </r>
  <r>
    <x v="25"/>
    <x v="1"/>
    <x v="8"/>
    <x v="2"/>
    <x v="4"/>
    <x v="1"/>
    <x v="113"/>
    <x v="24"/>
    <x v="59"/>
    <x v="40"/>
    <x v="207"/>
    <x v="1571"/>
    <x v="1800"/>
    <x v="1706"/>
    <x v="1807"/>
    <x v="1194"/>
    <x v="10"/>
    <x v="140"/>
    <x v="1493"/>
    <x v="10"/>
    <x v="0"/>
  </r>
  <r>
    <x v="36"/>
    <x v="1"/>
    <x v="7"/>
    <x v="4"/>
    <x v="2"/>
    <x v="0"/>
    <x v="42"/>
    <x v="41"/>
    <x v="22"/>
    <x v="4"/>
    <x v="161"/>
    <x v="10"/>
    <x v="1801"/>
    <x v="1707"/>
    <x v="1808"/>
    <x v="1195"/>
    <x v="6"/>
    <x v="85"/>
    <x v="1494"/>
    <x v="6"/>
    <x v="1"/>
  </r>
  <r>
    <x v="55"/>
    <x v="0"/>
    <x v="6"/>
    <x v="1"/>
    <x v="5"/>
    <x v="2"/>
    <x v="20"/>
    <x v="42"/>
    <x v="84"/>
    <x v="156"/>
    <x v="160"/>
    <x v="1572"/>
    <x v="1802"/>
    <x v="907"/>
    <x v="1809"/>
    <x v="536"/>
    <x v="169"/>
    <x v="111"/>
    <x v="1495"/>
    <x v="169"/>
    <x v="2"/>
  </r>
  <r>
    <x v="33"/>
    <x v="0"/>
    <x v="6"/>
    <x v="4"/>
    <x v="3"/>
    <x v="1"/>
    <x v="97"/>
    <x v="16"/>
    <x v="53"/>
    <x v="150"/>
    <x v="256"/>
    <x v="1573"/>
    <x v="1803"/>
    <x v="1708"/>
    <x v="1810"/>
    <x v="920"/>
    <x v="85"/>
    <x v="30"/>
    <x v="1496"/>
    <x v="85"/>
    <x v="2"/>
  </r>
  <r>
    <x v="33"/>
    <x v="1"/>
    <x v="1"/>
    <x v="1"/>
    <x v="1"/>
    <x v="1"/>
    <x v="3"/>
    <x v="37"/>
    <x v="72"/>
    <x v="49"/>
    <x v="444"/>
    <x v="1574"/>
    <x v="1804"/>
    <x v="1709"/>
    <x v="1811"/>
    <x v="490"/>
    <x v="67"/>
    <x v="14"/>
    <x v="383"/>
    <x v="67"/>
    <x v="2"/>
  </r>
  <r>
    <x v="29"/>
    <x v="1"/>
    <x v="5"/>
    <x v="1"/>
    <x v="0"/>
    <x v="2"/>
    <x v="79"/>
    <x v="2"/>
    <x v="73"/>
    <x v="6"/>
    <x v="338"/>
    <x v="268"/>
    <x v="1805"/>
    <x v="1710"/>
    <x v="1812"/>
    <x v="1196"/>
    <x v="15"/>
    <x v="136"/>
    <x v="915"/>
    <x v="15"/>
    <x v="2"/>
  </r>
  <r>
    <x v="33"/>
    <x v="1"/>
    <x v="7"/>
    <x v="2"/>
    <x v="2"/>
    <x v="1"/>
    <x v="16"/>
    <x v="18"/>
    <x v="84"/>
    <x v="86"/>
    <x v="68"/>
    <x v="1575"/>
    <x v="1806"/>
    <x v="1711"/>
    <x v="1813"/>
    <x v="956"/>
    <x v="151"/>
    <x v="123"/>
    <x v="475"/>
    <x v="151"/>
    <x v="2"/>
  </r>
  <r>
    <x v="49"/>
    <x v="0"/>
    <x v="6"/>
    <x v="4"/>
    <x v="1"/>
    <x v="1"/>
    <x v="50"/>
    <x v="46"/>
    <x v="73"/>
    <x v="117"/>
    <x v="250"/>
    <x v="1576"/>
    <x v="1807"/>
    <x v="1712"/>
    <x v="1814"/>
    <x v="1197"/>
    <x v="149"/>
    <x v="94"/>
    <x v="1497"/>
    <x v="149"/>
    <x v="1"/>
  </r>
  <r>
    <x v="4"/>
    <x v="1"/>
    <x v="7"/>
    <x v="3"/>
    <x v="4"/>
    <x v="1"/>
    <x v="70"/>
    <x v="69"/>
    <x v="62"/>
    <x v="90"/>
    <x v="211"/>
    <x v="1577"/>
    <x v="1808"/>
    <x v="1713"/>
    <x v="1815"/>
    <x v="471"/>
    <x v="110"/>
    <x v="69"/>
    <x v="551"/>
    <x v="110"/>
    <x v="1"/>
  </r>
  <r>
    <x v="47"/>
    <x v="0"/>
    <x v="9"/>
    <x v="3"/>
    <x v="2"/>
    <x v="0"/>
    <x v="85"/>
    <x v="47"/>
    <x v="60"/>
    <x v="86"/>
    <x v="354"/>
    <x v="1196"/>
    <x v="1809"/>
    <x v="1714"/>
    <x v="1816"/>
    <x v="1198"/>
    <x v="53"/>
    <x v="112"/>
    <x v="1498"/>
    <x v="53"/>
    <x v="0"/>
  </r>
  <r>
    <x v="14"/>
    <x v="0"/>
    <x v="2"/>
    <x v="2"/>
    <x v="2"/>
    <x v="2"/>
    <x v="10"/>
    <x v="2"/>
    <x v="72"/>
    <x v="45"/>
    <x v="64"/>
    <x v="1248"/>
    <x v="1810"/>
    <x v="1715"/>
    <x v="1817"/>
    <x v="1199"/>
    <x v="96"/>
    <x v="35"/>
    <x v="1499"/>
    <x v="96"/>
    <x v="2"/>
  </r>
  <r>
    <x v="8"/>
    <x v="1"/>
    <x v="8"/>
    <x v="4"/>
    <x v="2"/>
    <x v="3"/>
    <x v="113"/>
    <x v="52"/>
    <x v="22"/>
    <x v="113"/>
    <x v="108"/>
    <x v="1578"/>
    <x v="1811"/>
    <x v="1716"/>
    <x v="1818"/>
    <x v="1074"/>
    <x v="88"/>
    <x v="127"/>
    <x v="1500"/>
    <x v="88"/>
    <x v="2"/>
  </r>
  <r>
    <x v="54"/>
    <x v="1"/>
    <x v="3"/>
    <x v="0"/>
    <x v="1"/>
    <x v="1"/>
    <x v="116"/>
    <x v="14"/>
    <x v="56"/>
    <x v="36"/>
    <x v="17"/>
    <x v="775"/>
    <x v="1812"/>
    <x v="65"/>
    <x v="1819"/>
    <x v="1200"/>
    <x v="104"/>
    <x v="23"/>
    <x v="709"/>
    <x v="104"/>
    <x v="0"/>
  </r>
  <r>
    <x v="44"/>
    <x v="0"/>
    <x v="2"/>
    <x v="0"/>
    <x v="5"/>
    <x v="2"/>
    <x v="28"/>
    <x v="74"/>
    <x v="71"/>
    <x v="111"/>
    <x v="17"/>
    <x v="694"/>
    <x v="1813"/>
    <x v="1717"/>
    <x v="1820"/>
    <x v="185"/>
    <x v="101"/>
    <x v="3"/>
    <x v="1501"/>
    <x v="101"/>
    <x v="2"/>
  </r>
  <r>
    <x v="2"/>
    <x v="1"/>
    <x v="5"/>
    <x v="3"/>
    <x v="5"/>
    <x v="0"/>
    <x v="35"/>
    <x v="69"/>
    <x v="84"/>
    <x v="101"/>
    <x v="379"/>
    <x v="1579"/>
    <x v="1814"/>
    <x v="1718"/>
    <x v="1821"/>
    <x v="1201"/>
    <x v="118"/>
    <x v="15"/>
    <x v="1502"/>
    <x v="118"/>
    <x v="2"/>
  </r>
  <r>
    <x v="31"/>
    <x v="0"/>
    <x v="4"/>
    <x v="2"/>
    <x v="1"/>
    <x v="3"/>
    <x v="7"/>
    <x v="74"/>
    <x v="83"/>
    <x v="121"/>
    <x v="27"/>
    <x v="1580"/>
    <x v="1815"/>
    <x v="1719"/>
    <x v="1822"/>
    <x v="1202"/>
    <x v="115"/>
    <x v="123"/>
    <x v="533"/>
    <x v="115"/>
    <x v="2"/>
  </r>
  <r>
    <x v="55"/>
    <x v="1"/>
    <x v="5"/>
    <x v="0"/>
    <x v="5"/>
    <x v="1"/>
    <x v="77"/>
    <x v="34"/>
    <x v="60"/>
    <x v="49"/>
    <x v="79"/>
    <x v="1181"/>
    <x v="1816"/>
    <x v="1720"/>
    <x v="1823"/>
    <x v="771"/>
    <x v="18"/>
    <x v="32"/>
    <x v="1503"/>
    <x v="18"/>
    <x v="2"/>
  </r>
  <r>
    <x v="11"/>
    <x v="1"/>
    <x v="9"/>
    <x v="4"/>
    <x v="2"/>
    <x v="3"/>
    <x v="71"/>
    <x v="48"/>
    <x v="65"/>
    <x v="25"/>
    <x v="345"/>
    <x v="1581"/>
    <x v="1817"/>
    <x v="1721"/>
    <x v="1824"/>
    <x v="949"/>
    <x v="26"/>
    <x v="148"/>
    <x v="1504"/>
    <x v="26"/>
    <x v="1"/>
  </r>
  <r>
    <x v="32"/>
    <x v="1"/>
    <x v="3"/>
    <x v="3"/>
    <x v="3"/>
    <x v="3"/>
    <x v="38"/>
    <x v="68"/>
    <x v="84"/>
    <x v="30"/>
    <x v="167"/>
    <x v="1582"/>
    <x v="1818"/>
    <x v="1722"/>
    <x v="1825"/>
    <x v="1093"/>
    <x v="167"/>
    <x v="127"/>
    <x v="1505"/>
    <x v="167"/>
    <x v="1"/>
  </r>
  <r>
    <x v="34"/>
    <x v="1"/>
    <x v="8"/>
    <x v="0"/>
    <x v="1"/>
    <x v="1"/>
    <x v="77"/>
    <x v="41"/>
    <x v="64"/>
    <x v="139"/>
    <x v="292"/>
    <x v="1532"/>
    <x v="1819"/>
    <x v="1723"/>
    <x v="1826"/>
    <x v="1203"/>
    <x v="50"/>
    <x v="116"/>
    <x v="4"/>
    <x v="50"/>
    <x v="2"/>
  </r>
  <r>
    <x v="37"/>
    <x v="1"/>
    <x v="3"/>
    <x v="4"/>
    <x v="6"/>
    <x v="1"/>
    <x v="111"/>
    <x v="2"/>
    <x v="66"/>
    <x v="131"/>
    <x v="345"/>
    <x v="214"/>
    <x v="1820"/>
    <x v="1401"/>
    <x v="1827"/>
    <x v="714"/>
    <x v="41"/>
    <x v="57"/>
    <x v="1506"/>
    <x v="41"/>
    <x v="2"/>
  </r>
  <r>
    <x v="12"/>
    <x v="0"/>
    <x v="6"/>
    <x v="0"/>
    <x v="2"/>
    <x v="0"/>
    <x v="21"/>
    <x v="34"/>
    <x v="52"/>
    <x v="32"/>
    <x v="93"/>
    <x v="1583"/>
    <x v="1821"/>
    <x v="1724"/>
    <x v="1828"/>
    <x v="1204"/>
    <x v="94"/>
    <x v="149"/>
    <x v="1396"/>
    <x v="94"/>
    <x v="0"/>
  </r>
  <r>
    <x v="43"/>
    <x v="0"/>
    <x v="1"/>
    <x v="0"/>
    <x v="3"/>
    <x v="1"/>
    <x v="42"/>
    <x v="12"/>
    <x v="48"/>
    <x v="98"/>
    <x v="290"/>
    <x v="144"/>
    <x v="1822"/>
    <x v="1725"/>
    <x v="1829"/>
    <x v="991"/>
    <x v="86"/>
    <x v="105"/>
    <x v="1507"/>
    <x v="86"/>
    <x v="2"/>
  </r>
  <r>
    <x v="8"/>
    <x v="0"/>
    <x v="0"/>
    <x v="3"/>
    <x v="5"/>
    <x v="1"/>
    <x v="56"/>
    <x v="74"/>
    <x v="28"/>
    <x v="145"/>
    <x v="219"/>
    <x v="752"/>
    <x v="1823"/>
    <x v="1726"/>
    <x v="1830"/>
    <x v="262"/>
    <x v="134"/>
    <x v="7"/>
    <x v="1508"/>
    <x v="134"/>
    <x v="2"/>
  </r>
  <r>
    <x v="1"/>
    <x v="1"/>
    <x v="0"/>
    <x v="3"/>
    <x v="0"/>
    <x v="1"/>
    <x v="94"/>
    <x v="51"/>
    <x v="79"/>
    <x v="42"/>
    <x v="190"/>
    <x v="20"/>
    <x v="1824"/>
    <x v="1727"/>
    <x v="1831"/>
    <x v="1205"/>
    <x v="10"/>
    <x v="88"/>
    <x v="1509"/>
    <x v="10"/>
    <x v="1"/>
  </r>
  <r>
    <x v="31"/>
    <x v="1"/>
    <x v="6"/>
    <x v="2"/>
    <x v="0"/>
    <x v="3"/>
    <x v="20"/>
    <x v="57"/>
    <x v="89"/>
    <x v="89"/>
    <x v="360"/>
    <x v="1409"/>
    <x v="1825"/>
    <x v="1728"/>
    <x v="1832"/>
    <x v="308"/>
    <x v="112"/>
    <x v="112"/>
    <x v="1510"/>
    <x v="112"/>
    <x v="2"/>
  </r>
  <r>
    <x v="25"/>
    <x v="1"/>
    <x v="5"/>
    <x v="4"/>
    <x v="5"/>
    <x v="0"/>
    <x v="21"/>
    <x v="29"/>
    <x v="4"/>
    <x v="61"/>
    <x v="109"/>
    <x v="1584"/>
    <x v="1826"/>
    <x v="1729"/>
    <x v="1833"/>
    <x v="637"/>
    <x v="184"/>
    <x v="1"/>
    <x v="1511"/>
    <x v="184"/>
    <x v="0"/>
  </r>
  <r>
    <x v="16"/>
    <x v="0"/>
    <x v="4"/>
    <x v="0"/>
    <x v="2"/>
    <x v="2"/>
    <x v="57"/>
    <x v="34"/>
    <x v="77"/>
    <x v="108"/>
    <x v="61"/>
    <x v="497"/>
    <x v="1827"/>
    <x v="1730"/>
    <x v="1834"/>
    <x v="562"/>
    <x v="56"/>
    <x v="60"/>
    <x v="1512"/>
    <x v="56"/>
    <x v="0"/>
  </r>
  <r>
    <x v="42"/>
    <x v="1"/>
    <x v="6"/>
    <x v="4"/>
    <x v="6"/>
    <x v="0"/>
    <x v="66"/>
    <x v="6"/>
    <x v="30"/>
    <x v="37"/>
    <x v="150"/>
    <x v="1045"/>
    <x v="1828"/>
    <x v="766"/>
    <x v="1835"/>
    <x v="1206"/>
    <x v="119"/>
    <x v="23"/>
    <x v="1513"/>
    <x v="119"/>
    <x v="2"/>
  </r>
  <r>
    <x v="40"/>
    <x v="0"/>
    <x v="9"/>
    <x v="0"/>
    <x v="5"/>
    <x v="2"/>
    <x v="78"/>
    <x v="30"/>
    <x v="39"/>
    <x v="33"/>
    <x v="125"/>
    <x v="1585"/>
    <x v="1829"/>
    <x v="1731"/>
    <x v="1836"/>
    <x v="250"/>
    <x v="8"/>
    <x v="73"/>
    <x v="1514"/>
    <x v="8"/>
    <x v="2"/>
  </r>
  <r>
    <x v="9"/>
    <x v="1"/>
    <x v="4"/>
    <x v="3"/>
    <x v="1"/>
    <x v="3"/>
    <x v="53"/>
    <x v="55"/>
    <x v="40"/>
    <x v="115"/>
    <x v="230"/>
    <x v="1586"/>
    <x v="1830"/>
    <x v="738"/>
    <x v="1837"/>
    <x v="72"/>
    <x v="113"/>
    <x v="43"/>
    <x v="1515"/>
    <x v="113"/>
    <x v="0"/>
  </r>
  <r>
    <x v="57"/>
    <x v="0"/>
    <x v="2"/>
    <x v="3"/>
    <x v="3"/>
    <x v="1"/>
    <x v="75"/>
    <x v="28"/>
    <x v="46"/>
    <x v="114"/>
    <x v="121"/>
    <x v="1263"/>
    <x v="1831"/>
    <x v="1732"/>
    <x v="1838"/>
    <x v="877"/>
    <x v="167"/>
    <x v="136"/>
    <x v="1516"/>
    <x v="167"/>
    <x v="0"/>
  </r>
  <r>
    <x v="7"/>
    <x v="1"/>
    <x v="8"/>
    <x v="1"/>
    <x v="1"/>
    <x v="1"/>
    <x v="112"/>
    <x v="70"/>
    <x v="68"/>
    <x v="56"/>
    <x v="286"/>
    <x v="1587"/>
    <x v="1832"/>
    <x v="1733"/>
    <x v="1839"/>
    <x v="9"/>
    <x v="40"/>
    <x v="93"/>
    <x v="1517"/>
    <x v="40"/>
    <x v="2"/>
  </r>
  <r>
    <x v="14"/>
    <x v="0"/>
    <x v="6"/>
    <x v="1"/>
    <x v="6"/>
    <x v="3"/>
    <x v="24"/>
    <x v="52"/>
    <x v="80"/>
    <x v="100"/>
    <x v="193"/>
    <x v="1588"/>
    <x v="1833"/>
    <x v="1734"/>
    <x v="1840"/>
    <x v="1207"/>
    <x v="51"/>
    <x v="6"/>
    <x v="1281"/>
    <x v="51"/>
    <x v="2"/>
  </r>
  <r>
    <x v="30"/>
    <x v="1"/>
    <x v="0"/>
    <x v="0"/>
    <x v="6"/>
    <x v="0"/>
    <x v="42"/>
    <x v="13"/>
    <x v="34"/>
    <x v="138"/>
    <x v="434"/>
    <x v="1589"/>
    <x v="1834"/>
    <x v="1735"/>
    <x v="1841"/>
    <x v="1208"/>
    <x v="84"/>
    <x v="87"/>
    <x v="1518"/>
    <x v="84"/>
    <x v="1"/>
  </r>
  <r>
    <x v="14"/>
    <x v="1"/>
    <x v="7"/>
    <x v="2"/>
    <x v="0"/>
    <x v="2"/>
    <x v="98"/>
    <x v="6"/>
    <x v="22"/>
    <x v="44"/>
    <x v="427"/>
    <x v="159"/>
    <x v="1835"/>
    <x v="1736"/>
    <x v="1842"/>
    <x v="1209"/>
    <x v="23"/>
    <x v="226"/>
    <x v="1519"/>
    <x v="23"/>
    <x v="2"/>
  </r>
  <r>
    <x v="35"/>
    <x v="0"/>
    <x v="3"/>
    <x v="4"/>
    <x v="1"/>
    <x v="2"/>
    <x v="95"/>
    <x v="72"/>
    <x v="79"/>
    <x v="17"/>
    <x v="194"/>
    <x v="1590"/>
    <x v="1836"/>
    <x v="1737"/>
    <x v="1843"/>
    <x v="255"/>
    <x v="27"/>
    <x v="174"/>
    <x v="1520"/>
    <x v="27"/>
    <x v="2"/>
  </r>
  <r>
    <x v="47"/>
    <x v="1"/>
    <x v="7"/>
    <x v="1"/>
    <x v="3"/>
    <x v="3"/>
    <x v="83"/>
    <x v="73"/>
    <x v="74"/>
    <x v="74"/>
    <x v="12"/>
    <x v="1591"/>
    <x v="1837"/>
    <x v="1649"/>
    <x v="1844"/>
    <x v="1210"/>
    <x v="116"/>
    <x v="160"/>
    <x v="1521"/>
    <x v="116"/>
    <x v="0"/>
  </r>
  <r>
    <x v="13"/>
    <x v="0"/>
    <x v="5"/>
    <x v="3"/>
    <x v="5"/>
    <x v="1"/>
    <x v="62"/>
    <x v="56"/>
    <x v="22"/>
    <x v="154"/>
    <x v="316"/>
    <x v="1592"/>
    <x v="1838"/>
    <x v="496"/>
    <x v="83"/>
    <x v="1211"/>
    <x v="119"/>
    <x v="24"/>
    <x v="1522"/>
    <x v="119"/>
    <x v="2"/>
  </r>
  <r>
    <x v="54"/>
    <x v="0"/>
    <x v="2"/>
    <x v="4"/>
    <x v="2"/>
    <x v="3"/>
    <x v="44"/>
    <x v="63"/>
    <x v="72"/>
    <x v="30"/>
    <x v="7"/>
    <x v="1593"/>
    <x v="1839"/>
    <x v="1738"/>
    <x v="1845"/>
    <x v="35"/>
    <x v="41"/>
    <x v="158"/>
    <x v="1523"/>
    <x v="41"/>
    <x v="0"/>
  </r>
  <r>
    <x v="5"/>
    <x v="1"/>
    <x v="1"/>
    <x v="2"/>
    <x v="2"/>
    <x v="2"/>
    <x v="36"/>
    <x v="61"/>
    <x v="19"/>
    <x v="53"/>
    <x v="348"/>
    <x v="1082"/>
    <x v="1840"/>
    <x v="1739"/>
    <x v="1846"/>
    <x v="1212"/>
    <x v="0"/>
    <x v="79"/>
    <x v="1177"/>
    <x v="0"/>
    <x v="2"/>
  </r>
  <r>
    <x v="1"/>
    <x v="1"/>
    <x v="2"/>
    <x v="1"/>
    <x v="6"/>
    <x v="3"/>
    <x v="8"/>
    <x v="31"/>
    <x v="46"/>
    <x v="75"/>
    <x v="245"/>
    <x v="1594"/>
    <x v="1841"/>
    <x v="1740"/>
    <x v="1847"/>
    <x v="269"/>
    <x v="111"/>
    <x v="30"/>
    <x v="1524"/>
    <x v="111"/>
    <x v="1"/>
  </r>
  <r>
    <x v="44"/>
    <x v="0"/>
    <x v="2"/>
    <x v="3"/>
    <x v="0"/>
    <x v="0"/>
    <x v="33"/>
    <x v="22"/>
    <x v="75"/>
    <x v="17"/>
    <x v="120"/>
    <x v="1595"/>
    <x v="1842"/>
    <x v="1741"/>
    <x v="1848"/>
    <x v="756"/>
    <x v="99"/>
    <x v="172"/>
    <x v="1525"/>
    <x v="99"/>
    <x v="2"/>
  </r>
  <r>
    <x v="8"/>
    <x v="0"/>
    <x v="8"/>
    <x v="1"/>
    <x v="6"/>
    <x v="3"/>
    <x v="109"/>
    <x v="57"/>
    <x v="67"/>
    <x v="81"/>
    <x v="164"/>
    <x v="1596"/>
    <x v="1843"/>
    <x v="1742"/>
    <x v="1849"/>
    <x v="1083"/>
    <x v="139"/>
    <x v="101"/>
    <x v="1526"/>
    <x v="139"/>
    <x v="2"/>
  </r>
  <r>
    <x v="37"/>
    <x v="1"/>
    <x v="2"/>
    <x v="1"/>
    <x v="4"/>
    <x v="3"/>
    <x v="81"/>
    <x v="62"/>
    <x v="20"/>
    <x v="38"/>
    <x v="240"/>
    <x v="1597"/>
    <x v="1844"/>
    <x v="1743"/>
    <x v="1850"/>
    <x v="698"/>
    <x v="86"/>
    <x v="25"/>
    <x v="1527"/>
    <x v="86"/>
    <x v="2"/>
  </r>
  <r>
    <x v="52"/>
    <x v="0"/>
    <x v="5"/>
    <x v="4"/>
    <x v="6"/>
    <x v="0"/>
    <x v="15"/>
    <x v="77"/>
    <x v="52"/>
    <x v="84"/>
    <x v="355"/>
    <x v="1598"/>
    <x v="1845"/>
    <x v="1744"/>
    <x v="1851"/>
    <x v="805"/>
    <x v="97"/>
    <x v="167"/>
    <x v="1528"/>
    <x v="97"/>
    <x v="2"/>
  </r>
  <r>
    <x v="8"/>
    <x v="1"/>
    <x v="4"/>
    <x v="3"/>
    <x v="3"/>
    <x v="1"/>
    <x v="24"/>
    <x v="26"/>
    <x v="50"/>
    <x v="107"/>
    <x v="305"/>
    <x v="261"/>
    <x v="1060"/>
    <x v="1745"/>
    <x v="1852"/>
    <x v="417"/>
    <x v="79"/>
    <x v="182"/>
    <x v="1529"/>
    <x v="79"/>
    <x v="2"/>
  </r>
  <r>
    <x v="52"/>
    <x v="0"/>
    <x v="5"/>
    <x v="2"/>
    <x v="5"/>
    <x v="3"/>
    <x v="2"/>
    <x v="8"/>
    <x v="25"/>
    <x v="79"/>
    <x v="413"/>
    <x v="1599"/>
    <x v="1846"/>
    <x v="4"/>
    <x v="1853"/>
    <x v="1213"/>
    <x v="141"/>
    <x v="81"/>
    <x v="1530"/>
    <x v="141"/>
    <x v="2"/>
  </r>
  <r>
    <x v="12"/>
    <x v="1"/>
    <x v="2"/>
    <x v="4"/>
    <x v="4"/>
    <x v="1"/>
    <x v="108"/>
    <x v="39"/>
    <x v="40"/>
    <x v="154"/>
    <x v="31"/>
    <x v="1600"/>
    <x v="1847"/>
    <x v="1746"/>
    <x v="1854"/>
    <x v="823"/>
    <x v="132"/>
    <x v="45"/>
    <x v="1531"/>
    <x v="132"/>
    <x v="0"/>
  </r>
  <r>
    <x v="26"/>
    <x v="1"/>
    <x v="3"/>
    <x v="0"/>
    <x v="3"/>
    <x v="3"/>
    <x v="40"/>
    <x v="18"/>
    <x v="70"/>
    <x v="122"/>
    <x v="226"/>
    <x v="707"/>
    <x v="1848"/>
    <x v="1747"/>
    <x v="1855"/>
    <x v="1214"/>
    <x v="104"/>
    <x v="67"/>
    <x v="1532"/>
    <x v="104"/>
    <x v="2"/>
  </r>
  <r>
    <x v="35"/>
    <x v="1"/>
    <x v="7"/>
    <x v="2"/>
    <x v="1"/>
    <x v="1"/>
    <x v="32"/>
    <x v="1"/>
    <x v="87"/>
    <x v="62"/>
    <x v="14"/>
    <x v="1601"/>
    <x v="1849"/>
    <x v="1748"/>
    <x v="1856"/>
    <x v="1088"/>
    <x v="99"/>
    <x v="45"/>
    <x v="1533"/>
    <x v="99"/>
    <x v="2"/>
  </r>
  <r>
    <x v="9"/>
    <x v="1"/>
    <x v="8"/>
    <x v="3"/>
    <x v="0"/>
    <x v="2"/>
    <x v="57"/>
    <x v="54"/>
    <x v="63"/>
    <x v="14"/>
    <x v="2"/>
    <x v="1602"/>
    <x v="1850"/>
    <x v="1749"/>
    <x v="1857"/>
    <x v="1215"/>
    <x v="160"/>
    <x v="63"/>
    <x v="1534"/>
    <x v="160"/>
    <x v="0"/>
  </r>
  <r>
    <x v="32"/>
    <x v="1"/>
    <x v="3"/>
    <x v="1"/>
    <x v="6"/>
    <x v="3"/>
    <x v="42"/>
    <x v="72"/>
    <x v="65"/>
    <x v="0"/>
    <x v="11"/>
    <x v="1603"/>
    <x v="1851"/>
    <x v="1750"/>
    <x v="1858"/>
    <x v="206"/>
    <x v="22"/>
    <x v="56"/>
    <x v="1535"/>
    <x v="22"/>
    <x v="1"/>
  </r>
  <r>
    <x v="22"/>
    <x v="1"/>
    <x v="8"/>
    <x v="3"/>
    <x v="2"/>
    <x v="3"/>
    <x v="59"/>
    <x v="65"/>
    <x v="72"/>
    <x v="27"/>
    <x v="122"/>
    <x v="1309"/>
    <x v="1852"/>
    <x v="1751"/>
    <x v="1859"/>
    <x v="1180"/>
    <x v="62"/>
    <x v="145"/>
    <x v="1536"/>
    <x v="62"/>
    <x v="0"/>
  </r>
  <r>
    <x v="5"/>
    <x v="0"/>
    <x v="6"/>
    <x v="3"/>
    <x v="1"/>
    <x v="3"/>
    <x v="72"/>
    <x v="35"/>
    <x v="4"/>
    <x v="73"/>
    <x v="387"/>
    <x v="1604"/>
    <x v="1853"/>
    <x v="1752"/>
    <x v="1860"/>
    <x v="1117"/>
    <x v="58"/>
    <x v="140"/>
    <x v="1537"/>
    <x v="58"/>
    <x v="2"/>
  </r>
  <r>
    <x v="37"/>
    <x v="0"/>
    <x v="5"/>
    <x v="3"/>
    <x v="0"/>
    <x v="3"/>
    <x v="116"/>
    <x v="18"/>
    <x v="5"/>
    <x v="66"/>
    <x v="333"/>
    <x v="1424"/>
    <x v="1854"/>
    <x v="1753"/>
    <x v="1861"/>
    <x v="290"/>
    <x v="81"/>
    <x v="90"/>
    <x v="1538"/>
    <x v="81"/>
    <x v="2"/>
  </r>
  <r>
    <x v="12"/>
    <x v="0"/>
    <x v="5"/>
    <x v="2"/>
    <x v="1"/>
    <x v="0"/>
    <x v="49"/>
    <x v="22"/>
    <x v="83"/>
    <x v="14"/>
    <x v="363"/>
    <x v="1605"/>
    <x v="1855"/>
    <x v="1288"/>
    <x v="1862"/>
    <x v="1216"/>
    <x v="41"/>
    <x v="171"/>
    <x v="1539"/>
    <x v="41"/>
    <x v="0"/>
  </r>
  <r>
    <x v="38"/>
    <x v="0"/>
    <x v="6"/>
    <x v="1"/>
    <x v="2"/>
    <x v="3"/>
    <x v="104"/>
    <x v="34"/>
    <x v="7"/>
    <x v="114"/>
    <x v="316"/>
    <x v="1606"/>
    <x v="1856"/>
    <x v="1754"/>
    <x v="1863"/>
    <x v="81"/>
    <x v="1"/>
    <x v="172"/>
    <x v="1540"/>
    <x v="1"/>
    <x v="2"/>
  </r>
  <r>
    <x v="57"/>
    <x v="0"/>
    <x v="2"/>
    <x v="1"/>
    <x v="1"/>
    <x v="1"/>
    <x v="73"/>
    <x v="67"/>
    <x v="64"/>
    <x v="63"/>
    <x v="318"/>
    <x v="1607"/>
    <x v="1857"/>
    <x v="1755"/>
    <x v="1864"/>
    <x v="221"/>
    <x v="105"/>
    <x v="28"/>
    <x v="1541"/>
    <x v="105"/>
    <x v="0"/>
  </r>
  <r>
    <x v="48"/>
    <x v="0"/>
    <x v="9"/>
    <x v="3"/>
    <x v="6"/>
    <x v="3"/>
    <x v="46"/>
    <x v="36"/>
    <x v="7"/>
    <x v="24"/>
    <x v="387"/>
    <x v="1608"/>
    <x v="1858"/>
    <x v="1756"/>
    <x v="1865"/>
    <x v="819"/>
    <x v="42"/>
    <x v="130"/>
    <x v="1247"/>
    <x v="42"/>
    <x v="2"/>
  </r>
  <r>
    <x v="4"/>
    <x v="1"/>
    <x v="5"/>
    <x v="0"/>
    <x v="3"/>
    <x v="1"/>
    <x v="30"/>
    <x v="20"/>
    <x v="2"/>
    <x v="113"/>
    <x v="14"/>
    <x v="1609"/>
    <x v="1859"/>
    <x v="1757"/>
    <x v="1866"/>
    <x v="1200"/>
    <x v="86"/>
    <x v="160"/>
    <x v="1542"/>
    <x v="86"/>
    <x v="1"/>
  </r>
  <r>
    <x v="38"/>
    <x v="1"/>
    <x v="3"/>
    <x v="0"/>
    <x v="5"/>
    <x v="1"/>
    <x v="25"/>
    <x v="46"/>
    <x v="9"/>
    <x v="80"/>
    <x v="445"/>
    <x v="209"/>
    <x v="1860"/>
    <x v="1758"/>
    <x v="1867"/>
    <x v="458"/>
    <x v="146"/>
    <x v="31"/>
    <x v="1543"/>
    <x v="146"/>
    <x v="2"/>
  </r>
  <r>
    <x v="26"/>
    <x v="0"/>
    <x v="8"/>
    <x v="2"/>
    <x v="2"/>
    <x v="3"/>
    <x v="100"/>
    <x v="67"/>
    <x v="63"/>
    <x v="37"/>
    <x v="252"/>
    <x v="1610"/>
    <x v="1861"/>
    <x v="1759"/>
    <x v="1868"/>
    <x v="396"/>
    <x v="41"/>
    <x v="137"/>
    <x v="1544"/>
    <x v="41"/>
    <x v="2"/>
  </r>
  <r>
    <x v="27"/>
    <x v="0"/>
    <x v="3"/>
    <x v="0"/>
    <x v="2"/>
    <x v="0"/>
    <x v="81"/>
    <x v="9"/>
    <x v="55"/>
    <x v="10"/>
    <x v="91"/>
    <x v="1611"/>
    <x v="1862"/>
    <x v="250"/>
    <x v="1869"/>
    <x v="1217"/>
    <x v="170"/>
    <x v="39"/>
    <x v="1545"/>
    <x v="170"/>
    <x v="0"/>
  </r>
  <r>
    <x v="31"/>
    <x v="0"/>
    <x v="2"/>
    <x v="0"/>
    <x v="1"/>
    <x v="2"/>
    <x v="114"/>
    <x v="46"/>
    <x v="34"/>
    <x v="95"/>
    <x v="299"/>
    <x v="675"/>
    <x v="1863"/>
    <x v="1760"/>
    <x v="1870"/>
    <x v="1090"/>
    <x v="30"/>
    <x v="176"/>
    <x v="1546"/>
    <x v="30"/>
    <x v="2"/>
  </r>
  <r>
    <x v="57"/>
    <x v="1"/>
    <x v="8"/>
    <x v="1"/>
    <x v="1"/>
    <x v="1"/>
    <x v="25"/>
    <x v="78"/>
    <x v="44"/>
    <x v="29"/>
    <x v="396"/>
    <x v="167"/>
    <x v="1864"/>
    <x v="1761"/>
    <x v="1871"/>
    <x v="1218"/>
    <x v="149"/>
    <x v="10"/>
    <x v="1547"/>
    <x v="149"/>
    <x v="0"/>
  </r>
  <r>
    <x v="19"/>
    <x v="1"/>
    <x v="1"/>
    <x v="3"/>
    <x v="5"/>
    <x v="1"/>
    <x v="6"/>
    <x v="2"/>
    <x v="71"/>
    <x v="142"/>
    <x v="161"/>
    <x v="1612"/>
    <x v="1865"/>
    <x v="320"/>
    <x v="1872"/>
    <x v="937"/>
    <x v="11"/>
    <x v="139"/>
    <x v="1548"/>
    <x v="11"/>
    <x v="1"/>
  </r>
  <r>
    <x v="9"/>
    <x v="1"/>
    <x v="2"/>
    <x v="0"/>
    <x v="3"/>
    <x v="2"/>
    <x v="88"/>
    <x v="52"/>
    <x v="70"/>
    <x v="38"/>
    <x v="71"/>
    <x v="227"/>
    <x v="1866"/>
    <x v="1762"/>
    <x v="1873"/>
    <x v="1156"/>
    <x v="105"/>
    <x v="181"/>
    <x v="1549"/>
    <x v="105"/>
    <x v="0"/>
  </r>
  <r>
    <x v="25"/>
    <x v="1"/>
    <x v="5"/>
    <x v="1"/>
    <x v="1"/>
    <x v="1"/>
    <x v="52"/>
    <x v="20"/>
    <x v="30"/>
    <x v="8"/>
    <x v="102"/>
    <x v="1613"/>
    <x v="1867"/>
    <x v="1763"/>
    <x v="1874"/>
    <x v="662"/>
    <x v="12"/>
    <x v="176"/>
    <x v="1309"/>
    <x v="12"/>
    <x v="0"/>
  </r>
  <r>
    <x v="52"/>
    <x v="1"/>
    <x v="6"/>
    <x v="2"/>
    <x v="2"/>
    <x v="1"/>
    <x v="26"/>
    <x v="69"/>
    <x v="70"/>
    <x v="31"/>
    <x v="371"/>
    <x v="1614"/>
    <x v="1868"/>
    <x v="1764"/>
    <x v="1875"/>
    <x v="1219"/>
    <x v="61"/>
    <x v="140"/>
    <x v="1550"/>
    <x v="61"/>
    <x v="2"/>
  </r>
  <r>
    <x v="26"/>
    <x v="1"/>
    <x v="9"/>
    <x v="2"/>
    <x v="3"/>
    <x v="1"/>
    <x v="116"/>
    <x v="70"/>
    <x v="56"/>
    <x v="144"/>
    <x v="76"/>
    <x v="1615"/>
    <x v="1031"/>
    <x v="1765"/>
    <x v="1876"/>
    <x v="928"/>
    <x v="140"/>
    <x v="95"/>
    <x v="1551"/>
    <x v="140"/>
    <x v="2"/>
  </r>
  <r>
    <x v="29"/>
    <x v="1"/>
    <x v="0"/>
    <x v="2"/>
    <x v="6"/>
    <x v="0"/>
    <x v="23"/>
    <x v="32"/>
    <x v="20"/>
    <x v="103"/>
    <x v="291"/>
    <x v="1616"/>
    <x v="1869"/>
    <x v="1766"/>
    <x v="1877"/>
    <x v="1220"/>
    <x v="63"/>
    <x v="26"/>
    <x v="1552"/>
    <x v="63"/>
    <x v="2"/>
  </r>
  <r>
    <x v="36"/>
    <x v="1"/>
    <x v="6"/>
    <x v="0"/>
    <x v="0"/>
    <x v="1"/>
    <x v="97"/>
    <x v="69"/>
    <x v="59"/>
    <x v="130"/>
    <x v="317"/>
    <x v="1617"/>
    <x v="1870"/>
    <x v="383"/>
    <x v="1878"/>
    <x v="436"/>
    <x v="30"/>
    <x v="6"/>
    <x v="1553"/>
    <x v="30"/>
    <x v="1"/>
  </r>
  <r>
    <x v="6"/>
    <x v="1"/>
    <x v="4"/>
    <x v="3"/>
    <x v="5"/>
    <x v="1"/>
    <x v="95"/>
    <x v="0"/>
    <x v="12"/>
    <x v="27"/>
    <x v="34"/>
    <x v="1618"/>
    <x v="1871"/>
    <x v="1767"/>
    <x v="1879"/>
    <x v="51"/>
    <x v="73"/>
    <x v="53"/>
    <x v="1554"/>
    <x v="73"/>
    <x v="2"/>
  </r>
  <r>
    <x v="29"/>
    <x v="0"/>
    <x v="8"/>
    <x v="1"/>
    <x v="2"/>
    <x v="3"/>
    <x v="110"/>
    <x v="31"/>
    <x v="9"/>
    <x v="129"/>
    <x v="142"/>
    <x v="1619"/>
    <x v="1872"/>
    <x v="1768"/>
    <x v="1880"/>
    <x v="1176"/>
    <x v="59"/>
    <x v="27"/>
    <x v="1555"/>
    <x v="59"/>
    <x v="2"/>
  </r>
  <r>
    <x v="51"/>
    <x v="1"/>
    <x v="9"/>
    <x v="0"/>
    <x v="0"/>
    <x v="1"/>
    <x v="46"/>
    <x v="25"/>
    <x v="44"/>
    <x v="154"/>
    <x v="284"/>
    <x v="93"/>
    <x v="1873"/>
    <x v="1769"/>
    <x v="1881"/>
    <x v="1221"/>
    <x v="19"/>
    <x v="60"/>
    <x v="1556"/>
    <x v="19"/>
    <x v="2"/>
  </r>
  <r>
    <x v="21"/>
    <x v="1"/>
    <x v="3"/>
    <x v="1"/>
    <x v="5"/>
    <x v="0"/>
    <x v="58"/>
    <x v="13"/>
    <x v="32"/>
    <x v="137"/>
    <x v="415"/>
    <x v="1620"/>
    <x v="1874"/>
    <x v="1770"/>
    <x v="1882"/>
    <x v="1222"/>
    <x v="14"/>
    <x v="4"/>
    <x v="1557"/>
    <x v="14"/>
    <x v="0"/>
  </r>
  <r>
    <x v="54"/>
    <x v="0"/>
    <x v="3"/>
    <x v="1"/>
    <x v="2"/>
    <x v="1"/>
    <x v="29"/>
    <x v="3"/>
    <x v="65"/>
    <x v="46"/>
    <x v="292"/>
    <x v="1621"/>
    <x v="1875"/>
    <x v="1771"/>
    <x v="1883"/>
    <x v="1223"/>
    <x v="134"/>
    <x v="124"/>
    <x v="1558"/>
    <x v="134"/>
    <x v="0"/>
  </r>
  <r>
    <x v="4"/>
    <x v="0"/>
    <x v="9"/>
    <x v="3"/>
    <x v="1"/>
    <x v="2"/>
    <x v="114"/>
    <x v="22"/>
    <x v="32"/>
    <x v="149"/>
    <x v="291"/>
    <x v="1622"/>
    <x v="1876"/>
    <x v="925"/>
    <x v="1884"/>
    <x v="699"/>
    <x v="1"/>
    <x v="135"/>
    <x v="1559"/>
    <x v="1"/>
    <x v="1"/>
  </r>
  <r>
    <x v="18"/>
    <x v="0"/>
    <x v="7"/>
    <x v="0"/>
    <x v="5"/>
    <x v="2"/>
    <x v="61"/>
    <x v="6"/>
    <x v="45"/>
    <x v="13"/>
    <x v="384"/>
    <x v="1623"/>
    <x v="1877"/>
    <x v="1772"/>
    <x v="1885"/>
    <x v="401"/>
    <x v="165"/>
    <x v="51"/>
    <x v="1560"/>
    <x v="165"/>
    <x v="2"/>
  </r>
  <r>
    <x v="53"/>
    <x v="0"/>
    <x v="5"/>
    <x v="3"/>
    <x v="3"/>
    <x v="2"/>
    <x v="51"/>
    <x v="58"/>
    <x v="84"/>
    <x v="102"/>
    <x v="41"/>
    <x v="1624"/>
    <x v="1878"/>
    <x v="1773"/>
    <x v="1886"/>
    <x v="250"/>
    <x v="88"/>
    <x v="139"/>
    <x v="1561"/>
    <x v="88"/>
    <x v="1"/>
  </r>
  <r>
    <x v="14"/>
    <x v="0"/>
    <x v="4"/>
    <x v="0"/>
    <x v="5"/>
    <x v="2"/>
    <x v="18"/>
    <x v="7"/>
    <x v="82"/>
    <x v="125"/>
    <x v="58"/>
    <x v="1258"/>
    <x v="1879"/>
    <x v="1774"/>
    <x v="1887"/>
    <x v="385"/>
    <x v="180"/>
    <x v="161"/>
    <x v="459"/>
    <x v="180"/>
    <x v="2"/>
  </r>
  <r>
    <x v="38"/>
    <x v="0"/>
    <x v="4"/>
    <x v="4"/>
    <x v="3"/>
    <x v="1"/>
    <x v="108"/>
    <x v="39"/>
    <x v="63"/>
    <x v="28"/>
    <x v="299"/>
    <x v="1625"/>
    <x v="1880"/>
    <x v="1775"/>
    <x v="1888"/>
    <x v="1172"/>
    <x v="132"/>
    <x v="93"/>
    <x v="1562"/>
    <x v="132"/>
    <x v="2"/>
  </r>
  <r>
    <x v="52"/>
    <x v="0"/>
    <x v="4"/>
    <x v="2"/>
    <x v="0"/>
    <x v="1"/>
    <x v="34"/>
    <x v="41"/>
    <x v="47"/>
    <x v="151"/>
    <x v="69"/>
    <x v="1626"/>
    <x v="1881"/>
    <x v="1776"/>
    <x v="1889"/>
    <x v="292"/>
    <x v="110"/>
    <x v="50"/>
    <x v="1563"/>
    <x v="110"/>
    <x v="2"/>
  </r>
  <r>
    <x v="50"/>
    <x v="1"/>
    <x v="7"/>
    <x v="2"/>
    <x v="5"/>
    <x v="2"/>
    <x v="39"/>
    <x v="36"/>
    <x v="22"/>
    <x v="65"/>
    <x v="426"/>
    <x v="1627"/>
    <x v="1882"/>
    <x v="1777"/>
    <x v="1890"/>
    <x v="1217"/>
    <x v="51"/>
    <x v="2"/>
    <x v="1564"/>
    <x v="51"/>
    <x v="2"/>
  </r>
  <r>
    <x v="32"/>
    <x v="0"/>
    <x v="5"/>
    <x v="2"/>
    <x v="5"/>
    <x v="2"/>
    <x v="76"/>
    <x v="24"/>
    <x v="51"/>
    <x v="85"/>
    <x v="372"/>
    <x v="1628"/>
    <x v="1883"/>
    <x v="1778"/>
    <x v="1891"/>
    <x v="1224"/>
    <x v="0"/>
    <x v="192"/>
    <x v="389"/>
    <x v="0"/>
    <x v="1"/>
  </r>
  <r>
    <x v="38"/>
    <x v="1"/>
    <x v="5"/>
    <x v="4"/>
    <x v="5"/>
    <x v="3"/>
    <x v="62"/>
    <x v="16"/>
    <x v="65"/>
    <x v="78"/>
    <x v="168"/>
    <x v="1629"/>
    <x v="1884"/>
    <x v="1779"/>
    <x v="1892"/>
    <x v="477"/>
    <x v="100"/>
    <x v="91"/>
    <x v="315"/>
    <x v="100"/>
    <x v="2"/>
  </r>
  <r>
    <x v="32"/>
    <x v="1"/>
    <x v="4"/>
    <x v="4"/>
    <x v="0"/>
    <x v="2"/>
    <x v="15"/>
    <x v="6"/>
    <x v="9"/>
    <x v="33"/>
    <x v="403"/>
    <x v="1630"/>
    <x v="1885"/>
    <x v="1780"/>
    <x v="1893"/>
    <x v="213"/>
    <x v="138"/>
    <x v="163"/>
    <x v="1565"/>
    <x v="138"/>
    <x v="1"/>
  </r>
  <r>
    <x v="55"/>
    <x v="0"/>
    <x v="8"/>
    <x v="0"/>
    <x v="0"/>
    <x v="0"/>
    <x v="16"/>
    <x v="42"/>
    <x v="80"/>
    <x v="85"/>
    <x v="329"/>
    <x v="1279"/>
    <x v="1886"/>
    <x v="1781"/>
    <x v="1894"/>
    <x v="1225"/>
    <x v="22"/>
    <x v="18"/>
    <x v="1040"/>
    <x v="22"/>
    <x v="2"/>
  </r>
  <r>
    <x v="32"/>
    <x v="0"/>
    <x v="2"/>
    <x v="0"/>
    <x v="6"/>
    <x v="1"/>
    <x v="72"/>
    <x v="20"/>
    <x v="86"/>
    <x v="68"/>
    <x v="62"/>
    <x v="1583"/>
    <x v="362"/>
    <x v="1782"/>
    <x v="1895"/>
    <x v="1226"/>
    <x v="98"/>
    <x v="131"/>
    <x v="1566"/>
    <x v="98"/>
    <x v="1"/>
  </r>
  <r>
    <x v="39"/>
    <x v="0"/>
    <x v="8"/>
    <x v="1"/>
    <x v="1"/>
    <x v="2"/>
    <x v="42"/>
    <x v="48"/>
    <x v="14"/>
    <x v="40"/>
    <x v="3"/>
    <x v="52"/>
    <x v="1887"/>
    <x v="1783"/>
    <x v="1896"/>
    <x v="30"/>
    <x v="190"/>
    <x v="15"/>
    <x v="1567"/>
    <x v="190"/>
    <x v="2"/>
  </r>
  <r>
    <x v="37"/>
    <x v="1"/>
    <x v="0"/>
    <x v="4"/>
    <x v="2"/>
    <x v="0"/>
    <x v="31"/>
    <x v="58"/>
    <x v="15"/>
    <x v="129"/>
    <x v="309"/>
    <x v="1631"/>
    <x v="1888"/>
    <x v="1784"/>
    <x v="1897"/>
    <x v="1227"/>
    <x v="140"/>
    <x v="43"/>
    <x v="1568"/>
    <x v="140"/>
    <x v="2"/>
  </r>
  <r>
    <x v="40"/>
    <x v="1"/>
    <x v="4"/>
    <x v="3"/>
    <x v="2"/>
    <x v="2"/>
    <x v="13"/>
    <x v="27"/>
    <x v="57"/>
    <x v="98"/>
    <x v="355"/>
    <x v="1632"/>
    <x v="1889"/>
    <x v="1785"/>
    <x v="1898"/>
    <x v="1228"/>
    <x v="39"/>
    <x v="163"/>
    <x v="1569"/>
    <x v="39"/>
    <x v="2"/>
  </r>
  <r>
    <x v="10"/>
    <x v="1"/>
    <x v="5"/>
    <x v="1"/>
    <x v="0"/>
    <x v="3"/>
    <x v="9"/>
    <x v="69"/>
    <x v="70"/>
    <x v="80"/>
    <x v="240"/>
    <x v="1631"/>
    <x v="1890"/>
    <x v="91"/>
    <x v="1899"/>
    <x v="1229"/>
    <x v="8"/>
    <x v="91"/>
    <x v="1570"/>
    <x v="8"/>
    <x v="2"/>
  </r>
  <r>
    <x v="11"/>
    <x v="0"/>
    <x v="8"/>
    <x v="2"/>
    <x v="1"/>
    <x v="0"/>
    <x v="82"/>
    <x v="40"/>
    <x v="24"/>
    <x v="87"/>
    <x v="367"/>
    <x v="1633"/>
    <x v="1891"/>
    <x v="1786"/>
    <x v="1900"/>
    <x v="855"/>
    <x v="40"/>
    <x v="70"/>
    <x v="1571"/>
    <x v="40"/>
    <x v="1"/>
  </r>
  <r>
    <x v="8"/>
    <x v="1"/>
    <x v="4"/>
    <x v="1"/>
    <x v="6"/>
    <x v="2"/>
    <x v="9"/>
    <x v="23"/>
    <x v="50"/>
    <x v="20"/>
    <x v="337"/>
    <x v="1634"/>
    <x v="1892"/>
    <x v="1607"/>
    <x v="1901"/>
    <x v="436"/>
    <x v="27"/>
    <x v="60"/>
    <x v="130"/>
    <x v="27"/>
    <x v="2"/>
  </r>
  <r>
    <x v="5"/>
    <x v="1"/>
    <x v="9"/>
    <x v="4"/>
    <x v="6"/>
    <x v="3"/>
    <x v="2"/>
    <x v="69"/>
    <x v="36"/>
    <x v="46"/>
    <x v="49"/>
    <x v="399"/>
    <x v="1893"/>
    <x v="1787"/>
    <x v="1902"/>
    <x v="427"/>
    <x v="11"/>
    <x v="81"/>
    <x v="1572"/>
    <x v="11"/>
    <x v="2"/>
  </r>
  <r>
    <x v="4"/>
    <x v="0"/>
    <x v="7"/>
    <x v="1"/>
    <x v="0"/>
    <x v="1"/>
    <x v="1"/>
    <x v="36"/>
    <x v="67"/>
    <x v="133"/>
    <x v="228"/>
    <x v="1635"/>
    <x v="1894"/>
    <x v="251"/>
    <x v="1903"/>
    <x v="1230"/>
    <x v="128"/>
    <x v="155"/>
    <x v="1573"/>
    <x v="128"/>
    <x v="1"/>
  </r>
  <r>
    <x v="30"/>
    <x v="1"/>
    <x v="1"/>
    <x v="0"/>
    <x v="2"/>
    <x v="1"/>
    <x v="42"/>
    <x v="68"/>
    <x v="52"/>
    <x v="122"/>
    <x v="55"/>
    <x v="1636"/>
    <x v="1895"/>
    <x v="1788"/>
    <x v="1904"/>
    <x v="1231"/>
    <x v="58"/>
    <x v="82"/>
    <x v="1574"/>
    <x v="58"/>
    <x v="1"/>
  </r>
  <r>
    <x v="14"/>
    <x v="0"/>
    <x v="3"/>
    <x v="2"/>
    <x v="3"/>
    <x v="1"/>
    <x v="17"/>
    <x v="42"/>
    <x v="32"/>
    <x v="74"/>
    <x v="236"/>
    <x v="1637"/>
    <x v="1896"/>
    <x v="1789"/>
    <x v="1905"/>
    <x v="1214"/>
    <x v="105"/>
    <x v="146"/>
    <x v="263"/>
    <x v="105"/>
    <x v="2"/>
  </r>
  <r>
    <x v="21"/>
    <x v="1"/>
    <x v="3"/>
    <x v="3"/>
    <x v="3"/>
    <x v="1"/>
    <x v="57"/>
    <x v="16"/>
    <x v="82"/>
    <x v="27"/>
    <x v="243"/>
    <x v="229"/>
    <x v="1897"/>
    <x v="1790"/>
    <x v="1906"/>
    <x v="1109"/>
    <x v="71"/>
    <x v="39"/>
    <x v="1575"/>
    <x v="71"/>
    <x v="0"/>
  </r>
  <r>
    <x v="6"/>
    <x v="1"/>
    <x v="0"/>
    <x v="1"/>
    <x v="0"/>
    <x v="2"/>
    <x v="52"/>
    <x v="15"/>
    <x v="10"/>
    <x v="115"/>
    <x v="378"/>
    <x v="1638"/>
    <x v="1898"/>
    <x v="1791"/>
    <x v="1907"/>
    <x v="1232"/>
    <x v="169"/>
    <x v="0"/>
    <x v="1576"/>
    <x v="169"/>
    <x v="2"/>
  </r>
  <r>
    <x v="50"/>
    <x v="1"/>
    <x v="9"/>
    <x v="1"/>
    <x v="0"/>
    <x v="2"/>
    <x v="91"/>
    <x v="49"/>
    <x v="19"/>
    <x v="154"/>
    <x v="316"/>
    <x v="1639"/>
    <x v="1899"/>
    <x v="1792"/>
    <x v="1908"/>
    <x v="1233"/>
    <x v="6"/>
    <x v="55"/>
    <x v="24"/>
    <x v="6"/>
    <x v="2"/>
  </r>
  <r>
    <x v="32"/>
    <x v="1"/>
    <x v="8"/>
    <x v="1"/>
    <x v="4"/>
    <x v="3"/>
    <x v="93"/>
    <x v="15"/>
    <x v="36"/>
    <x v="85"/>
    <x v="154"/>
    <x v="558"/>
    <x v="1900"/>
    <x v="1793"/>
    <x v="1909"/>
    <x v="719"/>
    <x v="116"/>
    <x v="145"/>
    <x v="186"/>
    <x v="116"/>
    <x v="1"/>
  </r>
  <r>
    <x v="0"/>
    <x v="1"/>
    <x v="9"/>
    <x v="3"/>
    <x v="4"/>
    <x v="2"/>
    <x v="116"/>
    <x v="33"/>
    <x v="58"/>
    <x v="96"/>
    <x v="334"/>
    <x v="1640"/>
    <x v="1901"/>
    <x v="1794"/>
    <x v="1910"/>
    <x v="1234"/>
    <x v="187"/>
    <x v="43"/>
    <x v="91"/>
    <x v="187"/>
    <x v="0"/>
  </r>
  <r>
    <x v="6"/>
    <x v="0"/>
    <x v="3"/>
    <x v="1"/>
    <x v="2"/>
    <x v="1"/>
    <x v="61"/>
    <x v="70"/>
    <x v="32"/>
    <x v="66"/>
    <x v="344"/>
    <x v="1641"/>
    <x v="1902"/>
    <x v="1795"/>
    <x v="1911"/>
    <x v="1138"/>
    <x v="61"/>
    <x v="171"/>
    <x v="76"/>
    <x v="61"/>
    <x v="2"/>
  </r>
  <r>
    <x v="21"/>
    <x v="1"/>
    <x v="4"/>
    <x v="4"/>
    <x v="6"/>
    <x v="1"/>
    <x v="42"/>
    <x v="10"/>
    <x v="29"/>
    <x v="65"/>
    <x v="62"/>
    <x v="1642"/>
    <x v="1903"/>
    <x v="1796"/>
    <x v="1912"/>
    <x v="1235"/>
    <x v="179"/>
    <x v="13"/>
    <x v="1577"/>
    <x v="179"/>
    <x v="0"/>
  </r>
  <r>
    <x v="42"/>
    <x v="1"/>
    <x v="3"/>
    <x v="2"/>
    <x v="5"/>
    <x v="3"/>
    <x v="17"/>
    <x v="41"/>
    <x v="58"/>
    <x v="121"/>
    <x v="58"/>
    <x v="1643"/>
    <x v="1904"/>
    <x v="1797"/>
    <x v="1913"/>
    <x v="1233"/>
    <x v="97"/>
    <x v="138"/>
    <x v="91"/>
    <x v="97"/>
    <x v="2"/>
  </r>
  <r>
    <x v="12"/>
    <x v="0"/>
    <x v="9"/>
    <x v="2"/>
    <x v="6"/>
    <x v="0"/>
    <x v="75"/>
    <x v="55"/>
    <x v="23"/>
    <x v="70"/>
    <x v="417"/>
    <x v="1644"/>
    <x v="1905"/>
    <x v="1168"/>
    <x v="1914"/>
    <x v="527"/>
    <x v="16"/>
    <x v="119"/>
    <x v="1578"/>
    <x v="16"/>
    <x v="0"/>
  </r>
  <r>
    <x v="59"/>
    <x v="0"/>
    <x v="3"/>
    <x v="1"/>
    <x v="4"/>
    <x v="3"/>
    <x v="50"/>
    <x v="5"/>
    <x v="34"/>
    <x v="50"/>
    <x v="154"/>
    <x v="592"/>
    <x v="1906"/>
    <x v="1798"/>
    <x v="1915"/>
    <x v="642"/>
    <x v="53"/>
    <x v="227"/>
    <x v="1579"/>
    <x v="53"/>
    <x v="0"/>
  </r>
  <r>
    <x v="25"/>
    <x v="0"/>
    <x v="4"/>
    <x v="0"/>
    <x v="4"/>
    <x v="2"/>
    <x v="58"/>
    <x v="72"/>
    <x v="40"/>
    <x v="2"/>
    <x v="211"/>
    <x v="1645"/>
    <x v="1907"/>
    <x v="1799"/>
    <x v="1916"/>
    <x v="186"/>
    <x v="61"/>
    <x v="39"/>
    <x v="161"/>
    <x v="61"/>
    <x v="0"/>
  </r>
  <r>
    <x v="13"/>
    <x v="1"/>
    <x v="1"/>
    <x v="2"/>
    <x v="2"/>
    <x v="3"/>
    <x v="28"/>
    <x v="71"/>
    <x v="14"/>
    <x v="31"/>
    <x v="102"/>
    <x v="1646"/>
    <x v="1908"/>
    <x v="1800"/>
    <x v="1917"/>
    <x v="98"/>
    <x v="95"/>
    <x v="172"/>
    <x v="1580"/>
    <x v="95"/>
    <x v="2"/>
  </r>
  <r>
    <x v="28"/>
    <x v="1"/>
    <x v="9"/>
    <x v="2"/>
    <x v="3"/>
    <x v="2"/>
    <x v="114"/>
    <x v="67"/>
    <x v="73"/>
    <x v="61"/>
    <x v="284"/>
    <x v="1647"/>
    <x v="1909"/>
    <x v="1737"/>
    <x v="1918"/>
    <x v="1223"/>
    <x v="22"/>
    <x v="128"/>
    <x v="1581"/>
    <x v="22"/>
    <x v="0"/>
  </r>
  <r>
    <x v="48"/>
    <x v="1"/>
    <x v="9"/>
    <x v="4"/>
    <x v="1"/>
    <x v="1"/>
    <x v="97"/>
    <x v="61"/>
    <x v="83"/>
    <x v="126"/>
    <x v="201"/>
    <x v="1648"/>
    <x v="1910"/>
    <x v="1801"/>
    <x v="1919"/>
    <x v="1236"/>
    <x v="49"/>
    <x v="43"/>
    <x v="1582"/>
    <x v="49"/>
    <x v="2"/>
  </r>
  <r>
    <x v="42"/>
    <x v="1"/>
    <x v="7"/>
    <x v="0"/>
    <x v="0"/>
    <x v="0"/>
    <x v="63"/>
    <x v="78"/>
    <x v="0"/>
    <x v="31"/>
    <x v="109"/>
    <x v="1649"/>
    <x v="1911"/>
    <x v="1078"/>
    <x v="1920"/>
    <x v="7"/>
    <x v="38"/>
    <x v="34"/>
    <x v="859"/>
    <x v="38"/>
    <x v="2"/>
  </r>
  <r>
    <x v="36"/>
    <x v="1"/>
    <x v="4"/>
    <x v="2"/>
    <x v="3"/>
    <x v="3"/>
    <x v="80"/>
    <x v="3"/>
    <x v="54"/>
    <x v="129"/>
    <x v="215"/>
    <x v="1650"/>
    <x v="1912"/>
    <x v="1802"/>
    <x v="1921"/>
    <x v="668"/>
    <x v="41"/>
    <x v="181"/>
    <x v="1583"/>
    <x v="41"/>
    <x v="1"/>
  </r>
  <r>
    <x v="34"/>
    <x v="0"/>
    <x v="2"/>
    <x v="0"/>
    <x v="2"/>
    <x v="2"/>
    <x v="38"/>
    <x v="69"/>
    <x v="60"/>
    <x v="68"/>
    <x v="318"/>
    <x v="957"/>
    <x v="1913"/>
    <x v="1803"/>
    <x v="1922"/>
    <x v="533"/>
    <x v="23"/>
    <x v="116"/>
    <x v="1584"/>
    <x v="23"/>
    <x v="2"/>
  </r>
  <r>
    <x v="25"/>
    <x v="1"/>
    <x v="7"/>
    <x v="3"/>
    <x v="4"/>
    <x v="2"/>
    <x v="23"/>
    <x v="56"/>
    <x v="83"/>
    <x v="53"/>
    <x v="439"/>
    <x v="1651"/>
    <x v="1914"/>
    <x v="1804"/>
    <x v="1923"/>
    <x v="616"/>
    <x v="111"/>
    <x v="183"/>
    <x v="1406"/>
    <x v="111"/>
    <x v="0"/>
  </r>
  <r>
    <x v="51"/>
    <x v="0"/>
    <x v="4"/>
    <x v="3"/>
    <x v="0"/>
    <x v="3"/>
    <x v="12"/>
    <x v="62"/>
    <x v="11"/>
    <x v="5"/>
    <x v="305"/>
    <x v="1652"/>
    <x v="1915"/>
    <x v="1805"/>
    <x v="1924"/>
    <x v="933"/>
    <x v="156"/>
    <x v="62"/>
    <x v="789"/>
    <x v="156"/>
    <x v="2"/>
  </r>
  <r>
    <x v="4"/>
    <x v="1"/>
    <x v="9"/>
    <x v="3"/>
    <x v="6"/>
    <x v="1"/>
    <x v="14"/>
    <x v="56"/>
    <x v="59"/>
    <x v="80"/>
    <x v="62"/>
    <x v="1653"/>
    <x v="1916"/>
    <x v="1806"/>
    <x v="1925"/>
    <x v="585"/>
    <x v="80"/>
    <x v="48"/>
    <x v="1585"/>
    <x v="80"/>
    <x v="1"/>
  </r>
  <r>
    <x v="54"/>
    <x v="1"/>
    <x v="4"/>
    <x v="3"/>
    <x v="1"/>
    <x v="2"/>
    <x v="1"/>
    <x v="42"/>
    <x v="53"/>
    <x v="140"/>
    <x v="255"/>
    <x v="1654"/>
    <x v="1917"/>
    <x v="1807"/>
    <x v="1926"/>
    <x v="423"/>
    <x v="100"/>
    <x v="185"/>
    <x v="1586"/>
    <x v="100"/>
    <x v="0"/>
  </r>
  <r>
    <x v="56"/>
    <x v="1"/>
    <x v="9"/>
    <x v="2"/>
    <x v="4"/>
    <x v="2"/>
    <x v="118"/>
    <x v="20"/>
    <x v="62"/>
    <x v="126"/>
    <x v="358"/>
    <x v="423"/>
    <x v="1918"/>
    <x v="1808"/>
    <x v="1927"/>
    <x v="1182"/>
    <x v="63"/>
    <x v="139"/>
    <x v="1587"/>
    <x v="63"/>
    <x v="2"/>
  </r>
  <r>
    <x v="7"/>
    <x v="1"/>
    <x v="5"/>
    <x v="0"/>
    <x v="3"/>
    <x v="0"/>
    <x v="27"/>
    <x v="13"/>
    <x v="84"/>
    <x v="128"/>
    <x v="228"/>
    <x v="1655"/>
    <x v="1919"/>
    <x v="769"/>
    <x v="1928"/>
    <x v="1237"/>
    <x v="101"/>
    <x v="76"/>
    <x v="472"/>
    <x v="101"/>
    <x v="2"/>
  </r>
  <r>
    <x v="14"/>
    <x v="0"/>
    <x v="9"/>
    <x v="0"/>
    <x v="3"/>
    <x v="2"/>
    <x v="2"/>
    <x v="51"/>
    <x v="16"/>
    <x v="158"/>
    <x v="104"/>
    <x v="605"/>
    <x v="1920"/>
    <x v="1809"/>
    <x v="1929"/>
    <x v="1238"/>
    <x v="59"/>
    <x v="135"/>
    <x v="1588"/>
    <x v="59"/>
    <x v="2"/>
  </r>
  <r>
    <x v="3"/>
    <x v="1"/>
    <x v="4"/>
    <x v="2"/>
    <x v="2"/>
    <x v="2"/>
    <x v="70"/>
    <x v="44"/>
    <x v="10"/>
    <x v="114"/>
    <x v="289"/>
    <x v="1529"/>
    <x v="1921"/>
    <x v="1810"/>
    <x v="1930"/>
    <x v="690"/>
    <x v="151"/>
    <x v="8"/>
    <x v="1589"/>
    <x v="151"/>
    <x v="0"/>
  </r>
  <r>
    <x v="38"/>
    <x v="1"/>
    <x v="4"/>
    <x v="1"/>
    <x v="5"/>
    <x v="1"/>
    <x v="86"/>
    <x v="47"/>
    <x v="81"/>
    <x v="115"/>
    <x v="150"/>
    <x v="1656"/>
    <x v="1922"/>
    <x v="1811"/>
    <x v="1931"/>
    <x v="1239"/>
    <x v="6"/>
    <x v="126"/>
    <x v="1129"/>
    <x v="6"/>
    <x v="2"/>
  </r>
  <r>
    <x v="27"/>
    <x v="1"/>
    <x v="6"/>
    <x v="1"/>
    <x v="5"/>
    <x v="3"/>
    <x v="63"/>
    <x v="68"/>
    <x v="55"/>
    <x v="95"/>
    <x v="348"/>
    <x v="1657"/>
    <x v="1923"/>
    <x v="1812"/>
    <x v="1932"/>
    <x v="1240"/>
    <x v="66"/>
    <x v="159"/>
    <x v="1590"/>
    <x v="66"/>
    <x v="0"/>
  </r>
  <r>
    <x v="7"/>
    <x v="1"/>
    <x v="0"/>
    <x v="0"/>
    <x v="2"/>
    <x v="1"/>
    <x v="31"/>
    <x v="17"/>
    <x v="16"/>
    <x v="21"/>
    <x v="439"/>
    <x v="1658"/>
    <x v="1924"/>
    <x v="1691"/>
    <x v="1933"/>
    <x v="1241"/>
    <x v="44"/>
    <x v="185"/>
    <x v="1591"/>
    <x v="44"/>
    <x v="2"/>
  </r>
  <r>
    <x v="3"/>
    <x v="0"/>
    <x v="5"/>
    <x v="4"/>
    <x v="2"/>
    <x v="3"/>
    <x v="14"/>
    <x v="78"/>
    <x v="78"/>
    <x v="114"/>
    <x v="318"/>
    <x v="1659"/>
    <x v="1925"/>
    <x v="1813"/>
    <x v="1934"/>
    <x v="1242"/>
    <x v="0"/>
    <x v="168"/>
    <x v="1592"/>
    <x v="0"/>
    <x v="0"/>
  </r>
  <r>
    <x v="53"/>
    <x v="0"/>
    <x v="3"/>
    <x v="3"/>
    <x v="0"/>
    <x v="0"/>
    <x v="39"/>
    <x v="41"/>
    <x v="14"/>
    <x v="28"/>
    <x v="402"/>
    <x v="1660"/>
    <x v="1926"/>
    <x v="1766"/>
    <x v="1935"/>
    <x v="1243"/>
    <x v="164"/>
    <x v="37"/>
    <x v="1593"/>
    <x v="164"/>
    <x v="1"/>
  </r>
  <r>
    <x v="17"/>
    <x v="1"/>
    <x v="4"/>
    <x v="3"/>
    <x v="3"/>
    <x v="2"/>
    <x v="27"/>
    <x v="0"/>
    <x v="38"/>
    <x v="109"/>
    <x v="250"/>
    <x v="1661"/>
    <x v="1927"/>
    <x v="284"/>
    <x v="1936"/>
    <x v="1244"/>
    <x v="118"/>
    <x v="150"/>
    <x v="1594"/>
    <x v="118"/>
    <x v="1"/>
  </r>
  <r>
    <x v="14"/>
    <x v="1"/>
    <x v="9"/>
    <x v="3"/>
    <x v="1"/>
    <x v="3"/>
    <x v="1"/>
    <x v="71"/>
    <x v="35"/>
    <x v="116"/>
    <x v="372"/>
    <x v="341"/>
    <x v="1928"/>
    <x v="1814"/>
    <x v="1769"/>
    <x v="824"/>
    <x v="52"/>
    <x v="154"/>
    <x v="1595"/>
    <x v="52"/>
    <x v="2"/>
  </r>
  <r>
    <x v="28"/>
    <x v="0"/>
    <x v="1"/>
    <x v="2"/>
    <x v="2"/>
    <x v="1"/>
    <x v="41"/>
    <x v="74"/>
    <x v="49"/>
    <x v="120"/>
    <x v="177"/>
    <x v="1662"/>
    <x v="1929"/>
    <x v="1815"/>
    <x v="1937"/>
    <x v="225"/>
    <x v="111"/>
    <x v="156"/>
    <x v="1596"/>
    <x v="111"/>
    <x v="0"/>
  </r>
  <r>
    <x v="12"/>
    <x v="0"/>
    <x v="1"/>
    <x v="4"/>
    <x v="0"/>
    <x v="0"/>
    <x v="32"/>
    <x v="17"/>
    <x v="46"/>
    <x v="148"/>
    <x v="191"/>
    <x v="605"/>
    <x v="1930"/>
    <x v="1816"/>
    <x v="1938"/>
    <x v="716"/>
    <x v="36"/>
    <x v="169"/>
    <x v="1597"/>
    <x v="36"/>
    <x v="0"/>
  </r>
  <r>
    <x v="26"/>
    <x v="1"/>
    <x v="7"/>
    <x v="0"/>
    <x v="0"/>
    <x v="0"/>
    <x v="93"/>
    <x v="35"/>
    <x v="21"/>
    <x v="138"/>
    <x v="52"/>
    <x v="104"/>
    <x v="1931"/>
    <x v="1817"/>
    <x v="1939"/>
    <x v="112"/>
    <x v="38"/>
    <x v="23"/>
    <x v="1598"/>
    <x v="38"/>
    <x v="2"/>
  </r>
  <r>
    <x v="42"/>
    <x v="0"/>
    <x v="8"/>
    <x v="1"/>
    <x v="1"/>
    <x v="2"/>
    <x v="83"/>
    <x v="58"/>
    <x v="33"/>
    <x v="17"/>
    <x v="343"/>
    <x v="1663"/>
    <x v="1932"/>
    <x v="1818"/>
    <x v="1940"/>
    <x v="518"/>
    <x v="87"/>
    <x v="97"/>
    <x v="1599"/>
    <x v="87"/>
    <x v="2"/>
  </r>
  <r>
    <x v="16"/>
    <x v="0"/>
    <x v="3"/>
    <x v="4"/>
    <x v="3"/>
    <x v="2"/>
    <x v="62"/>
    <x v="51"/>
    <x v="50"/>
    <x v="38"/>
    <x v="274"/>
    <x v="1664"/>
    <x v="1933"/>
    <x v="1819"/>
    <x v="1941"/>
    <x v="1104"/>
    <x v="8"/>
    <x v="53"/>
    <x v="1078"/>
    <x v="8"/>
    <x v="0"/>
  </r>
  <r>
    <x v="45"/>
    <x v="0"/>
    <x v="2"/>
    <x v="2"/>
    <x v="6"/>
    <x v="3"/>
    <x v="76"/>
    <x v="10"/>
    <x v="67"/>
    <x v="102"/>
    <x v="406"/>
    <x v="1665"/>
    <x v="1934"/>
    <x v="1820"/>
    <x v="1942"/>
    <x v="1029"/>
    <x v="6"/>
    <x v="150"/>
    <x v="1600"/>
    <x v="6"/>
    <x v="2"/>
  </r>
  <r>
    <x v="35"/>
    <x v="1"/>
    <x v="9"/>
    <x v="1"/>
    <x v="6"/>
    <x v="3"/>
    <x v="59"/>
    <x v="77"/>
    <x v="67"/>
    <x v="52"/>
    <x v="383"/>
    <x v="1666"/>
    <x v="1935"/>
    <x v="1821"/>
    <x v="1943"/>
    <x v="719"/>
    <x v="169"/>
    <x v="145"/>
    <x v="1601"/>
    <x v="169"/>
    <x v="2"/>
  </r>
  <r>
    <x v="35"/>
    <x v="1"/>
    <x v="0"/>
    <x v="3"/>
    <x v="3"/>
    <x v="3"/>
    <x v="110"/>
    <x v="40"/>
    <x v="29"/>
    <x v="118"/>
    <x v="14"/>
    <x v="867"/>
    <x v="1936"/>
    <x v="1822"/>
    <x v="1944"/>
    <x v="891"/>
    <x v="185"/>
    <x v="36"/>
    <x v="1602"/>
    <x v="185"/>
    <x v="2"/>
  </r>
  <r>
    <x v="39"/>
    <x v="0"/>
    <x v="6"/>
    <x v="4"/>
    <x v="6"/>
    <x v="2"/>
    <x v="114"/>
    <x v="32"/>
    <x v="14"/>
    <x v="150"/>
    <x v="440"/>
    <x v="1667"/>
    <x v="1937"/>
    <x v="1823"/>
    <x v="1945"/>
    <x v="943"/>
    <x v="141"/>
    <x v="74"/>
    <x v="864"/>
    <x v="141"/>
    <x v="2"/>
  </r>
  <r>
    <x v="20"/>
    <x v="1"/>
    <x v="5"/>
    <x v="4"/>
    <x v="2"/>
    <x v="3"/>
    <x v="117"/>
    <x v="3"/>
    <x v="5"/>
    <x v="10"/>
    <x v="375"/>
    <x v="1668"/>
    <x v="1938"/>
    <x v="1824"/>
    <x v="1946"/>
    <x v="915"/>
    <x v="21"/>
    <x v="1"/>
    <x v="93"/>
    <x v="21"/>
    <x v="1"/>
  </r>
  <r>
    <x v="29"/>
    <x v="0"/>
    <x v="2"/>
    <x v="3"/>
    <x v="6"/>
    <x v="1"/>
    <x v="117"/>
    <x v="31"/>
    <x v="30"/>
    <x v="67"/>
    <x v="23"/>
    <x v="1669"/>
    <x v="1939"/>
    <x v="1825"/>
    <x v="1947"/>
    <x v="793"/>
    <x v="125"/>
    <x v="66"/>
    <x v="1603"/>
    <x v="125"/>
    <x v="2"/>
  </r>
  <r>
    <x v="21"/>
    <x v="1"/>
    <x v="6"/>
    <x v="4"/>
    <x v="3"/>
    <x v="2"/>
    <x v="8"/>
    <x v="2"/>
    <x v="43"/>
    <x v="101"/>
    <x v="302"/>
    <x v="1670"/>
    <x v="1940"/>
    <x v="1826"/>
    <x v="1948"/>
    <x v="1245"/>
    <x v="50"/>
    <x v="73"/>
    <x v="459"/>
    <x v="50"/>
    <x v="0"/>
  </r>
  <r>
    <x v="0"/>
    <x v="0"/>
    <x v="1"/>
    <x v="4"/>
    <x v="4"/>
    <x v="3"/>
    <x v="3"/>
    <x v="41"/>
    <x v="12"/>
    <x v="151"/>
    <x v="247"/>
    <x v="1671"/>
    <x v="1941"/>
    <x v="1827"/>
    <x v="1949"/>
    <x v="1246"/>
    <x v="130"/>
    <x v="50"/>
    <x v="1604"/>
    <x v="130"/>
    <x v="0"/>
  </r>
  <r>
    <x v="23"/>
    <x v="1"/>
    <x v="3"/>
    <x v="4"/>
    <x v="5"/>
    <x v="0"/>
    <x v="102"/>
    <x v="28"/>
    <x v="24"/>
    <x v="76"/>
    <x v="305"/>
    <x v="1672"/>
    <x v="1942"/>
    <x v="790"/>
    <x v="1950"/>
    <x v="1244"/>
    <x v="3"/>
    <x v="168"/>
    <x v="1605"/>
    <x v="3"/>
    <x v="1"/>
  </r>
  <r>
    <x v="24"/>
    <x v="0"/>
    <x v="8"/>
    <x v="3"/>
    <x v="3"/>
    <x v="1"/>
    <x v="15"/>
    <x v="38"/>
    <x v="21"/>
    <x v="18"/>
    <x v="232"/>
    <x v="508"/>
    <x v="1943"/>
    <x v="1828"/>
    <x v="1951"/>
    <x v="1061"/>
    <x v="42"/>
    <x v="49"/>
    <x v="1606"/>
    <x v="42"/>
    <x v="1"/>
  </r>
  <r>
    <x v="30"/>
    <x v="1"/>
    <x v="3"/>
    <x v="1"/>
    <x v="2"/>
    <x v="3"/>
    <x v="30"/>
    <x v="46"/>
    <x v="21"/>
    <x v="21"/>
    <x v="178"/>
    <x v="1673"/>
    <x v="1944"/>
    <x v="1829"/>
    <x v="1952"/>
    <x v="1247"/>
    <x v="100"/>
    <x v="7"/>
    <x v="1607"/>
    <x v="100"/>
    <x v="1"/>
  </r>
  <r>
    <x v="25"/>
    <x v="0"/>
    <x v="4"/>
    <x v="0"/>
    <x v="6"/>
    <x v="0"/>
    <x v="107"/>
    <x v="64"/>
    <x v="36"/>
    <x v="126"/>
    <x v="143"/>
    <x v="1674"/>
    <x v="1945"/>
    <x v="1830"/>
    <x v="1953"/>
    <x v="74"/>
    <x v="11"/>
    <x v="134"/>
    <x v="1572"/>
    <x v="11"/>
    <x v="0"/>
  </r>
  <r>
    <x v="36"/>
    <x v="0"/>
    <x v="6"/>
    <x v="3"/>
    <x v="0"/>
    <x v="3"/>
    <x v="51"/>
    <x v="75"/>
    <x v="72"/>
    <x v="46"/>
    <x v="373"/>
    <x v="1675"/>
    <x v="1946"/>
    <x v="1831"/>
    <x v="1954"/>
    <x v="697"/>
    <x v="93"/>
    <x v="53"/>
    <x v="1608"/>
    <x v="93"/>
    <x v="1"/>
  </r>
  <r>
    <x v="53"/>
    <x v="0"/>
    <x v="3"/>
    <x v="1"/>
    <x v="1"/>
    <x v="3"/>
    <x v="105"/>
    <x v="13"/>
    <x v="9"/>
    <x v="14"/>
    <x v="351"/>
    <x v="1676"/>
    <x v="1947"/>
    <x v="1832"/>
    <x v="1955"/>
    <x v="1178"/>
    <x v="137"/>
    <x v="9"/>
    <x v="1609"/>
    <x v="137"/>
    <x v="1"/>
  </r>
  <r>
    <x v="3"/>
    <x v="0"/>
    <x v="7"/>
    <x v="2"/>
    <x v="6"/>
    <x v="1"/>
    <x v="56"/>
    <x v="50"/>
    <x v="18"/>
    <x v="15"/>
    <x v="190"/>
    <x v="1677"/>
    <x v="1948"/>
    <x v="1833"/>
    <x v="1956"/>
    <x v="179"/>
    <x v="85"/>
    <x v="200"/>
    <x v="1610"/>
    <x v="85"/>
    <x v="0"/>
  </r>
  <r>
    <x v="32"/>
    <x v="1"/>
    <x v="5"/>
    <x v="4"/>
    <x v="3"/>
    <x v="3"/>
    <x v="37"/>
    <x v="60"/>
    <x v="85"/>
    <x v="119"/>
    <x v="316"/>
    <x v="1085"/>
    <x v="1949"/>
    <x v="1834"/>
    <x v="1957"/>
    <x v="421"/>
    <x v="34"/>
    <x v="69"/>
    <x v="1611"/>
    <x v="34"/>
    <x v="1"/>
  </r>
  <r>
    <x v="31"/>
    <x v="0"/>
    <x v="7"/>
    <x v="2"/>
    <x v="3"/>
    <x v="1"/>
    <x v="87"/>
    <x v="23"/>
    <x v="23"/>
    <x v="116"/>
    <x v="162"/>
    <x v="1678"/>
    <x v="1950"/>
    <x v="1835"/>
    <x v="1958"/>
    <x v="1248"/>
    <x v="38"/>
    <x v="144"/>
    <x v="1612"/>
    <x v="38"/>
    <x v="2"/>
  </r>
  <r>
    <x v="24"/>
    <x v="1"/>
    <x v="4"/>
    <x v="3"/>
    <x v="0"/>
    <x v="3"/>
    <x v="66"/>
    <x v="34"/>
    <x v="11"/>
    <x v="106"/>
    <x v="120"/>
    <x v="1679"/>
    <x v="1951"/>
    <x v="1836"/>
    <x v="1959"/>
    <x v="310"/>
    <x v="20"/>
    <x v="13"/>
    <x v="1613"/>
    <x v="20"/>
    <x v="1"/>
  </r>
  <r>
    <x v="1"/>
    <x v="1"/>
    <x v="5"/>
    <x v="1"/>
    <x v="0"/>
    <x v="2"/>
    <x v="45"/>
    <x v="47"/>
    <x v="38"/>
    <x v="27"/>
    <x v="141"/>
    <x v="1105"/>
    <x v="1952"/>
    <x v="1837"/>
    <x v="1960"/>
    <x v="1249"/>
    <x v="101"/>
    <x v="130"/>
    <x v="100"/>
    <x v="101"/>
    <x v="1"/>
  </r>
  <r>
    <x v="20"/>
    <x v="0"/>
    <x v="5"/>
    <x v="4"/>
    <x v="3"/>
    <x v="2"/>
    <x v="93"/>
    <x v="8"/>
    <x v="54"/>
    <x v="136"/>
    <x v="30"/>
    <x v="1680"/>
    <x v="1953"/>
    <x v="1838"/>
    <x v="1961"/>
    <x v="1057"/>
    <x v="65"/>
    <x v="98"/>
    <x v="1614"/>
    <x v="65"/>
    <x v="1"/>
  </r>
  <r>
    <x v="47"/>
    <x v="1"/>
    <x v="6"/>
    <x v="4"/>
    <x v="4"/>
    <x v="3"/>
    <x v="112"/>
    <x v="58"/>
    <x v="36"/>
    <x v="38"/>
    <x v="237"/>
    <x v="1681"/>
    <x v="1954"/>
    <x v="1839"/>
    <x v="1962"/>
    <x v="745"/>
    <x v="143"/>
    <x v="26"/>
    <x v="1615"/>
    <x v="143"/>
    <x v="0"/>
  </r>
  <r>
    <x v="16"/>
    <x v="0"/>
    <x v="7"/>
    <x v="1"/>
    <x v="1"/>
    <x v="2"/>
    <x v="26"/>
    <x v="66"/>
    <x v="42"/>
    <x v="142"/>
    <x v="271"/>
    <x v="1682"/>
    <x v="1955"/>
    <x v="1840"/>
    <x v="1963"/>
    <x v="706"/>
    <x v="30"/>
    <x v="43"/>
    <x v="1616"/>
    <x v="30"/>
    <x v="0"/>
  </r>
  <r>
    <x v="48"/>
    <x v="0"/>
    <x v="7"/>
    <x v="3"/>
    <x v="1"/>
    <x v="2"/>
    <x v="19"/>
    <x v="13"/>
    <x v="44"/>
    <x v="139"/>
    <x v="127"/>
    <x v="1683"/>
    <x v="1956"/>
    <x v="1841"/>
    <x v="1453"/>
    <x v="396"/>
    <x v="53"/>
    <x v="58"/>
    <x v="1617"/>
    <x v="53"/>
    <x v="2"/>
  </r>
  <r>
    <x v="30"/>
    <x v="1"/>
    <x v="7"/>
    <x v="1"/>
    <x v="6"/>
    <x v="2"/>
    <x v="74"/>
    <x v="32"/>
    <x v="28"/>
    <x v="88"/>
    <x v="348"/>
    <x v="1684"/>
    <x v="1957"/>
    <x v="1842"/>
    <x v="1964"/>
    <x v="1250"/>
    <x v="118"/>
    <x v="147"/>
    <x v="1618"/>
    <x v="118"/>
    <x v="1"/>
  </r>
  <r>
    <x v="1"/>
    <x v="1"/>
    <x v="2"/>
    <x v="1"/>
    <x v="0"/>
    <x v="1"/>
    <x v="0"/>
    <x v="6"/>
    <x v="89"/>
    <x v="73"/>
    <x v="0"/>
    <x v="1225"/>
    <x v="1958"/>
    <x v="1843"/>
    <x v="1965"/>
    <x v="314"/>
    <x v="98"/>
    <x v="12"/>
    <x v="1619"/>
    <x v="98"/>
    <x v="1"/>
  </r>
  <r>
    <x v="42"/>
    <x v="1"/>
    <x v="6"/>
    <x v="0"/>
    <x v="5"/>
    <x v="3"/>
    <x v="84"/>
    <x v="17"/>
    <x v="9"/>
    <x v="87"/>
    <x v="183"/>
    <x v="1685"/>
    <x v="1959"/>
    <x v="1844"/>
    <x v="1966"/>
    <x v="1251"/>
    <x v="119"/>
    <x v="98"/>
    <x v="1620"/>
    <x v="119"/>
    <x v="2"/>
  </r>
  <r>
    <x v="16"/>
    <x v="0"/>
    <x v="3"/>
    <x v="1"/>
    <x v="6"/>
    <x v="2"/>
    <x v="71"/>
    <x v="56"/>
    <x v="10"/>
    <x v="143"/>
    <x v="141"/>
    <x v="1686"/>
    <x v="1960"/>
    <x v="1845"/>
    <x v="1967"/>
    <x v="43"/>
    <x v="71"/>
    <x v="156"/>
    <x v="1621"/>
    <x v="71"/>
    <x v="0"/>
  </r>
  <r>
    <x v="2"/>
    <x v="1"/>
    <x v="5"/>
    <x v="1"/>
    <x v="5"/>
    <x v="3"/>
    <x v="75"/>
    <x v="48"/>
    <x v="77"/>
    <x v="48"/>
    <x v="414"/>
    <x v="1687"/>
    <x v="1961"/>
    <x v="1846"/>
    <x v="1968"/>
    <x v="86"/>
    <x v="78"/>
    <x v="130"/>
    <x v="113"/>
    <x v="78"/>
    <x v="2"/>
  </r>
  <r>
    <x v="46"/>
    <x v="1"/>
    <x v="4"/>
    <x v="0"/>
    <x v="5"/>
    <x v="3"/>
    <x v="70"/>
    <x v="63"/>
    <x v="13"/>
    <x v="122"/>
    <x v="332"/>
    <x v="107"/>
    <x v="1962"/>
    <x v="1149"/>
    <x v="1969"/>
    <x v="1252"/>
    <x v="38"/>
    <x v="70"/>
    <x v="1622"/>
    <x v="38"/>
    <x v="1"/>
  </r>
  <r>
    <x v="7"/>
    <x v="1"/>
    <x v="9"/>
    <x v="4"/>
    <x v="4"/>
    <x v="0"/>
    <x v="4"/>
    <x v="3"/>
    <x v="9"/>
    <x v="78"/>
    <x v="130"/>
    <x v="1688"/>
    <x v="1963"/>
    <x v="1847"/>
    <x v="1970"/>
    <x v="1253"/>
    <x v="64"/>
    <x v="76"/>
    <x v="187"/>
    <x v="64"/>
    <x v="2"/>
  </r>
  <r>
    <x v="37"/>
    <x v="0"/>
    <x v="0"/>
    <x v="4"/>
    <x v="6"/>
    <x v="2"/>
    <x v="33"/>
    <x v="32"/>
    <x v="72"/>
    <x v="71"/>
    <x v="401"/>
    <x v="1689"/>
    <x v="1964"/>
    <x v="1848"/>
    <x v="1971"/>
    <x v="206"/>
    <x v="31"/>
    <x v="139"/>
    <x v="147"/>
    <x v="31"/>
    <x v="2"/>
  </r>
  <r>
    <x v="33"/>
    <x v="0"/>
    <x v="9"/>
    <x v="4"/>
    <x v="6"/>
    <x v="0"/>
    <x v="8"/>
    <x v="43"/>
    <x v="13"/>
    <x v="16"/>
    <x v="200"/>
    <x v="1009"/>
    <x v="1965"/>
    <x v="1849"/>
    <x v="1972"/>
    <x v="915"/>
    <x v="62"/>
    <x v="79"/>
    <x v="269"/>
    <x v="62"/>
    <x v="2"/>
  </r>
  <r>
    <x v="28"/>
    <x v="1"/>
    <x v="3"/>
    <x v="0"/>
    <x v="3"/>
    <x v="1"/>
    <x v="96"/>
    <x v="64"/>
    <x v="8"/>
    <x v="90"/>
    <x v="255"/>
    <x v="190"/>
    <x v="1966"/>
    <x v="130"/>
    <x v="1973"/>
    <x v="715"/>
    <x v="105"/>
    <x v="114"/>
    <x v="1623"/>
    <x v="105"/>
    <x v="0"/>
  </r>
  <r>
    <x v="32"/>
    <x v="0"/>
    <x v="0"/>
    <x v="0"/>
    <x v="3"/>
    <x v="0"/>
    <x v="48"/>
    <x v="67"/>
    <x v="75"/>
    <x v="103"/>
    <x v="77"/>
    <x v="1690"/>
    <x v="1967"/>
    <x v="1850"/>
    <x v="1974"/>
    <x v="1254"/>
    <x v="52"/>
    <x v="88"/>
    <x v="1624"/>
    <x v="52"/>
    <x v="1"/>
  </r>
  <r>
    <x v="18"/>
    <x v="1"/>
    <x v="0"/>
    <x v="3"/>
    <x v="1"/>
    <x v="0"/>
    <x v="34"/>
    <x v="33"/>
    <x v="11"/>
    <x v="134"/>
    <x v="198"/>
    <x v="1691"/>
    <x v="1968"/>
    <x v="29"/>
    <x v="1975"/>
    <x v="982"/>
    <x v="94"/>
    <x v="160"/>
    <x v="941"/>
    <x v="94"/>
    <x v="2"/>
  </r>
  <r>
    <x v="29"/>
    <x v="0"/>
    <x v="7"/>
    <x v="3"/>
    <x v="0"/>
    <x v="3"/>
    <x v="49"/>
    <x v="22"/>
    <x v="0"/>
    <x v="128"/>
    <x v="384"/>
    <x v="1692"/>
    <x v="1969"/>
    <x v="1851"/>
    <x v="1976"/>
    <x v="1085"/>
    <x v="41"/>
    <x v="119"/>
    <x v="1625"/>
    <x v="41"/>
    <x v="2"/>
  </r>
  <r>
    <x v="27"/>
    <x v="0"/>
    <x v="0"/>
    <x v="4"/>
    <x v="0"/>
    <x v="3"/>
    <x v="84"/>
    <x v="25"/>
    <x v="46"/>
    <x v="134"/>
    <x v="293"/>
    <x v="1693"/>
    <x v="1970"/>
    <x v="1852"/>
    <x v="1591"/>
    <x v="1188"/>
    <x v="106"/>
    <x v="177"/>
    <x v="1626"/>
    <x v="106"/>
    <x v="0"/>
  </r>
  <r>
    <x v="43"/>
    <x v="0"/>
    <x v="0"/>
    <x v="3"/>
    <x v="6"/>
    <x v="3"/>
    <x v="27"/>
    <x v="6"/>
    <x v="38"/>
    <x v="108"/>
    <x v="393"/>
    <x v="1084"/>
    <x v="1971"/>
    <x v="1853"/>
    <x v="1977"/>
    <x v="1255"/>
    <x v="139"/>
    <x v="189"/>
    <x v="694"/>
    <x v="139"/>
    <x v="2"/>
  </r>
  <r>
    <x v="24"/>
    <x v="0"/>
    <x v="3"/>
    <x v="1"/>
    <x v="2"/>
    <x v="2"/>
    <x v="85"/>
    <x v="26"/>
    <x v="80"/>
    <x v="108"/>
    <x v="431"/>
    <x v="1694"/>
    <x v="1972"/>
    <x v="1577"/>
    <x v="1978"/>
    <x v="1256"/>
    <x v="117"/>
    <x v="160"/>
    <x v="941"/>
    <x v="117"/>
    <x v="1"/>
  </r>
  <r>
    <x v="12"/>
    <x v="1"/>
    <x v="1"/>
    <x v="3"/>
    <x v="3"/>
    <x v="0"/>
    <x v="117"/>
    <x v="34"/>
    <x v="20"/>
    <x v="96"/>
    <x v="224"/>
    <x v="1695"/>
    <x v="1973"/>
    <x v="1854"/>
    <x v="1979"/>
    <x v="745"/>
    <x v="98"/>
    <x v="154"/>
    <x v="1627"/>
    <x v="98"/>
    <x v="0"/>
  </r>
  <r>
    <x v="15"/>
    <x v="1"/>
    <x v="6"/>
    <x v="0"/>
    <x v="1"/>
    <x v="1"/>
    <x v="72"/>
    <x v="21"/>
    <x v="55"/>
    <x v="77"/>
    <x v="130"/>
    <x v="544"/>
    <x v="1974"/>
    <x v="1855"/>
    <x v="1980"/>
    <x v="70"/>
    <x v="97"/>
    <x v="39"/>
    <x v="1628"/>
    <x v="97"/>
    <x v="2"/>
  </r>
  <r>
    <x v="14"/>
    <x v="0"/>
    <x v="5"/>
    <x v="2"/>
    <x v="5"/>
    <x v="0"/>
    <x v="81"/>
    <x v="56"/>
    <x v="47"/>
    <x v="142"/>
    <x v="10"/>
    <x v="1696"/>
    <x v="1975"/>
    <x v="62"/>
    <x v="1981"/>
    <x v="755"/>
    <x v="121"/>
    <x v="124"/>
    <x v="1629"/>
    <x v="121"/>
    <x v="2"/>
  </r>
  <r>
    <x v="20"/>
    <x v="0"/>
    <x v="3"/>
    <x v="2"/>
    <x v="6"/>
    <x v="0"/>
    <x v="74"/>
    <x v="30"/>
    <x v="13"/>
    <x v="150"/>
    <x v="374"/>
    <x v="1392"/>
    <x v="1976"/>
    <x v="1856"/>
    <x v="1982"/>
    <x v="587"/>
    <x v="43"/>
    <x v="63"/>
    <x v="522"/>
    <x v="43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1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0"/>
    <x v="1"/>
    <x v="1"/>
    <x v="1"/>
    <x v="1"/>
    <x v="1"/>
    <x v="1"/>
    <x v="1"/>
    <x v="1"/>
    <x v="1"/>
    <x v="1"/>
    <x v="1"/>
    <x v="1"/>
    <x v="1"/>
    <x v="1"/>
    <x v="1"/>
  </r>
  <r>
    <x v="2"/>
    <x v="0"/>
    <x v="2"/>
    <x v="2"/>
    <x v="2"/>
    <x v="0"/>
    <x v="2"/>
    <x v="2"/>
    <x v="2"/>
    <x v="2"/>
    <x v="2"/>
    <x v="2"/>
    <x v="2"/>
    <x v="2"/>
    <x v="2"/>
    <x v="2"/>
    <x v="2"/>
    <x v="2"/>
    <x v="2"/>
    <x v="2"/>
    <x v="2"/>
  </r>
  <r>
    <x v="3"/>
    <x v="1"/>
    <x v="0"/>
    <x v="3"/>
    <x v="3"/>
    <x v="1"/>
    <x v="3"/>
    <x v="3"/>
    <x v="3"/>
    <x v="3"/>
    <x v="3"/>
    <x v="3"/>
    <x v="3"/>
    <x v="3"/>
    <x v="3"/>
    <x v="3"/>
    <x v="3"/>
    <x v="3"/>
    <x v="3"/>
    <x v="3"/>
    <x v="0"/>
  </r>
  <r>
    <x v="4"/>
    <x v="0"/>
    <x v="3"/>
    <x v="4"/>
    <x v="4"/>
    <x v="0"/>
    <x v="4"/>
    <x v="4"/>
    <x v="4"/>
    <x v="4"/>
    <x v="4"/>
    <x v="4"/>
    <x v="4"/>
    <x v="4"/>
    <x v="4"/>
    <x v="4"/>
    <x v="4"/>
    <x v="4"/>
    <x v="4"/>
    <x v="4"/>
    <x v="1"/>
  </r>
  <r>
    <x v="5"/>
    <x v="1"/>
    <x v="0"/>
    <x v="0"/>
    <x v="5"/>
    <x v="0"/>
    <x v="5"/>
    <x v="5"/>
    <x v="5"/>
    <x v="5"/>
    <x v="5"/>
    <x v="5"/>
    <x v="5"/>
    <x v="5"/>
    <x v="5"/>
    <x v="5"/>
    <x v="5"/>
    <x v="5"/>
    <x v="5"/>
    <x v="5"/>
    <x v="2"/>
  </r>
  <r>
    <x v="6"/>
    <x v="0"/>
    <x v="4"/>
    <x v="0"/>
    <x v="3"/>
    <x v="1"/>
    <x v="6"/>
    <x v="6"/>
    <x v="6"/>
    <x v="6"/>
    <x v="6"/>
    <x v="6"/>
    <x v="6"/>
    <x v="6"/>
    <x v="6"/>
    <x v="6"/>
    <x v="6"/>
    <x v="6"/>
    <x v="6"/>
    <x v="6"/>
    <x v="2"/>
  </r>
  <r>
    <x v="7"/>
    <x v="0"/>
    <x v="5"/>
    <x v="0"/>
    <x v="5"/>
    <x v="2"/>
    <x v="7"/>
    <x v="7"/>
    <x v="7"/>
    <x v="7"/>
    <x v="7"/>
    <x v="7"/>
    <x v="7"/>
    <x v="7"/>
    <x v="7"/>
    <x v="7"/>
    <x v="7"/>
    <x v="7"/>
    <x v="7"/>
    <x v="7"/>
    <x v="2"/>
  </r>
  <r>
    <x v="8"/>
    <x v="0"/>
    <x v="4"/>
    <x v="4"/>
    <x v="4"/>
    <x v="0"/>
    <x v="8"/>
    <x v="8"/>
    <x v="8"/>
    <x v="8"/>
    <x v="8"/>
    <x v="8"/>
    <x v="8"/>
    <x v="8"/>
    <x v="8"/>
    <x v="8"/>
    <x v="8"/>
    <x v="8"/>
    <x v="8"/>
    <x v="8"/>
    <x v="2"/>
  </r>
  <r>
    <x v="9"/>
    <x v="1"/>
    <x v="4"/>
    <x v="2"/>
    <x v="4"/>
    <x v="1"/>
    <x v="9"/>
    <x v="9"/>
    <x v="9"/>
    <x v="9"/>
    <x v="9"/>
    <x v="9"/>
    <x v="9"/>
    <x v="9"/>
    <x v="9"/>
    <x v="9"/>
    <x v="9"/>
    <x v="9"/>
    <x v="9"/>
    <x v="9"/>
    <x v="0"/>
  </r>
  <r>
    <x v="10"/>
    <x v="0"/>
    <x v="6"/>
    <x v="2"/>
    <x v="6"/>
    <x v="0"/>
    <x v="10"/>
    <x v="10"/>
    <x v="10"/>
    <x v="10"/>
    <x v="10"/>
    <x v="10"/>
    <x v="10"/>
    <x v="10"/>
    <x v="10"/>
    <x v="10"/>
    <x v="10"/>
    <x v="10"/>
    <x v="10"/>
    <x v="10"/>
    <x v="2"/>
  </r>
  <r>
    <x v="6"/>
    <x v="0"/>
    <x v="7"/>
    <x v="2"/>
    <x v="3"/>
    <x v="1"/>
    <x v="11"/>
    <x v="3"/>
    <x v="11"/>
    <x v="11"/>
    <x v="11"/>
    <x v="11"/>
    <x v="11"/>
    <x v="11"/>
    <x v="11"/>
    <x v="11"/>
    <x v="11"/>
    <x v="11"/>
    <x v="11"/>
    <x v="11"/>
    <x v="2"/>
  </r>
  <r>
    <x v="11"/>
    <x v="0"/>
    <x v="7"/>
    <x v="3"/>
    <x v="5"/>
    <x v="3"/>
    <x v="12"/>
    <x v="11"/>
    <x v="12"/>
    <x v="12"/>
    <x v="12"/>
    <x v="12"/>
    <x v="12"/>
    <x v="12"/>
    <x v="12"/>
    <x v="4"/>
    <x v="11"/>
    <x v="12"/>
    <x v="12"/>
    <x v="11"/>
    <x v="1"/>
  </r>
  <r>
    <x v="2"/>
    <x v="1"/>
    <x v="8"/>
    <x v="0"/>
    <x v="3"/>
    <x v="3"/>
    <x v="13"/>
    <x v="12"/>
    <x v="13"/>
    <x v="13"/>
    <x v="13"/>
    <x v="13"/>
    <x v="13"/>
    <x v="13"/>
    <x v="13"/>
    <x v="12"/>
    <x v="12"/>
    <x v="13"/>
    <x v="13"/>
    <x v="12"/>
    <x v="2"/>
  </r>
  <r>
    <x v="12"/>
    <x v="0"/>
    <x v="8"/>
    <x v="1"/>
    <x v="4"/>
    <x v="1"/>
    <x v="3"/>
    <x v="13"/>
    <x v="14"/>
    <x v="14"/>
    <x v="14"/>
    <x v="14"/>
    <x v="14"/>
    <x v="14"/>
    <x v="14"/>
    <x v="13"/>
    <x v="13"/>
    <x v="9"/>
    <x v="14"/>
    <x v="13"/>
    <x v="0"/>
  </r>
  <r>
    <x v="13"/>
    <x v="1"/>
    <x v="7"/>
    <x v="0"/>
    <x v="0"/>
    <x v="3"/>
    <x v="14"/>
    <x v="10"/>
    <x v="15"/>
    <x v="15"/>
    <x v="15"/>
    <x v="15"/>
    <x v="15"/>
    <x v="15"/>
    <x v="15"/>
    <x v="14"/>
    <x v="14"/>
    <x v="14"/>
    <x v="15"/>
    <x v="14"/>
    <x v="2"/>
  </r>
  <r>
    <x v="14"/>
    <x v="0"/>
    <x v="2"/>
    <x v="0"/>
    <x v="4"/>
    <x v="0"/>
    <x v="15"/>
    <x v="14"/>
    <x v="16"/>
    <x v="16"/>
    <x v="16"/>
    <x v="16"/>
    <x v="16"/>
    <x v="16"/>
    <x v="16"/>
    <x v="15"/>
    <x v="15"/>
    <x v="15"/>
    <x v="16"/>
    <x v="15"/>
    <x v="2"/>
  </r>
  <r>
    <x v="11"/>
    <x v="1"/>
    <x v="5"/>
    <x v="1"/>
    <x v="6"/>
    <x v="2"/>
    <x v="16"/>
    <x v="12"/>
    <x v="17"/>
    <x v="17"/>
    <x v="17"/>
    <x v="17"/>
    <x v="17"/>
    <x v="17"/>
    <x v="17"/>
    <x v="16"/>
    <x v="1"/>
    <x v="16"/>
    <x v="17"/>
    <x v="1"/>
    <x v="1"/>
  </r>
  <r>
    <x v="7"/>
    <x v="1"/>
    <x v="3"/>
    <x v="2"/>
    <x v="3"/>
    <x v="3"/>
    <x v="17"/>
    <x v="15"/>
    <x v="1"/>
    <x v="18"/>
    <x v="18"/>
    <x v="18"/>
    <x v="18"/>
    <x v="18"/>
    <x v="18"/>
    <x v="17"/>
    <x v="0"/>
    <x v="17"/>
    <x v="18"/>
    <x v="0"/>
    <x v="2"/>
  </r>
  <r>
    <x v="15"/>
    <x v="0"/>
    <x v="3"/>
    <x v="1"/>
    <x v="4"/>
    <x v="3"/>
    <x v="18"/>
    <x v="16"/>
    <x v="18"/>
    <x v="19"/>
    <x v="19"/>
    <x v="19"/>
    <x v="19"/>
    <x v="19"/>
    <x v="19"/>
    <x v="18"/>
    <x v="16"/>
    <x v="18"/>
    <x v="19"/>
    <x v="16"/>
    <x v="2"/>
  </r>
  <r>
    <x v="1"/>
    <x v="1"/>
    <x v="0"/>
    <x v="0"/>
    <x v="3"/>
    <x v="2"/>
    <x v="19"/>
    <x v="17"/>
    <x v="19"/>
    <x v="20"/>
    <x v="20"/>
    <x v="20"/>
    <x v="20"/>
    <x v="20"/>
    <x v="20"/>
    <x v="19"/>
    <x v="16"/>
    <x v="19"/>
    <x v="20"/>
    <x v="16"/>
    <x v="1"/>
  </r>
  <r>
    <x v="16"/>
    <x v="0"/>
    <x v="3"/>
    <x v="2"/>
    <x v="6"/>
    <x v="2"/>
    <x v="20"/>
    <x v="18"/>
    <x v="20"/>
    <x v="21"/>
    <x v="21"/>
    <x v="21"/>
    <x v="21"/>
    <x v="21"/>
    <x v="21"/>
    <x v="20"/>
    <x v="8"/>
    <x v="20"/>
    <x v="21"/>
    <x v="8"/>
    <x v="0"/>
  </r>
  <r>
    <x v="17"/>
    <x v="0"/>
    <x v="5"/>
    <x v="4"/>
    <x v="5"/>
    <x v="1"/>
    <x v="21"/>
    <x v="19"/>
    <x v="3"/>
    <x v="22"/>
    <x v="22"/>
    <x v="22"/>
    <x v="22"/>
    <x v="22"/>
    <x v="22"/>
    <x v="21"/>
    <x v="17"/>
    <x v="21"/>
    <x v="22"/>
    <x v="17"/>
    <x v="1"/>
  </r>
  <r>
    <x v="18"/>
    <x v="1"/>
    <x v="0"/>
    <x v="2"/>
    <x v="6"/>
    <x v="1"/>
    <x v="22"/>
    <x v="20"/>
    <x v="21"/>
    <x v="23"/>
    <x v="23"/>
    <x v="23"/>
    <x v="23"/>
    <x v="23"/>
    <x v="23"/>
    <x v="22"/>
    <x v="16"/>
    <x v="9"/>
    <x v="23"/>
    <x v="16"/>
    <x v="2"/>
  </r>
  <r>
    <x v="19"/>
    <x v="0"/>
    <x v="5"/>
    <x v="3"/>
    <x v="4"/>
    <x v="1"/>
    <x v="23"/>
    <x v="21"/>
    <x v="1"/>
    <x v="24"/>
    <x v="24"/>
    <x v="24"/>
    <x v="24"/>
    <x v="24"/>
    <x v="24"/>
    <x v="23"/>
    <x v="18"/>
    <x v="22"/>
    <x v="24"/>
    <x v="18"/>
    <x v="1"/>
  </r>
  <r>
    <x v="20"/>
    <x v="0"/>
    <x v="8"/>
    <x v="4"/>
    <x v="4"/>
    <x v="3"/>
    <x v="24"/>
    <x v="20"/>
    <x v="0"/>
    <x v="25"/>
    <x v="18"/>
    <x v="25"/>
    <x v="25"/>
    <x v="25"/>
    <x v="25"/>
    <x v="24"/>
    <x v="19"/>
    <x v="23"/>
    <x v="25"/>
    <x v="19"/>
    <x v="1"/>
  </r>
  <r>
    <x v="21"/>
    <x v="1"/>
    <x v="5"/>
    <x v="3"/>
    <x v="3"/>
    <x v="3"/>
    <x v="25"/>
    <x v="22"/>
    <x v="22"/>
    <x v="26"/>
    <x v="25"/>
    <x v="26"/>
    <x v="26"/>
    <x v="26"/>
    <x v="26"/>
    <x v="25"/>
    <x v="20"/>
    <x v="24"/>
    <x v="26"/>
    <x v="20"/>
    <x v="0"/>
  </r>
  <r>
    <x v="22"/>
    <x v="1"/>
    <x v="9"/>
    <x v="2"/>
    <x v="5"/>
    <x v="2"/>
    <x v="17"/>
    <x v="23"/>
    <x v="23"/>
    <x v="27"/>
    <x v="26"/>
    <x v="27"/>
    <x v="27"/>
    <x v="27"/>
    <x v="27"/>
    <x v="26"/>
    <x v="21"/>
    <x v="25"/>
    <x v="27"/>
    <x v="21"/>
    <x v="0"/>
  </r>
  <r>
    <x v="23"/>
    <x v="1"/>
    <x v="6"/>
    <x v="3"/>
    <x v="3"/>
    <x v="1"/>
    <x v="26"/>
    <x v="9"/>
    <x v="24"/>
    <x v="28"/>
    <x v="21"/>
    <x v="28"/>
    <x v="28"/>
    <x v="28"/>
    <x v="28"/>
    <x v="27"/>
    <x v="22"/>
    <x v="6"/>
    <x v="28"/>
    <x v="22"/>
    <x v="1"/>
  </r>
  <r>
    <x v="5"/>
    <x v="1"/>
    <x v="7"/>
    <x v="3"/>
    <x v="3"/>
    <x v="0"/>
    <x v="27"/>
    <x v="24"/>
    <x v="25"/>
    <x v="29"/>
    <x v="27"/>
    <x v="29"/>
    <x v="29"/>
    <x v="29"/>
    <x v="29"/>
    <x v="28"/>
    <x v="23"/>
    <x v="26"/>
    <x v="29"/>
    <x v="23"/>
    <x v="2"/>
  </r>
  <r>
    <x v="18"/>
    <x v="0"/>
    <x v="0"/>
    <x v="2"/>
    <x v="2"/>
    <x v="2"/>
    <x v="28"/>
    <x v="25"/>
    <x v="26"/>
    <x v="30"/>
    <x v="28"/>
    <x v="30"/>
    <x v="30"/>
    <x v="30"/>
    <x v="30"/>
    <x v="29"/>
    <x v="24"/>
    <x v="27"/>
    <x v="30"/>
    <x v="24"/>
    <x v="2"/>
  </r>
  <r>
    <x v="24"/>
    <x v="0"/>
    <x v="0"/>
    <x v="3"/>
    <x v="6"/>
    <x v="2"/>
    <x v="29"/>
    <x v="26"/>
    <x v="9"/>
    <x v="4"/>
    <x v="29"/>
    <x v="31"/>
    <x v="31"/>
    <x v="31"/>
    <x v="31"/>
    <x v="30"/>
    <x v="1"/>
    <x v="28"/>
    <x v="31"/>
    <x v="1"/>
    <x v="1"/>
  </r>
  <r>
    <x v="25"/>
    <x v="0"/>
    <x v="7"/>
    <x v="0"/>
    <x v="4"/>
    <x v="0"/>
    <x v="6"/>
    <x v="27"/>
    <x v="27"/>
    <x v="31"/>
    <x v="30"/>
    <x v="32"/>
    <x v="32"/>
    <x v="32"/>
    <x v="32"/>
    <x v="31"/>
    <x v="25"/>
    <x v="29"/>
    <x v="32"/>
    <x v="25"/>
    <x v="0"/>
  </r>
  <r>
    <x v="26"/>
    <x v="1"/>
    <x v="9"/>
    <x v="3"/>
    <x v="4"/>
    <x v="1"/>
    <x v="30"/>
    <x v="28"/>
    <x v="28"/>
    <x v="32"/>
    <x v="28"/>
    <x v="33"/>
    <x v="33"/>
    <x v="33"/>
    <x v="33"/>
    <x v="32"/>
    <x v="26"/>
    <x v="30"/>
    <x v="33"/>
    <x v="26"/>
    <x v="2"/>
  </r>
  <r>
    <x v="21"/>
    <x v="1"/>
    <x v="0"/>
    <x v="4"/>
    <x v="5"/>
    <x v="2"/>
    <x v="22"/>
    <x v="29"/>
    <x v="29"/>
    <x v="33"/>
    <x v="15"/>
    <x v="34"/>
    <x v="34"/>
    <x v="34"/>
    <x v="34"/>
    <x v="33"/>
    <x v="27"/>
    <x v="31"/>
    <x v="34"/>
    <x v="27"/>
    <x v="0"/>
  </r>
  <r>
    <x v="27"/>
    <x v="0"/>
    <x v="5"/>
    <x v="3"/>
    <x v="2"/>
    <x v="3"/>
    <x v="31"/>
    <x v="30"/>
    <x v="30"/>
    <x v="34"/>
    <x v="31"/>
    <x v="35"/>
    <x v="35"/>
    <x v="35"/>
    <x v="35"/>
    <x v="34"/>
    <x v="28"/>
    <x v="8"/>
    <x v="35"/>
    <x v="28"/>
    <x v="0"/>
  </r>
  <r>
    <x v="16"/>
    <x v="1"/>
    <x v="0"/>
    <x v="3"/>
    <x v="0"/>
    <x v="1"/>
    <x v="2"/>
    <x v="31"/>
    <x v="31"/>
    <x v="25"/>
    <x v="32"/>
    <x v="36"/>
    <x v="36"/>
    <x v="36"/>
    <x v="36"/>
    <x v="35"/>
    <x v="29"/>
    <x v="32"/>
    <x v="36"/>
    <x v="29"/>
    <x v="0"/>
  </r>
  <r>
    <x v="28"/>
    <x v="0"/>
    <x v="0"/>
    <x v="4"/>
    <x v="0"/>
    <x v="3"/>
    <x v="32"/>
    <x v="7"/>
    <x v="14"/>
    <x v="35"/>
    <x v="33"/>
    <x v="37"/>
    <x v="37"/>
    <x v="37"/>
    <x v="37"/>
    <x v="36"/>
    <x v="30"/>
    <x v="33"/>
    <x v="37"/>
    <x v="30"/>
    <x v="0"/>
  </r>
  <r>
    <x v="19"/>
    <x v="1"/>
    <x v="2"/>
    <x v="3"/>
    <x v="6"/>
    <x v="3"/>
    <x v="33"/>
    <x v="32"/>
    <x v="32"/>
    <x v="14"/>
    <x v="34"/>
    <x v="38"/>
    <x v="38"/>
    <x v="38"/>
    <x v="38"/>
    <x v="37"/>
    <x v="31"/>
    <x v="34"/>
    <x v="38"/>
    <x v="31"/>
    <x v="1"/>
  </r>
  <r>
    <x v="29"/>
    <x v="1"/>
    <x v="2"/>
    <x v="0"/>
    <x v="2"/>
    <x v="1"/>
    <x v="34"/>
    <x v="10"/>
    <x v="33"/>
    <x v="36"/>
    <x v="35"/>
    <x v="39"/>
    <x v="39"/>
    <x v="39"/>
    <x v="39"/>
    <x v="38"/>
    <x v="32"/>
    <x v="35"/>
    <x v="39"/>
    <x v="32"/>
    <x v="2"/>
  </r>
  <r>
    <x v="25"/>
    <x v="1"/>
    <x v="7"/>
    <x v="4"/>
    <x v="6"/>
    <x v="2"/>
    <x v="9"/>
    <x v="0"/>
    <x v="34"/>
    <x v="37"/>
    <x v="32"/>
    <x v="40"/>
    <x v="40"/>
    <x v="40"/>
    <x v="40"/>
    <x v="39"/>
    <x v="33"/>
    <x v="36"/>
    <x v="40"/>
    <x v="33"/>
    <x v="0"/>
  </r>
  <r>
    <x v="30"/>
    <x v="1"/>
    <x v="2"/>
    <x v="1"/>
    <x v="0"/>
    <x v="1"/>
    <x v="27"/>
    <x v="33"/>
    <x v="11"/>
    <x v="1"/>
    <x v="36"/>
    <x v="41"/>
    <x v="41"/>
    <x v="41"/>
    <x v="41"/>
    <x v="40"/>
    <x v="34"/>
    <x v="37"/>
    <x v="41"/>
    <x v="34"/>
    <x v="1"/>
  </r>
  <r>
    <x v="10"/>
    <x v="1"/>
    <x v="4"/>
    <x v="3"/>
    <x v="4"/>
    <x v="2"/>
    <x v="16"/>
    <x v="34"/>
    <x v="35"/>
    <x v="38"/>
    <x v="37"/>
    <x v="42"/>
    <x v="42"/>
    <x v="42"/>
    <x v="42"/>
    <x v="41"/>
    <x v="35"/>
    <x v="38"/>
    <x v="42"/>
    <x v="35"/>
    <x v="2"/>
  </r>
  <r>
    <x v="15"/>
    <x v="0"/>
    <x v="5"/>
    <x v="4"/>
    <x v="3"/>
    <x v="0"/>
    <x v="35"/>
    <x v="29"/>
    <x v="36"/>
    <x v="39"/>
    <x v="38"/>
    <x v="43"/>
    <x v="43"/>
    <x v="43"/>
    <x v="43"/>
    <x v="42"/>
    <x v="36"/>
    <x v="38"/>
    <x v="43"/>
    <x v="36"/>
    <x v="2"/>
  </r>
  <r>
    <x v="1"/>
    <x v="1"/>
    <x v="7"/>
    <x v="1"/>
    <x v="6"/>
    <x v="0"/>
    <x v="36"/>
    <x v="16"/>
    <x v="37"/>
    <x v="5"/>
    <x v="39"/>
    <x v="44"/>
    <x v="44"/>
    <x v="44"/>
    <x v="44"/>
    <x v="43"/>
    <x v="6"/>
    <x v="19"/>
    <x v="44"/>
    <x v="6"/>
    <x v="1"/>
  </r>
  <r>
    <x v="12"/>
    <x v="0"/>
    <x v="7"/>
    <x v="0"/>
    <x v="4"/>
    <x v="3"/>
    <x v="37"/>
    <x v="35"/>
    <x v="35"/>
    <x v="40"/>
    <x v="40"/>
    <x v="45"/>
    <x v="45"/>
    <x v="45"/>
    <x v="45"/>
    <x v="44"/>
    <x v="37"/>
    <x v="7"/>
    <x v="45"/>
    <x v="37"/>
    <x v="0"/>
  </r>
  <r>
    <x v="30"/>
    <x v="1"/>
    <x v="0"/>
    <x v="4"/>
    <x v="2"/>
    <x v="1"/>
    <x v="38"/>
    <x v="8"/>
    <x v="7"/>
    <x v="12"/>
    <x v="41"/>
    <x v="46"/>
    <x v="46"/>
    <x v="46"/>
    <x v="46"/>
    <x v="45"/>
    <x v="38"/>
    <x v="39"/>
    <x v="46"/>
    <x v="38"/>
    <x v="1"/>
  </r>
  <r>
    <x v="6"/>
    <x v="1"/>
    <x v="9"/>
    <x v="4"/>
    <x v="4"/>
    <x v="2"/>
    <x v="15"/>
    <x v="36"/>
    <x v="38"/>
    <x v="41"/>
    <x v="42"/>
    <x v="47"/>
    <x v="47"/>
    <x v="47"/>
    <x v="47"/>
    <x v="46"/>
    <x v="39"/>
    <x v="40"/>
    <x v="47"/>
    <x v="39"/>
    <x v="2"/>
  </r>
  <r>
    <x v="31"/>
    <x v="0"/>
    <x v="7"/>
    <x v="2"/>
    <x v="4"/>
    <x v="3"/>
    <x v="39"/>
    <x v="37"/>
    <x v="17"/>
    <x v="42"/>
    <x v="41"/>
    <x v="48"/>
    <x v="48"/>
    <x v="48"/>
    <x v="48"/>
    <x v="47"/>
    <x v="40"/>
    <x v="41"/>
    <x v="48"/>
    <x v="40"/>
    <x v="2"/>
  </r>
  <r>
    <x v="4"/>
    <x v="0"/>
    <x v="9"/>
    <x v="2"/>
    <x v="2"/>
    <x v="3"/>
    <x v="40"/>
    <x v="8"/>
    <x v="39"/>
    <x v="43"/>
    <x v="43"/>
    <x v="49"/>
    <x v="49"/>
    <x v="49"/>
    <x v="49"/>
    <x v="48"/>
    <x v="41"/>
    <x v="42"/>
    <x v="49"/>
    <x v="41"/>
    <x v="1"/>
  </r>
  <r>
    <x v="11"/>
    <x v="0"/>
    <x v="3"/>
    <x v="3"/>
    <x v="6"/>
    <x v="1"/>
    <x v="1"/>
    <x v="5"/>
    <x v="40"/>
    <x v="44"/>
    <x v="44"/>
    <x v="50"/>
    <x v="50"/>
    <x v="50"/>
    <x v="50"/>
    <x v="49"/>
    <x v="42"/>
    <x v="43"/>
    <x v="50"/>
    <x v="42"/>
    <x v="1"/>
  </r>
  <r>
    <x v="5"/>
    <x v="1"/>
    <x v="6"/>
    <x v="0"/>
    <x v="1"/>
    <x v="0"/>
    <x v="41"/>
    <x v="8"/>
    <x v="41"/>
    <x v="45"/>
    <x v="45"/>
    <x v="51"/>
    <x v="51"/>
    <x v="51"/>
    <x v="51"/>
    <x v="50"/>
    <x v="43"/>
    <x v="44"/>
    <x v="51"/>
    <x v="43"/>
    <x v="2"/>
  </r>
  <r>
    <x v="16"/>
    <x v="0"/>
    <x v="7"/>
    <x v="4"/>
    <x v="0"/>
    <x v="2"/>
    <x v="42"/>
    <x v="22"/>
    <x v="42"/>
    <x v="8"/>
    <x v="46"/>
    <x v="52"/>
    <x v="52"/>
    <x v="52"/>
    <x v="52"/>
    <x v="51"/>
    <x v="36"/>
    <x v="45"/>
    <x v="52"/>
    <x v="36"/>
    <x v="0"/>
  </r>
  <r>
    <x v="32"/>
    <x v="0"/>
    <x v="9"/>
    <x v="0"/>
    <x v="2"/>
    <x v="2"/>
    <x v="43"/>
    <x v="38"/>
    <x v="43"/>
    <x v="46"/>
    <x v="47"/>
    <x v="53"/>
    <x v="53"/>
    <x v="53"/>
    <x v="53"/>
    <x v="52"/>
    <x v="44"/>
    <x v="46"/>
    <x v="53"/>
    <x v="44"/>
    <x v="1"/>
  </r>
  <r>
    <x v="19"/>
    <x v="0"/>
    <x v="7"/>
    <x v="3"/>
    <x v="5"/>
    <x v="1"/>
    <x v="40"/>
    <x v="39"/>
    <x v="44"/>
    <x v="47"/>
    <x v="48"/>
    <x v="54"/>
    <x v="54"/>
    <x v="54"/>
    <x v="54"/>
    <x v="53"/>
    <x v="45"/>
    <x v="47"/>
    <x v="54"/>
    <x v="45"/>
    <x v="1"/>
  </r>
  <r>
    <x v="33"/>
    <x v="0"/>
    <x v="9"/>
    <x v="4"/>
    <x v="4"/>
    <x v="0"/>
    <x v="20"/>
    <x v="35"/>
    <x v="45"/>
    <x v="48"/>
    <x v="49"/>
    <x v="55"/>
    <x v="55"/>
    <x v="55"/>
    <x v="55"/>
    <x v="54"/>
    <x v="15"/>
    <x v="48"/>
    <x v="55"/>
    <x v="15"/>
    <x v="2"/>
  </r>
  <r>
    <x v="3"/>
    <x v="0"/>
    <x v="6"/>
    <x v="0"/>
    <x v="4"/>
    <x v="2"/>
    <x v="44"/>
    <x v="37"/>
    <x v="46"/>
    <x v="49"/>
    <x v="50"/>
    <x v="56"/>
    <x v="56"/>
    <x v="56"/>
    <x v="56"/>
    <x v="55"/>
    <x v="25"/>
    <x v="14"/>
    <x v="56"/>
    <x v="25"/>
    <x v="0"/>
  </r>
  <r>
    <x v="34"/>
    <x v="0"/>
    <x v="9"/>
    <x v="2"/>
    <x v="4"/>
    <x v="1"/>
    <x v="45"/>
    <x v="14"/>
    <x v="3"/>
    <x v="50"/>
    <x v="51"/>
    <x v="57"/>
    <x v="57"/>
    <x v="57"/>
    <x v="57"/>
    <x v="56"/>
    <x v="46"/>
    <x v="49"/>
    <x v="57"/>
    <x v="46"/>
    <x v="2"/>
  </r>
  <r>
    <x v="35"/>
    <x v="1"/>
    <x v="2"/>
    <x v="4"/>
    <x v="2"/>
    <x v="1"/>
    <x v="46"/>
    <x v="32"/>
    <x v="41"/>
    <x v="51"/>
    <x v="52"/>
    <x v="58"/>
    <x v="58"/>
    <x v="58"/>
    <x v="58"/>
    <x v="57"/>
    <x v="47"/>
    <x v="50"/>
    <x v="58"/>
    <x v="47"/>
    <x v="2"/>
  </r>
  <r>
    <x v="18"/>
    <x v="1"/>
    <x v="4"/>
    <x v="3"/>
    <x v="4"/>
    <x v="1"/>
    <x v="42"/>
    <x v="9"/>
    <x v="24"/>
    <x v="25"/>
    <x v="53"/>
    <x v="59"/>
    <x v="59"/>
    <x v="59"/>
    <x v="59"/>
    <x v="58"/>
    <x v="48"/>
    <x v="51"/>
    <x v="59"/>
    <x v="48"/>
    <x v="2"/>
  </r>
  <r>
    <x v="8"/>
    <x v="1"/>
    <x v="4"/>
    <x v="0"/>
    <x v="4"/>
    <x v="3"/>
    <x v="47"/>
    <x v="12"/>
    <x v="47"/>
    <x v="52"/>
    <x v="54"/>
    <x v="60"/>
    <x v="60"/>
    <x v="60"/>
    <x v="60"/>
    <x v="59"/>
    <x v="19"/>
    <x v="0"/>
    <x v="60"/>
    <x v="19"/>
    <x v="2"/>
  </r>
  <r>
    <x v="17"/>
    <x v="0"/>
    <x v="3"/>
    <x v="0"/>
    <x v="1"/>
    <x v="2"/>
    <x v="48"/>
    <x v="28"/>
    <x v="20"/>
    <x v="53"/>
    <x v="5"/>
    <x v="61"/>
    <x v="61"/>
    <x v="61"/>
    <x v="61"/>
    <x v="60"/>
    <x v="49"/>
    <x v="25"/>
    <x v="61"/>
    <x v="49"/>
    <x v="1"/>
  </r>
  <r>
    <x v="6"/>
    <x v="0"/>
    <x v="2"/>
    <x v="2"/>
    <x v="1"/>
    <x v="1"/>
    <x v="49"/>
    <x v="7"/>
    <x v="24"/>
    <x v="37"/>
    <x v="55"/>
    <x v="62"/>
    <x v="62"/>
    <x v="62"/>
    <x v="62"/>
    <x v="61"/>
    <x v="50"/>
    <x v="52"/>
    <x v="62"/>
    <x v="50"/>
    <x v="2"/>
  </r>
  <r>
    <x v="36"/>
    <x v="0"/>
    <x v="5"/>
    <x v="4"/>
    <x v="2"/>
    <x v="0"/>
    <x v="27"/>
    <x v="9"/>
    <x v="24"/>
    <x v="48"/>
    <x v="56"/>
    <x v="63"/>
    <x v="63"/>
    <x v="63"/>
    <x v="63"/>
    <x v="62"/>
    <x v="51"/>
    <x v="53"/>
    <x v="63"/>
    <x v="51"/>
    <x v="1"/>
  </r>
  <r>
    <x v="37"/>
    <x v="1"/>
    <x v="9"/>
    <x v="0"/>
    <x v="0"/>
    <x v="1"/>
    <x v="18"/>
    <x v="24"/>
    <x v="48"/>
    <x v="54"/>
    <x v="57"/>
    <x v="64"/>
    <x v="64"/>
    <x v="64"/>
    <x v="64"/>
    <x v="63"/>
    <x v="52"/>
    <x v="43"/>
    <x v="64"/>
    <x v="52"/>
    <x v="2"/>
  </r>
  <r>
    <x v="31"/>
    <x v="1"/>
    <x v="0"/>
    <x v="4"/>
    <x v="0"/>
    <x v="0"/>
    <x v="50"/>
    <x v="40"/>
    <x v="22"/>
    <x v="7"/>
    <x v="58"/>
    <x v="65"/>
    <x v="65"/>
    <x v="65"/>
    <x v="65"/>
    <x v="64"/>
    <x v="52"/>
    <x v="54"/>
    <x v="65"/>
    <x v="52"/>
    <x v="2"/>
  </r>
  <r>
    <x v="19"/>
    <x v="1"/>
    <x v="7"/>
    <x v="2"/>
    <x v="3"/>
    <x v="1"/>
    <x v="51"/>
    <x v="15"/>
    <x v="29"/>
    <x v="27"/>
    <x v="59"/>
    <x v="66"/>
    <x v="66"/>
    <x v="66"/>
    <x v="66"/>
    <x v="65"/>
    <x v="53"/>
    <x v="55"/>
    <x v="66"/>
    <x v="53"/>
    <x v="1"/>
  </r>
  <r>
    <x v="17"/>
    <x v="0"/>
    <x v="7"/>
    <x v="4"/>
    <x v="6"/>
    <x v="3"/>
    <x v="37"/>
    <x v="41"/>
    <x v="49"/>
    <x v="55"/>
    <x v="60"/>
    <x v="67"/>
    <x v="67"/>
    <x v="67"/>
    <x v="67"/>
    <x v="66"/>
    <x v="54"/>
    <x v="56"/>
    <x v="67"/>
    <x v="54"/>
    <x v="1"/>
  </r>
  <r>
    <x v="6"/>
    <x v="1"/>
    <x v="2"/>
    <x v="1"/>
    <x v="4"/>
    <x v="2"/>
    <x v="52"/>
    <x v="42"/>
    <x v="36"/>
    <x v="56"/>
    <x v="53"/>
    <x v="68"/>
    <x v="68"/>
    <x v="68"/>
    <x v="68"/>
    <x v="67"/>
    <x v="55"/>
    <x v="57"/>
    <x v="68"/>
    <x v="55"/>
    <x v="2"/>
  </r>
  <r>
    <x v="8"/>
    <x v="0"/>
    <x v="6"/>
    <x v="1"/>
    <x v="6"/>
    <x v="2"/>
    <x v="53"/>
    <x v="23"/>
    <x v="50"/>
    <x v="51"/>
    <x v="61"/>
    <x v="69"/>
    <x v="69"/>
    <x v="69"/>
    <x v="69"/>
    <x v="68"/>
    <x v="56"/>
    <x v="20"/>
    <x v="69"/>
    <x v="56"/>
    <x v="2"/>
  </r>
  <r>
    <x v="21"/>
    <x v="0"/>
    <x v="4"/>
    <x v="1"/>
    <x v="4"/>
    <x v="3"/>
    <x v="14"/>
    <x v="43"/>
    <x v="46"/>
    <x v="57"/>
    <x v="62"/>
    <x v="70"/>
    <x v="70"/>
    <x v="70"/>
    <x v="70"/>
    <x v="69"/>
    <x v="57"/>
    <x v="58"/>
    <x v="70"/>
    <x v="57"/>
    <x v="0"/>
  </r>
  <r>
    <x v="38"/>
    <x v="1"/>
    <x v="9"/>
    <x v="2"/>
    <x v="5"/>
    <x v="3"/>
    <x v="26"/>
    <x v="44"/>
    <x v="30"/>
    <x v="58"/>
    <x v="63"/>
    <x v="71"/>
    <x v="71"/>
    <x v="71"/>
    <x v="71"/>
    <x v="70"/>
    <x v="58"/>
    <x v="59"/>
    <x v="71"/>
    <x v="58"/>
    <x v="2"/>
  </r>
  <r>
    <x v="39"/>
    <x v="0"/>
    <x v="6"/>
    <x v="1"/>
    <x v="2"/>
    <x v="2"/>
    <x v="25"/>
    <x v="5"/>
    <x v="51"/>
    <x v="59"/>
    <x v="64"/>
    <x v="72"/>
    <x v="72"/>
    <x v="72"/>
    <x v="72"/>
    <x v="34"/>
    <x v="59"/>
    <x v="60"/>
    <x v="72"/>
    <x v="59"/>
    <x v="2"/>
  </r>
  <r>
    <x v="40"/>
    <x v="1"/>
    <x v="0"/>
    <x v="4"/>
    <x v="1"/>
    <x v="0"/>
    <x v="53"/>
    <x v="19"/>
    <x v="3"/>
    <x v="20"/>
    <x v="65"/>
    <x v="73"/>
    <x v="73"/>
    <x v="73"/>
    <x v="73"/>
    <x v="71"/>
    <x v="27"/>
    <x v="61"/>
    <x v="73"/>
    <x v="27"/>
    <x v="2"/>
  </r>
  <r>
    <x v="31"/>
    <x v="1"/>
    <x v="1"/>
    <x v="4"/>
    <x v="5"/>
    <x v="1"/>
    <x v="23"/>
    <x v="45"/>
    <x v="5"/>
    <x v="60"/>
    <x v="66"/>
    <x v="74"/>
    <x v="74"/>
    <x v="74"/>
    <x v="74"/>
    <x v="72"/>
    <x v="60"/>
    <x v="62"/>
    <x v="74"/>
    <x v="60"/>
    <x v="2"/>
  </r>
  <r>
    <x v="41"/>
    <x v="1"/>
    <x v="3"/>
    <x v="4"/>
    <x v="2"/>
    <x v="2"/>
    <x v="44"/>
    <x v="13"/>
    <x v="25"/>
    <x v="61"/>
    <x v="67"/>
    <x v="75"/>
    <x v="75"/>
    <x v="75"/>
    <x v="75"/>
    <x v="73"/>
    <x v="38"/>
    <x v="63"/>
    <x v="75"/>
    <x v="38"/>
    <x v="2"/>
  </r>
  <r>
    <x v="4"/>
    <x v="1"/>
    <x v="7"/>
    <x v="1"/>
    <x v="0"/>
    <x v="2"/>
    <x v="54"/>
    <x v="41"/>
    <x v="32"/>
    <x v="62"/>
    <x v="68"/>
    <x v="76"/>
    <x v="76"/>
    <x v="76"/>
    <x v="76"/>
    <x v="74"/>
    <x v="61"/>
    <x v="64"/>
    <x v="76"/>
    <x v="61"/>
    <x v="1"/>
  </r>
  <r>
    <x v="28"/>
    <x v="0"/>
    <x v="3"/>
    <x v="0"/>
    <x v="1"/>
    <x v="2"/>
    <x v="55"/>
    <x v="9"/>
    <x v="37"/>
    <x v="23"/>
    <x v="69"/>
    <x v="77"/>
    <x v="77"/>
    <x v="77"/>
    <x v="77"/>
    <x v="75"/>
    <x v="31"/>
    <x v="65"/>
    <x v="77"/>
    <x v="31"/>
    <x v="0"/>
  </r>
  <r>
    <x v="42"/>
    <x v="1"/>
    <x v="1"/>
    <x v="4"/>
    <x v="4"/>
    <x v="1"/>
    <x v="56"/>
    <x v="11"/>
    <x v="27"/>
    <x v="17"/>
    <x v="70"/>
    <x v="78"/>
    <x v="78"/>
    <x v="78"/>
    <x v="78"/>
    <x v="76"/>
    <x v="62"/>
    <x v="66"/>
    <x v="78"/>
    <x v="62"/>
    <x v="2"/>
  </r>
  <r>
    <x v="41"/>
    <x v="1"/>
    <x v="8"/>
    <x v="1"/>
    <x v="1"/>
    <x v="3"/>
    <x v="55"/>
    <x v="12"/>
    <x v="39"/>
    <x v="35"/>
    <x v="71"/>
    <x v="79"/>
    <x v="79"/>
    <x v="79"/>
    <x v="79"/>
    <x v="77"/>
    <x v="63"/>
    <x v="67"/>
    <x v="79"/>
    <x v="63"/>
    <x v="2"/>
  </r>
  <r>
    <x v="5"/>
    <x v="0"/>
    <x v="6"/>
    <x v="4"/>
    <x v="4"/>
    <x v="1"/>
    <x v="57"/>
    <x v="46"/>
    <x v="48"/>
    <x v="43"/>
    <x v="72"/>
    <x v="80"/>
    <x v="80"/>
    <x v="80"/>
    <x v="80"/>
    <x v="78"/>
    <x v="27"/>
    <x v="34"/>
    <x v="80"/>
    <x v="27"/>
    <x v="2"/>
  </r>
  <r>
    <x v="42"/>
    <x v="1"/>
    <x v="1"/>
    <x v="3"/>
    <x v="5"/>
    <x v="1"/>
    <x v="27"/>
    <x v="27"/>
    <x v="52"/>
    <x v="63"/>
    <x v="73"/>
    <x v="81"/>
    <x v="81"/>
    <x v="81"/>
    <x v="81"/>
    <x v="79"/>
    <x v="64"/>
    <x v="68"/>
    <x v="81"/>
    <x v="64"/>
    <x v="2"/>
  </r>
  <r>
    <x v="1"/>
    <x v="0"/>
    <x v="0"/>
    <x v="0"/>
    <x v="3"/>
    <x v="0"/>
    <x v="58"/>
    <x v="47"/>
    <x v="24"/>
    <x v="64"/>
    <x v="74"/>
    <x v="82"/>
    <x v="82"/>
    <x v="82"/>
    <x v="82"/>
    <x v="80"/>
    <x v="65"/>
    <x v="69"/>
    <x v="82"/>
    <x v="65"/>
    <x v="1"/>
  </r>
  <r>
    <x v="5"/>
    <x v="1"/>
    <x v="7"/>
    <x v="4"/>
    <x v="3"/>
    <x v="2"/>
    <x v="59"/>
    <x v="32"/>
    <x v="16"/>
    <x v="29"/>
    <x v="75"/>
    <x v="83"/>
    <x v="83"/>
    <x v="83"/>
    <x v="83"/>
    <x v="81"/>
    <x v="66"/>
    <x v="70"/>
    <x v="83"/>
    <x v="66"/>
    <x v="2"/>
  </r>
  <r>
    <x v="41"/>
    <x v="1"/>
    <x v="6"/>
    <x v="2"/>
    <x v="1"/>
    <x v="2"/>
    <x v="3"/>
    <x v="37"/>
    <x v="53"/>
    <x v="65"/>
    <x v="76"/>
    <x v="84"/>
    <x v="84"/>
    <x v="84"/>
    <x v="84"/>
    <x v="82"/>
    <x v="67"/>
    <x v="19"/>
    <x v="49"/>
    <x v="67"/>
    <x v="2"/>
  </r>
  <r>
    <x v="28"/>
    <x v="0"/>
    <x v="0"/>
    <x v="0"/>
    <x v="0"/>
    <x v="3"/>
    <x v="54"/>
    <x v="46"/>
    <x v="54"/>
    <x v="43"/>
    <x v="77"/>
    <x v="85"/>
    <x v="85"/>
    <x v="85"/>
    <x v="85"/>
    <x v="83"/>
    <x v="68"/>
    <x v="34"/>
    <x v="84"/>
    <x v="68"/>
    <x v="0"/>
  </r>
  <r>
    <x v="43"/>
    <x v="1"/>
    <x v="5"/>
    <x v="2"/>
    <x v="5"/>
    <x v="3"/>
    <x v="57"/>
    <x v="48"/>
    <x v="55"/>
    <x v="66"/>
    <x v="78"/>
    <x v="86"/>
    <x v="86"/>
    <x v="86"/>
    <x v="86"/>
    <x v="84"/>
    <x v="69"/>
    <x v="25"/>
    <x v="85"/>
    <x v="69"/>
    <x v="2"/>
  </r>
  <r>
    <x v="9"/>
    <x v="1"/>
    <x v="8"/>
    <x v="2"/>
    <x v="5"/>
    <x v="0"/>
    <x v="19"/>
    <x v="34"/>
    <x v="47"/>
    <x v="43"/>
    <x v="79"/>
    <x v="87"/>
    <x v="87"/>
    <x v="87"/>
    <x v="87"/>
    <x v="85"/>
    <x v="40"/>
    <x v="71"/>
    <x v="86"/>
    <x v="40"/>
    <x v="0"/>
  </r>
  <r>
    <x v="44"/>
    <x v="1"/>
    <x v="8"/>
    <x v="2"/>
    <x v="3"/>
    <x v="2"/>
    <x v="28"/>
    <x v="49"/>
    <x v="55"/>
    <x v="67"/>
    <x v="80"/>
    <x v="88"/>
    <x v="88"/>
    <x v="88"/>
    <x v="88"/>
    <x v="86"/>
    <x v="15"/>
    <x v="24"/>
    <x v="87"/>
    <x v="15"/>
    <x v="2"/>
  </r>
  <r>
    <x v="30"/>
    <x v="1"/>
    <x v="3"/>
    <x v="3"/>
    <x v="6"/>
    <x v="3"/>
    <x v="17"/>
    <x v="25"/>
    <x v="33"/>
    <x v="68"/>
    <x v="81"/>
    <x v="89"/>
    <x v="89"/>
    <x v="89"/>
    <x v="89"/>
    <x v="87"/>
    <x v="70"/>
    <x v="72"/>
    <x v="88"/>
    <x v="70"/>
    <x v="1"/>
  </r>
  <r>
    <x v="35"/>
    <x v="0"/>
    <x v="8"/>
    <x v="4"/>
    <x v="0"/>
    <x v="0"/>
    <x v="59"/>
    <x v="50"/>
    <x v="56"/>
    <x v="20"/>
    <x v="82"/>
    <x v="16"/>
    <x v="90"/>
    <x v="90"/>
    <x v="90"/>
    <x v="88"/>
    <x v="38"/>
    <x v="73"/>
    <x v="89"/>
    <x v="38"/>
    <x v="2"/>
  </r>
  <r>
    <x v="45"/>
    <x v="1"/>
    <x v="5"/>
    <x v="3"/>
    <x v="0"/>
    <x v="0"/>
    <x v="44"/>
    <x v="51"/>
    <x v="57"/>
    <x v="32"/>
    <x v="83"/>
    <x v="90"/>
    <x v="91"/>
    <x v="91"/>
    <x v="91"/>
    <x v="89"/>
    <x v="51"/>
    <x v="74"/>
    <x v="90"/>
    <x v="51"/>
    <x v="2"/>
  </r>
  <r>
    <x v="34"/>
    <x v="1"/>
    <x v="5"/>
    <x v="2"/>
    <x v="1"/>
    <x v="1"/>
    <x v="60"/>
    <x v="13"/>
    <x v="58"/>
    <x v="69"/>
    <x v="84"/>
    <x v="91"/>
    <x v="92"/>
    <x v="92"/>
    <x v="92"/>
    <x v="90"/>
    <x v="31"/>
    <x v="10"/>
    <x v="91"/>
    <x v="31"/>
    <x v="2"/>
  </r>
  <r>
    <x v="46"/>
    <x v="1"/>
    <x v="9"/>
    <x v="0"/>
    <x v="5"/>
    <x v="1"/>
    <x v="33"/>
    <x v="52"/>
    <x v="37"/>
    <x v="67"/>
    <x v="61"/>
    <x v="92"/>
    <x v="93"/>
    <x v="93"/>
    <x v="93"/>
    <x v="91"/>
    <x v="71"/>
    <x v="75"/>
    <x v="92"/>
    <x v="71"/>
    <x v="1"/>
  </r>
  <r>
    <x v="5"/>
    <x v="1"/>
    <x v="2"/>
    <x v="1"/>
    <x v="3"/>
    <x v="1"/>
    <x v="35"/>
    <x v="38"/>
    <x v="19"/>
    <x v="13"/>
    <x v="85"/>
    <x v="93"/>
    <x v="94"/>
    <x v="94"/>
    <x v="94"/>
    <x v="92"/>
    <x v="72"/>
    <x v="76"/>
    <x v="93"/>
    <x v="72"/>
    <x v="2"/>
  </r>
  <r>
    <x v="47"/>
    <x v="1"/>
    <x v="2"/>
    <x v="1"/>
    <x v="3"/>
    <x v="3"/>
    <x v="61"/>
    <x v="53"/>
    <x v="15"/>
    <x v="38"/>
    <x v="86"/>
    <x v="94"/>
    <x v="95"/>
    <x v="95"/>
    <x v="95"/>
    <x v="93"/>
    <x v="73"/>
    <x v="77"/>
    <x v="94"/>
    <x v="73"/>
    <x v="0"/>
  </r>
  <r>
    <x v="48"/>
    <x v="0"/>
    <x v="5"/>
    <x v="0"/>
    <x v="5"/>
    <x v="3"/>
    <x v="62"/>
    <x v="54"/>
    <x v="22"/>
    <x v="70"/>
    <x v="87"/>
    <x v="95"/>
    <x v="96"/>
    <x v="96"/>
    <x v="96"/>
    <x v="94"/>
    <x v="68"/>
    <x v="78"/>
    <x v="95"/>
    <x v="68"/>
    <x v="2"/>
  </r>
  <r>
    <x v="39"/>
    <x v="1"/>
    <x v="4"/>
    <x v="1"/>
    <x v="6"/>
    <x v="0"/>
    <x v="63"/>
    <x v="37"/>
    <x v="38"/>
    <x v="2"/>
    <x v="88"/>
    <x v="96"/>
    <x v="97"/>
    <x v="97"/>
    <x v="97"/>
    <x v="95"/>
    <x v="23"/>
    <x v="79"/>
    <x v="96"/>
    <x v="23"/>
    <x v="2"/>
  </r>
  <r>
    <x v="21"/>
    <x v="0"/>
    <x v="8"/>
    <x v="0"/>
    <x v="3"/>
    <x v="0"/>
    <x v="64"/>
    <x v="45"/>
    <x v="44"/>
    <x v="8"/>
    <x v="89"/>
    <x v="97"/>
    <x v="98"/>
    <x v="98"/>
    <x v="98"/>
    <x v="96"/>
    <x v="74"/>
    <x v="80"/>
    <x v="97"/>
    <x v="74"/>
    <x v="0"/>
  </r>
  <r>
    <x v="4"/>
    <x v="1"/>
    <x v="7"/>
    <x v="4"/>
    <x v="6"/>
    <x v="2"/>
    <x v="61"/>
    <x v="28"/>
    <x v="22"/>
    <x v="71"/>
    <x v="90"/>
    <x v="98"/>
    <x v="99"/>
    <x v="99"/>
    <x v="99"/>
    <x v="97"/>
    <x v="75"/>
    <x v="81"/>
    <x v="98"/>
    <x v="75"/>
    <x v="1"/>
  </r>
  <r>
    <x v="20"/>
    <x v="0"/>
    <x v="7"/>
    <x v="4"/>
    <x v="3"/>
    <x v="1"/>
    <x v="8"/>
    <x v="44"/>
    <x v="0"/>
    <x v="72"/>
    <x v="91"/>
    <x v="99"/>
    <x v="100"/>
    <x v="100"/>
    <x v="100"/>
    <x v="98"/>
    <x v="76"/>
    <x v="82"/>
    <x v="99"/>
    <x v="76"/>
    <x v="1"/>
  </r>
  <r>
    <x v="22"/>
    <x v="1"/>
    <x v="6"/>
    <x v="3"/>
    <x v="3"/>
    <x v="3"/>
    <x v="65"/>
    <x v="53"/>
    <x v="53"/>
    <x v="11"/>
    <x v="92"/>
    <x v="100"/>
    <x v="101"/>
    <x v="101"/>
    <x v="101"/>
    <x v="99"/>
    <x v="77"/>
    <x v="83"/>
    <x v="100"/>
    <x v="77"/>
    <x v="0"/>
  </r>
  <r>
    <x v="0"/>
    <x v="0"/>
    <x v="4"/>
    <x v="4"/>
    <x v="5"/>
    <x v="3"/>
    <x v="57"/>
    <x v="45"/>
    <x v="12"/>
    <x v="73"/>
    <x v="4"/>
    <x v="101"/>
    <x v="102"/>
    <x v="102"/>
    <x v="102"/>
    <x v="96"/>
    <x v="22"/>
    <x v="59"/>
    <x v="101"/>
    <x v="22"/>
    <x v="0"/>
  </r>
  <r>
    <x v="33"/>
    <x v="1"/>
    <x v="4"/>
    <x v="0"/>
    <x v="1"/>
    <x v="1"/>
    <x v="66"/>
    <x v="41"/>
    <x v="6"/>
    <x v="74"/>
    <x v="7"/>
    <x v="102"/>
    <x v="103"/>
    <x v="103"/>
    <x v="103"/>
    <x v="100"/>
    <x v="42"/>
    <x v="66"/>
    <x v="102"/>
    <x v="42"/>
    <x v="2"/>
  </r>
  <r>
    <x v="49"/>
    <x v="0"/>
    <x v="8"/>
    <x v="3"/>
    <x v="3"/>
    <x v="0"/>
    <x v="67"/>
    <x v="55"/>
    <x v="13"/>
    <x v="33"/>
    <x v="11"/>
    <x v="103"/>
    <x v="104"/>
    <x v="104"/>
    <x v="104"/>
    <x v="101"/>
    <x v="75"/>
    <x v="83"/>
    <x v="103"/>
    <x v="75"/>
    <x v="1"/>
  </r>
  <r>
    <x v="35"/>
    <x v="0"/>
    <x v="2"/>
    <x v="3"/>
    <x v="4"/>
    <x v="3"/>
    <x v="31"/>
    <x v="28"/>
    <x v="48"/>
    <x v="75"/>
    <x v="93"/>
    <x v="104"/>
    <x v="105"/>
    <x v="105"/>
    <x v="105"/>
    <x v="102"/>
    <x v="78"/>
    <x v="84"/>
    <x v="104"/>
    <x v="78"/>
    <x v="2"/>
  </r>
  <r>
    <x v="50"/>
    <x v="0"/>
    <x v="2"/>
    <x v="1"/>
    <x v="4"/>
    <x v="2"/>
    <x v="0"/>
    <x v="0"/>
    <x v="59"/>
    <x v="76"/>
    <x v="94"/>
    <x v="105"/>
    <x v="106"/>
    <x v="106"/>
    <x v="106"/>
    <x v="103"/>
    <x v="0"/>
    <x v="31"/>
    <x v="105"/>
    <x v="0"/>
    <x v="2"/>
  </r>
  <r>
    <x v="37"/>
    <x v="0"/>
    <x v="5"/>
    <x v="3"/>
    <x v="3"/>
    <x v="0"/>
    <x v="47"/>
    <x v="56"/>
    <x v="0"/>
    <x v="77"/>
    <x v="7"/>
    <x v="106"/>
    <x v="107"/>
    <x v="107"/>
    <x v="107"/>
    <x v="104"/>
    <x v="79"/>
    <x v="85"/>
    <x v="106"/>
    <x v="79"/>
    <x v="2"/>
  </r>
  <r>
    <x v="30"/>
    <x v="1"/>
    <x v="3"/>
    <x v="3"/>
    <x v="1"/>
    <x v="3"/>
    <x v="41"/>
    <x v="9"/>
    <x v="38"/>
    <x v="2"/>
    <x v="95"/>
    <x v="74"/>
    <x v="108"/>
    <x v="108"/>
    <x v="108"/>
    <x v="105"/>
    <x v="80"/>
    <x v="86"/>
    <x v="107"/>
    <x v="80"/>
    <x v="1"/>
  </r>
  <r>
    <x v="49"/>
    <x v="0"/>
    <x v="8"/>
    <x v="2"/>
    <x v="5"/>
    <x v="0"/>
    <x v="68"/>
    <x v="42"/>
    <x v="60"/>
    <x v="23"/>
    <x v="96"/>
    <x v="107"/>
    <x v="109"/>
    <x v="109"/>
    <x v="109"/>
    <x v="106"/>
    <x v="81"/>
    <x v="87"/>
    <x v="108"/>
    <x v="81"/>
    <x v="1"/>
  </r>
  <r>
    <x v="4"/>
    <x v="1"/>
    <x v="9"/>
    <x v="3"/>
    <x v="2"/>
    <x v="2"/>
    <x v="69"/>
    <x v="57"/>
    <x v="61"/>
    <x v="63"/>
    <x v="97"/>
    <x v="108"/>
    <x v="110"/>
    <x v="110"/>
    <x v="110"/>
    <x v="107"/>
    <x v="82"/>
    <x v="88"/>
    <x v="109"/>
    <x v="82"/>
    <x v="1"/>
  </r>
  <r>
    <x v="12"/>
    <x v="0"/>
    <x v="7"/>
    <x v="4"/>
    <x v="5"/>
    <x v="3"/>
    <x v="70"/>
    <x v="9"/>
    <x v="1"/>
    <x v="2"/>
    <x v="98"/>
    <x v="109"/>
    <x v="111"/>
    <x v="111"/>
    <x v="111"/>
    <x v="108"/>
    <x v="21"/>
    <x v="86"/>
    <x v="110"/>
    <x v="21"/>
    <x v="0"/>
  </r>
  <r>
    <x v="10"/>
    <x v="0"/>
    <x v="8"/>
    <x v="3"/>
    <x v="5"/>
    <x v="3"/>
    <x v="14"/>
    <x v="38"/>
    <x v="55"/>
    <x v="32"/>
    <x v="99"/>
    <x v="110"/>
    <x v="112"/>
    <x v="112"/>
    <x v="112"/>
    <x v="109"/>
    <x v="83"/>
    <x v="89"/>
    <x v="111"/>
    <x v="83"/>
    <x v="2"/>
  </r>
  <r>
    <x v="51"/>
    <x v="0"/>
    <x v="0"/>
    <x v="4"/>
    <x v="0"/>
    <x v="3"/>
    <x v="39"/>
    <x v="24"/>
    <x v="33"/>
    <x v="41"/>
    <x v="100"/>
    <x v="111"/>
    <x v="113"/>
    <x v="113"/>
    <x v="113"/>
    <x v="110"/>
    <x v="72"/>
    <x v="90"/>
    <x v="112"/>
    <x v="72"/>
    <x v="2"/>
  </r>
  <r>
    <x v="27"/>
    <x v="0"/>
    <x v="5"/>
    <x v="0"/>
    <x v="0"/>
    <x v="3"/>
    <x v="71"/>
    <x v="58"/>
    <x v="21"/>
    <x v="78"/>
    <x v="101"/>
    <x v="112"/>
    <x v="114"/>
    <x v="114"/>
    <x v="114"/>
    <x v="111"/>
    <x v="15"/>
    <x v="8"/>
    <x v="113"/>
    <x v="15"/>
    <x v="0"/>
  </r>
  <r>
    <x v="52"/>
    <x v="0"/>
    <x v="8"/>
    <x v="4"/>
    <x v="6"/>
    <x v="1"/>
    <x v="67"/>
    <x v="20"/>
    <x v="9"/>
    <x v="79"/>
    <x v="102"/>
    <x v="113"/>
    <x v="115"/>
    <x v="115"/>
    <x v="115"/>
    <x v="112"/>
    <x v="31"/>
    <x v="91"/>
    <x v="114"/>
    <x v="31"/>
    <x v="2"/>
  </r>
  <r>
    <x v="28"/>
    <x v="0"/>
    <x v="3"/>
    <x v="2"/>
    <x v="4"/>
    <x v="3"/>
    <x v="72"/>
    <x v="11"/>
    <x v="62"/>
    <x v="80"/>
    <x v="53"/>
    <x v="114"/>
    <x v="116"/>
    <x v="116"/>
    <x v="116"/>
    <x v="113"/>
    <x v="84"/>
    <x v="10"/>
    <x v="115"/>
    <x v="84"/>
    <x v="0"/>
  </r>
  <r>
    <x v="31"/>
    <x v="0"/>
    <x v="0"/>
    <x v="1"/>
    <x v="0"/>
    <x v="0"/>
    <x v="3"/>
    <x v="13"/>
    <x v="35"/>
    <x v="81"/>
    <x v="103"/>
    <x v="115"/>
    <x v="117"/>
    <x v="117"/>
    <x v="117"/>
    <x v="114"/>
    <x v="13"/>
    <x v="73"/>
    <x v="116"/>
    <x v="13"/>
    <x v="2"/>
  </r>
  <r>
    <x v="16"/>
    <x v="0"/>
    <x v="3"/>
    <x v="0"/>
    <x v="1"/>
    <x v="3"/>
    <x v="73"/>
    <x v="7"/>
    <x v="2"/>
    <x v="82"/>
    <x v="104"/>
    <x v="116"/>
    <x v="118"/>
    <x v="118"/>
    <x v="118"/>
    <x v="115"/>
    <x v="42"/>
    <x v="61"/>
    <x v="117"/>
    <x v="42"/>
    <x v="0"/>
  </r>
  <r>
    <x v="1"/>
    <x v="0"/>
    <x v="4"/>
    <x v="1"/>
    <x v="0"/>
    <x v="3"/>
    <x v="74"/>
    <x v="58"/>
    <x v="63"/>
    <x v="83"/>
    <x v="105"/>
    <x v="117"/>
    <x v="119"/>
    <x v="119"/>
    <x v="119"/>
    <x v="116"/>
    <x v="85"/>
    <x v="6"/>
    <x v="118"/>
    <x v="85"/>
    <x v="1"/>
  </r>
  <r>
    <x v="50"/>
    <x v="1"/>
    <x v="1"/>
    <x v="1"/>
    <x v="3"/>
    <x v="3"/>
    <x v="64"/>
    <x v="36"/>
    <x v="24"/>
    <x v="84"/>
    <x v="106"/>
    <x v="118"/>
    <x v="120"/>
    <x v="120"/>
    <x v="120"/>
    <x v="117"/>
    <x v="86"/>
    <x v="92"/>
    <x v="119"/>
    <x v="86"/>
    <x v="2"/>
  </r>
  <r>
    <x v="11"/>
    <x v="1"/>
    <x v="9"/>
    <x v="2"/>
    <x v="6"/>
    <x v="0"/>
    <x v="19"/>
    <x v="44"/>
    <x v="64"/>
    <x v="85"/>
    <x v="107"/>
    <x v="119"/>
    <x v="121"/>
    <x v="121"/>
    <x v="121"/>
    <x v="118"/>
    <x v="66"/>
    <x v="27"/>
    <x v="120"/>
    <x v="66"/>
    <x v="1"/>
  </r>
  <r>
    <x v="14"/>
    <x v="1"/>
    <x v="3"/>
    <x v="1"/>
    <x v="6"/>
    <x v="1"/>
    <x v="57"/>
    <x v="1"/>
    <x v="32"/>
    <x v="18"/>
    <x v="108"/>
    <x v="120"/>
    <x v="122"/>
    <x v="122"/>
    <x v="122"/>
    <x v="119"/>
    <x v="39"/>
    <x v="7"/>
    <x v="121"/>
    <x v="39"/>
    <x v="2"/>
  </r>
  <r>
    <x v="22"/>
    <x v="1"/>
    <x v="4"/>
    <x v="3"/>
    <x v="2"/>
    <x v="1"/>
    <x v="75"/>
    <x v="45"/>
    <x v="65"/>
    <x v="86"/>
    <x v="109"/>
    <x v="121"/>
    <x v="123"/>
    <x v="123"/>
    <x v="123"/>
    <x v="120"/>
    <x v="87"/>
    <x v="93"/>
    <x v="122"/>
    <x v="87"/>
    <x v="0"/>
  </r>
  <r>
    <x v="3"/>
    <x v="1"/>
    <x v="1"/>
    <x v="4"/>
    <x v="3"/>
    <x v="0"/>
    <x v="6"/>
    <x v="59"/>
    <x v="66"/>
    <x v="23"/>
    <x v="110"/>
    <x v="122"/>
    <x v="124"/>
    <x v="124"/>
    <x v="124"/>
    <x v="121"/>
    <x v="88"/>
    <x v="94"/>
    <x v="123"/>
    <x v="88"/>
    <x v="0"/>
  </r>
  <r>
    <x v="50"/>
    <x v="0"/>
    <x v="9"/>
    <x v="3"/>
    <x v="6"/>
    <x v="0"/>
    <x v="42"/>
    <x v="26"/>
    <x v="32"/>
    <x v="9"/>
    <x v="111"/>
    <x v="123"/>
    <x v="125"/>
    <x v="125"/>
    <x v="125"/>
    <x v="122"/>
    <x v="89"/>
    <x v="95"/>
    <x v="124"/>
    <x v="89"/>
    <x v="2"/>
  </r>
  <r>
    <x v="0"/>
    <x v="1"/>
    <x v="2"/>
    <x v="4"/>
    <x v="4"/>
    <x v="1"/>
    <x v="42"/>
    <x v="60"/>
    <x v="67"/>
    <x v="11"/>
    <x v="112"/>
    <x v="124"/>
    <x v="126"/>
    <x v="126"/>
    <x v="126"/>
    <x v="123"/>
    <x v="80"/>
    <x v="64"/>
    <x v="125"/>
    <x v="80"/>
    <x v="0"/>
  </r>
  <r>
    <x v="6"/>
    <x v="0"/>
    <x v="0"/>
    <x v="3"/>
    <x v="3"/>
    <x v="0"/>
    <x v="72"/>
    <x v="43"/>
    <x v="67"/>
    <x v="56"/>
    <x v="35"/>
    <x v="125"/>
    <x v="127"/>
    <x v="127"/>
    <x v="127"/>
    <x v="124"/>
    <x v="90"/>
    <x v="96"/>
    <x v="126"/>
    <x v="90"/>
    <x v="2"/>
  </r>
  <r>
    <x v="53"/>
    <x v="0"/>
    <x v="9"/>
    <x v="0"/>
    <x v="4"/>
    <x v="2"/>
    <x v="36"/>
    <x v="34"/>
    <x v="68"/>
    <x v="33"/>
    <x v="113"/>
    <x v="126"/>
    <x v="128"/>
    <x v="128"/>
    <x v="128"/>
    <x v="125"/>
    <x v="85"/>
    <x v="97"/>
    <x v="127"/>
    <x v="85"/>
    <x v="1"/>
  </r>
  <r>
    <x v="47"/>
    <x v="1"/>
    <x v="3"/>
    <x v="0"/>
    <x v="2"/>
    <x v="3"/>
    <x v="76"/>
    <x v="2"/>
    <x v="67"/>
    <x v="1"/>
    <x v="13"/>
    <x v="127"/>
    <x v="129"/>
    <x v="129"/>
    <x v="129"/>
    <x v="126"/>
    <x v="78"/>
    <x v="55"/>
    <x v="128"/>
    <x v="78"/>
    <x v="0"/>
  </r>
  <r>
    <x v="7"/>
    <x v="1"/>
    <x v="6"/>
    <x v="2"/>
    <x v="4"/>
    <x v="2"/>
    <x v="60"/>
    <x v="29"/>
    <x v="30"/>
    <x v="67"/>
    <x v="114"/>
    <x v="128"/>
    <x v="130"/>
    <x v="130"/>
    <x v="130"/>
    <x v="82"/>
    <x v="91"/>
    <x v="55"/>
    <x v="129"/>
    <x v="91"/>
    <x v="2"/>
  </r>
  <r>
    <x v="4"/>
    <x v="0"/>
    <x v="2"/>
    <x v="1"/>
    <x v="4"/>
    <x v="3"/>
    <x v="34"/>
    <x v="61"/>
    <x v="50"/>
    <x v="87"/>
    <x v="74"/>
    <x v="129"/>
    <x v="131"/>
    <x v="131"/>
    <x v="131"/>
    <x v="127"/>
    <x v="27"/>
    <x v="57"/>
    <x v="130"/>
    <x v="27"/>
    <x v="1"/>
  </r>
  <r>
    <x v="35"/>
    <x v="1"/>
    <x v="7"/>
    <x v="2"/>
    <x v="1"/>
    <x v="0"/>
    <x v="77"/>
    <x v="16"/>
    <x v="52"/>
    <x v="48"/>
    <x v="115"/>
    <x v="130"/>
    <x v="132"/>
    <x v="132"/>
    <x v="132"/>
    <x v="128"/>
    <x v="42"/>
    <x v="98"/>
    <x v="131"/>
    <x v="42"/>
    <x v="2"/>
  </r>
  <r>
    <x v="49"/>
    <x v="1"/>
    <x v="1"/>
    <x v="0"/>
    <x v="3"/>
    <x v="1"/>
    <x v="21"/>
    <x v="25"/>
    <x v="69"/>
    <x v="14"/>
    <x v="116"/>
    <x v="131"/>
    <x v="133"/>
    <x v="133"/>
    <x v="133"/>
    <x v="129"/>
    <x v="92"/>
    <x v="24"/>
    <x v="132"/>
    <x v="92"/>
    <x v="1"/>
  </r>
  <r>
    <x v="49"/>
    <x v="1"/>
    <x v="7"/>
    <x v="4"/>
    <x v="5"/>
    <x v="3"/>
    <x v="78"/>
    <x v="23"/>
    <x v="70"/>
    <x v="48"/>
    <x v="117"/>
    <x v="132"/>
    <x v="134"/>
    <x v="134"/>
    <x v="134"/>
    <x v="130"/>
    <x v="58"/>
    <x v="43"/>
    <x v="133"/>
    <x v="58"/>
    <x v="1"/>
  </r>
  <r>
    <x v="52"/>
    <x v="1"/>
    <x v="5"/>
    <x v="3"/>
    <x v="3"/>
    <x v="0"/>
    <x v="79"/>
    <x v="41"/>
    <x v="40"/>
    <x v="78"/>
    <x v="25"/>
    <x v="133"/>
    <x v="135"/>
    <x v="135"/>
    <x v="135"/>
    <x v="131"/>
    <x v="93"/>
    <x v="24"/>
    <x v="134"/>
    <x v="93"/>
    <x v="2"/>
  </r>
  <r>
    <x v="35"/>
    <x v="1"/>
    <x v="8"/>
    <x v="4"/>
    <x v="4"/>
    <x v="1"/>
    <x v="78"/>
    <x v="34"/>
    <x v="24"/>
    <x v="88"/>
    <x v="53"/>
    <x v="134"/>
    <x v="136"/>
    <x v="136"/>
    <x v="136"/>
    <x v="132"/>
    <x v="52"/>
    <x v="99"/>
    <x v="135"/>
    <x v="52"/>
    <x v="2"/>
  </r>
  <r>
    <x v="11"/>
    <x v="1"/>
    <x v="9"/>
    <x v="1"/>
    <x v="2"/>
    <x v="1"/>
    <x v="80"/>
    <x v="25"/>
    <x v="3"/>
    <x v="89"/>
    <x v="118"/>
    <x v="135"/>
    <x v="137"/>
    <x v="137"/>
    <x v="137"/>
    <x v="123"/>
    <x v="49"/>
    <x v="21"/>
    <x v="38"/>
    <x v="49"/>
    <x v="1"/>
  </r>
  <r>
    <x v="3"/>
    <x v="1"/>
    <x v="1"/>
    <x v="4"/>
    <x v="6"/>
    <x v="1"/>
    <x v="61"/>
    <x v="21"/>
    <x v="24"/>
    <x v="10"/>
    <x v="119"/>
    <x v="136"/>
    <x v="138"/>
    <x v="138"/>
    <x v="138"/>
    <x v="133"/>
    <x v="57"/>
    <x v="20"/>
    <x v="136"/>
    <x v="57"/>
    <x v="0"/>
  </r>
  <r>
    <x v="15"/>
    <x v="0"/>
    <x v="1"/>
    <x v="2"/>
    <x v="0"/>
    <x v="0"/>
    <x v="81"/>
    <x v="60"/>
    <x v="71"/>
    <x v="90"/>
    <x v="117"/>
    <x v="137"/>
    <x v="139"/>
    <x v="139"/>
    <x v="139"/>
    <x v="134"/>
    <x v="68"/>
    <x v="36"/>
    <x v="137"/>
    <x v="68"/>
    <x v="2"/>
  </r>
  <r>
    <x v="27"/>
    <x v="0"/>
    <x v="3"/>
    <x v="4"/>
    <x v="5"/>
    <x v="2"/>
    <x v="51"/>
    <x v="43"/>
    <x v="6"/>
    <x v="91"/>
    <x v="24"/>
    <x v="138"/>
    <x v="140"/>
    <x v="140"/>
    <x v="140"/>
    <x v="135"/>
    <x v="39"/>
    <x v="6"/>
    <x v="138"/>
    <x v="39"/>
    <x v="0"/>
  </r>
  <r>
    <x v="23"/>
    <x v="1"/>
    <x v="0"/>
    <x v="4"/>
    <x v="4"/>
    <x v="0"/>
    <x v="44"/>
    <x v="28"/>
    <x v="50"/>
    <x v="92"/>
    <x v="120"/>
    <x v="139"/>
    <x v="141"/>
    <x v="141"/>
    <x v="141"/>
    <x v="136"/>
    <x v="94"/>
    <x v="100"/>
    <x v="139"/>
    <x v="94"/>
    <x v="1"/>
  </r>
  <r>
    <x v="39"/>
    <x v="0"/>
    <x v="5"/>
    <x v="1"/>
    <x v="2"/>
    <x v="0"/>
    <x v="82"/>
    <x v="60"/>
    <x v="44"/>
    <x v="93"/>
    <x v="121"/>
    <x v="140"/>
    <x v="142"/>
    <x v="142"/>
    <x v="142"/>
    <x v="137"/>
    <x v="95"/>
    <x v="10"/>
    <x v="140"/>
    <x v="95"/>
    <x v="2"/>
  </r>
  <r>
    <x v="18"/>
    <x v="1"/>
    <x v="5"/>
    <x v="3"/>
    <x v="1"/>
    <x v="3"/>
    <x v="80"/>
    <x v="62"/>
    <x v="7"/>
    <x v="51"/>
    <x v="122"/>
    <x v="141"/>
    <x v="143"/>
    <x v="143"/>
    <x v="143"/>
    <x v="138"/>
    <x v="63"/>
    <x v="101"/>
    <x v="101"/>
    <x v="63"/>
    <x v="2"/>
  </r>
  <r>
    <x v="42"/>
    <x v="0"/>
    <x v="0"/>
    <x v="1"/>
    <x v="6"/>
    <x v="1"/>
    <x v="83"/>
    <x v="40"/>
    <x v="47"/>
    <x v="94"/>
    <x v="123"/>
    <x v="142"/>
    <x v="144"/>
    <x v="144"/>
    <x v="144"/>
    <x v="139"/>
    <x v="96"/>
    <x v="76"/>
    <x v="48"/>
    <x v="96"/>
    <x v="2"/>
  </r>
  <r>
    <x v="17"/>
    <x v="1"/>
    <x v="6"/>
    <x v="2"/>
    <x v="5"/>
    <x v="2"/>
    <x v="79"/>
    <x v="45"/>
    <x v="50"/>
    <x v="95"/>
    <x v="124"/>
    <x v="143"/>
    <x v="145"/>
    <x v="145"/>
    <x v="145"/>
    <x v="140"/>
    <x v="97"/>
    <x v="102"/>
    <x v="141"/>
    <x v="97"/>
    <x v="1"/>
  </r>
  <r>
    <x v="45"/>
    <x v="1"/>
    <x v="6"/>
    <x v="0"/>
    <x v="6"/>
    <x v="3"/>
    <x v="41"/>
    <x v="24"/>
    <x v="16"/>
    <x v="42"/>
    <x v="125"/>
    <x v="144"/>
    <x v="146"/>
    <x v="146"/>
    <x v="146"/>
    <x v="141"/>
    <x v="76"/>
    <x v="103"/>
    <x v="101"/>
    <x v="76"/>
    <x v="2"/>
  </r>
  <r>
    <x v="13"/>
    <x v="0"/>
    <x v="2"/>
    <x v="3"/>
    <x v="3"/>
    <x v="3"/>
    <x v="54"/>
    <x v="55"/>
    <x v="15"/>
    <x v="96"/>
    <x v="126"/>
    <x v="145"/>
    <x v="147"/>
    <x v="147"/>
    <x v="147"/>
    <x v="142"/>
    <x v="90"/>
    <x v="104"/>
    <x v="142"/>
    <x v="90"/>
    <x v="2"/>
  </r>
  <r>
    <x v="0"/>
    <x v="0"/>
    <x v="2"/>
    <x v="3"/>
    <x v="3"/>
    <x v="0"/>
    <x v="7"/>
    <x v="22"/>
    <x v="48"/>
    <x v="97"/>
    <x v="127"/>
    <x v="146"/>
    <x v="148"/>
    <x v="148"/>
    <x v="148"/>
    <x v="143"/>
    <x v="34"/>
    <x v="105"/>
    <x v="143"/>
    <x v="34"/>
    <x v="0"/>
  </r>
  <r>
    <x v="24"/>
    <x v="0"/>
    <x v="6"/>
    <x v="2"/>
    <x v="1"/>
    <x v="0"/>
    <x v="39"/>
    <x v="60"/>
    <x v="32"/>
    <x v="92"/>
    <x v="128"/>
    <x v="147"/>
    <x v="149"/>
    <x v="149"/>
    <x v="149"/>
    <x v="144"/>
    <x v="2"/>
    <x v="94"/>
    <x v="144"/>
    <x v="2"/>
    <x v="1"/>
  </r>
  <r>
    <x v="40"/>
    <x v="0"/>
    <x v="7"/>
    <x v="2"/>
    <x v="6"/>
    <x v="1"/>
    <x v="50"/>
    <x v="63"/>
    <x v="31"/>
    <x v="98"/>
    <x v="118"/>
    <x v="148"/>
    <x v="150"/>
    <x v="150"/>
    <x v="150"/>
    <x v="145"/>
    <x v="1"/>
    <x v="0"/>
    <x v="145"/>
    <x v="1"/>
    <x v="2"/>
  </r>
  <r>
    <x v="54"/>
    <x v="1"/>
    <x v="5"/>
    <x v="2"/>
    <x v="1"/>
    <x v="3"/>
    <x v="22"/>
    <x v="64"/>
    <x v="0"/>
    <x v="79"/>
    <x v="129"/>
    <x v="149"/>
    <x v="151"/>
    <x v="151"/>
    <x v="151"/>
    <x v="146"/>
    <x v="98"/>
    <x v="106"/>
    <x v="146"/>
    <x v="98"/>
    <x v="0"/>
  </r>
  <r>
    <x v="37"/>
    <x v="1"/>
    <x v="7"/>
    <x v="4"/>
    <x v="3"/>
    <x v="0"/>
    <x v="66"/>
    <x v="65"/>
    <x v="56"/>
    <x v="57"/>
    <x v="130"/>
    <x v="150"/>
    <x v="152"/>
    <x v="152"/>
    <x v="152"/>
    <x v="147"/>
    <x v="38"/>
    <x v="107"/>
    <x v="89"/>
    <x v="38"/>
    <x v="2"/>
  </r>
  <r>
    <x v="37"/>
    <x v="0"/>
    <x v="7"/>
    <x v="2"/>
    <x v="5"/>
    <x v="1"/>
    <x v="14"/>
    <x v="18"/>
    <x v="72"/>
    <x v="99"/>
    <x v="5"/>
    <x v="151"/>
    <x v="153"/>
    <x v="153"/>
    <x v="153"/>
    <x v="148"/>
    <x v="31"/>
    <x v="108"/>
    <x v="147"/>
    <x v="31"/>
    <x v="2"/>
  </r>
  <r>
    <x v="35"/>
    <x v="1"/>
    <x v="7"/>
    <x v="3"/>
    <x v="6"/>
    <x v="0"/>
    <x v="38"/>
    <x v="46"/>
    <x v="40"/>
    <x v="75"/>
    <x v="131"/>
    <x v="152"/>
    <x v="154"/>
    <x v="154"/>
    <x v="154"/>
    <x v="149"/>
    <x v="3"/>
    <x v="56"/>
    <x v="148"/>
    <x v="3"/>
    <x v="2"/>
  </r>
  <r>
    <x v="14"/>
    <x v="0"/>
    <x v="7"/>
    <x v="1"/>
    <x v="3"/>
    <x v="0"/>
    <x v="71"/>
    <x v="47"/>
    <x v="18"/>
    <x v="100"/>
    <x v="75"/>
    <x v="153"/>
    <x v="155"/>
    <x v="155"/>
    <x v="155"/>
    <x v="150"/>
    <x v="75"/>
    <x v="109"/>
    <x v="149"/>
    <x v="75"/>
    <x v="2"/>
  </r>
  <r>
    <x v="19"/>
    <x v="1"/>
    <x v="6"/>
    <x v="0"/>
    <x v="5"/>
    <x v="3"/>
    <x v="76"/>
    <x v="55"/>
    <x v="21"/>
    <x v="38"/>
    <x v="132"/>
    <x v="154"/>
    <x v="156"/>
    <x v="156"/>
    <x v="156"/>
    <x v="151"/>
    <x v="99"/>
    <x v="110"/>
    <x v="150"/>
    <x v="99"/>
    <x v="1"/>
  </r>
  <r>
    <x v="55"/>
    <x v="0"/>
    <x v="8"/>
    <x v="3"/>
    <x v="1"/>
    <x v="2"/>
    <x v="49"/>
    <x v="52"/>
    <x v="56"/>
    <x v="39"/>
    <x v="14"/>
    <x v="155"/>
    <x v="157"/>
    <x v="157"/>
    <x v="157"/>
    <x v="152"/>
    <x v="56"/>
    <x v="111"/>
    <x v="151"/>
    <x v="56"/>
    <x v="2"/>
  </r>
  <r>
    <x v="29"/>
    <x v="1"/>
    <x v="7"/>
    <x v="1"/>
    <x v="1"/>
    <x v="0"/>
    <x v="36"/>
    <x v="50"/>
    <x v="59"/>
    <x v="58"/>
    <x v="131"/>
    <x v="156"/>
    <x v="158"/>
    <x v="158"/>
    <x v="158"/>
    <x v="153"/>
    <x v="43"/>
    <x v="56"/>
    <x v="152"/>
    <x v="43"/>
    <x v="2"/>
  </r>
  <r>
    <x v="49"/>
    <x v="0"/>
    <x v="3"/>
    <x v="1"/>
    <x v="1"/>
    <x v="0"/>
    <x v="84"/>
    <x v="32"/>
    <x v="49"/>
    <x v="45"/>
    <x v="0"/>
    <x v="157"/>
    <x v="159"/>
    <x v="159"/>
    <x v="159"/>
    <x v="154"/>
    <x v="100"/>
    <x v="32"/>
    <x v="153"/>
    <x v="100"/>
    <x v="1"/>
  </r>
  <r>
    <x v="23"/>
    <x v="0"/>
    <x v="7"/>
    <x v="2"/>
    <x v="5"/>
    <x v="0"/>
    <x v="24"/>
    <x v="14"/>
    <x v="73"/>
    <x v="37"/>
    <x v="133"/>
    <x v="158"/>
    <x v="160"/>
    <x v="160"/>
    <x v="160"/>
    <x v="155"/>
    <x v="101"/>
    <x v="63"/>
    <x v="154"/>
    <x v="101"/>
    <x v="1"/>
  </r>
  <r>
    <x v="56"/>
    <x v="1"/>
    <x v="5"/>
    <x v="0"/>
    <x v="3"/>
    <x v="1"/>
    <x v="75"/>
    <x v="66"/>
    <x v="52"/>
    <x v="46"/>
    <x v="46"/>
    <x v="159"/>
    <x v="161"/>
    <x v="161"/>
    <x v="161"/>
    <x v="156"/>
    <x v="102"/>
    <x v="109"/>
    <x v="155"/>
    <x v="102"/>
    <x v="2"/>
  </r>
  <r>
    <x v="29"/>
    <x v="0"/>
    <x v="4"/>
    <x v="1"/>
    <x v="1"/>
    <x v="2"/>
    <x v="85"/>
    <x v="45"/>
    <x v="17"/>
    <x v="82"/>
    <x v="134"/>
    <x v="160"/>
    <x v="162"/>
    <x v="162"/>
    <x v="162"/>
    <x v="157"/>
    <x v="40"/>
    <x v="1"/>
    <x v="48"/>
    <x v="40"/>
    <x v="2"/>
  </r>
  <r>
    <x v="28"/>
    <x v="1"/>
    <x v="5"/>
    <x v="2"/>
    <x v="2"/>
    <x v="0"/>
    <x v="86"/>
    <x v="29"/>
    <x v="48"/>
    <x v="101"/>
    <x v="135"/>
    <x v="161"/>
    <x v="163"/>
    <x v="163"/>
    <x v="163"/>
    <x v="158"/>
    <x v="57"/>
    <x v="57"/>
    <x v="156"/>
    <x v="57"/>
    <x v="0"/>
  </r>
  <r>
    <x v="13"/>
    <x v="0"/>
    <x v="7"/>
    <x v="2"/>
    <x v="4"/>
    <x v="3"/>
    <x v="87"/>
    <x v="31"/>
    <x v="74"/>
    <x v="3"/>
    <x v="79"/>
    <x v="162"/>
    <x v="164"/>
    <x v="164"/>
    <x v="164"/>
    <x v="159"/>
    <x v="103"/>
    <x v="107"/>
    <x v="157"/>
    <x v="103"/>
    <x v="2"/>
  </r>
  <r>
    <x v="12"/>
    <x v="0"/>
    <x v="7"/>
    <x v="2"/>
    <x v="2"/>
    <x v="1"/>
    <x v="82"/>
    <x v="57"/>
    <x v="69"/>
    <x v="89"/>
    <x v="136"/>
    <x v="163"/>
    <x v="165"/>
    <x v="165"/>
    <x v="165"/>
    <x v="160"/>
    <x v="104"/>
    <x v="112"/>
    <x v="158"/>
    <x v="104"/>
    <x v="0"/>
  </r>
  <r>
    <x v="54"/>
    <x v="1"/>
    <x v="7"/>
    <x v="4"/>
    <x v="4"/>
    <x v="1"/>
    <x v="59"/>
    <x v="29"/>
    <x v="22"/>
    <x v="49"/>
    <x v="11"/>
    <x v="164"/>
    <x v="166"/>
    <x v="166"/>
    <x v="166"/>
    <x v="161"/>
    <x v="105"/>
    <x v="113"/>
    <x v="159"/>
    <x v="105"/>
    <x v="0"/>
  </r>
  <r>
    <x v="57"/>
    <x v="0"/>
    <x v="8"/>
    <x v="4"/>
    <x v="6"/>
    <x v="2"/>
    <x v="25"/>
    <x v="65"/>
    <x v="75"/>
    <x v="93"/>
    <x v="137"/>
    <x v="165"/>
    <x v="167"/>
    <x v="167"/>
    <x v="167"/>
    <x v="162"/>
    <x v="85"/>
    <x v="114"/>
    <x v="160"/>
    <x v="85"/>
    <x v="0"/>
  </r>
  <r>
    <x v="35"/>
    <x v="1"/>
    <x v="4"/>
    <x v="0"/>
    <x v="6"/>
    <x v="2"/>
    <x v="86"/>
    <x v="67"/>
    <x v="40"/>
    <x v="102"/>
    <x v="138"/>
    <x v="166"/>
    <x v="168"/>
    <x v="168"/>
    <x v="168"/>
    <x v="163"/>
    <x v="61"/>
    <x v="115"/>
    <x v="161"/>
    <x v="61"/>
    <x v="2"/>
  </r>
  <r>
    <x v="15"/>
    <x v="0"/>
    <x v="5"/>
    <x v="2"/>
    <x v="1"/>
    <x v="3"/>
    <x v="8"/>
    <x v="43"/>
    <x v="36"/>
    <x v="2"/>
    <x v="139"/>
    <x v="167"/>
    <x v="169"/>
    <x v="169"/>
    <x v="169"/>
    <x v="164"/>
    <x v="62"/>
    <x v="72"/>
    <x v="162"/>
    <x v="62"/>
    <x v="2"/>
  </r>
  <r>
    <x v="13"/>
    <x v="0"/>
    <x v="3"/>
    <x v="2"/>
    <x v="1"/>
    <x v="2"/>
    <x v="1"/>
    <x v="55"/>
    <x v="76"/>
    <x v="2"/>
    <x v="140"/>
    <x v="168"/>
    <x v="170"/>
    <x v="170"/>
    <x v="170"/>
    <x v="165"/>
    <x v="106"/>
    <x v="65"/>
    <x v="163"/>
    <x v="106"/>
    <x v="2"/>
  </r>
  <r>
    <x v="45"/>
    <x v="0"/>
    <x v="0"/>
    <x v="3"/>
    <x v="5"/>
    <x v="1"/>
    <x v="63"/>
    <x v="52"/>
    <x v="37"/>
    <x v="77"/>
    <x v="141"/>
    <x v="169"/>
    <x v="171"/>
    <x v="171"/>
    <x v="171"/>
    <x v="166"/>
    <x v="12"/>
    <x v="116"/>
    <x v="164"/>
    <x v="12"/>
    <x v="2"/>
  </r>
  <r>
    <x v="24"/>
    <x v="0"/>
    <x v="2"/>
    <x v="1"/>
    <x v="4"/>
    <x v="2"/>
    <x v="7"/>
    <x v="39"/>
    <x v="77"/>
    <x v="13"/>
    <x v="42"/>
    <x v="170"/>
    <x v="172"/>
    <x v="172"/>
    <x v="172"/>
    <x v="167"/>
    <x v="107"/>
    <x v="117"/>
    <x v="165"/>
    <x v="107"/>
    <x v="1"/>
  </r>
  <r>
    <x v="52"/>
    <x v="0"/>
    <x v="6"/>
    <x v="1"/>
    <x v="2"/>
    <x v="2"/>
    <x v="88"/>
    <x v="68"/>
    <x v="42"/>
    <x v="103"/>
    <x v="142"/>
    <x v="171"/>
    <x v="173"/>
    <x v="173"/>
    <x v="173"/>
    <x v="168"/>
    <x v="38"/>
    <x v="40"/>
    <x v="166"/>
    <x v="38"/>
    <x v="2"/>
  </r>
  <r>
    <x v="57"/>
    <x v="0"/>
    <x v="6"/>
    <x v="4"/>
    <x v="0"/>
    <x v="0"/>
    <x v="89"/>
    <x v="37"/>
    <x v="78"/>
    <x v="100"/>
    <x v="143"/>
    <x v="172"/>
    <x v="174"/>
    <x v="174"/>
    <x v="174"/>
    <x v="169"/>
    <x v="102"/>
    <x v="82"/>
    <x v="167"/>
    <x v="102"/>
    <x v="0"/>
  </r>
  <r>
    <x v="3"/>
    <x v="1"/>
    <x v="9"/>
    <x v="1"/>
    <x v="1"/>
    <x v="3"/>
    <x v="70"/>
    <x v="42"/>
    <x v="39"/>
    <x v="12"/>
    <x v="144"/>
    <x v="173"/>
    <x v="175"/>
    <x v="175"/>
    <x v="175"/>
    <x v="170"/>
    <x v="108"/>
    <x v="118"/>
    <x v="168"/>
    <x v="108"/>
    <x v="0"/>
  </r>
  <r>
    <x v="49"/>
    <x v="1"/>
    <x v="5"/>
    <x v="4"/>
    <x v="1"/>
    <x v="0"/>
    <x v="90"/>
    <x v="4"/>
    <x v="56"/>
    <x v="104"/>
    <x v="145"/>
    <x v="174"/>
    <x v="176"/>
    <x v="176"/>
    <x v="176"/>
    <x v="171"/>
    <x v="100"/>
    <x v="77"/>
    <x v="169"/>
    <x v="100"/>
    <x v="1"/>
  </r>
  <r>
    <x v="37"/>
    <x v="1"/>
    <x v="2"/>
    <x v="1"/>
    <x v="6"/>
    <x v="1"/>
    <x v="16"/>
    <x v="17"/>
    <x v="39"/>
    <x v="82"/>
    <x v="51"/>
    <x v="175"/>
    <x v="177"/>
    <x v="177"/>
    <x v="177"/>
    <x v="172"/>
    <x v="108"/>
    <x v="57"/>
    <x v="168"/>
    <x v="108"/>
    <x v="2"/>
  </r>
  <r>
    <x v="56"/>
    <x v="0"/>
    <x v="0"/>
    <x v="2"/>
    <x v="1"/>
    <x v="2"/>
    <x v="32"/>
    <x v="56"/>
    <x v="61"/>
    <x v="35"/>
    <x v="146"/>
    <x v="176"/>
    <x v="178"/>
    <x v="178"/>
    <x v="178"/>
    <x v="173"/>
    <x v="33"/>
    <x v="68"/>
    <x v="170"/>
    <x v="33"/>
    <x v="2"/>
  </r>
  <r>
    <x v="8"/>
    <x v="0"/>
    <x v="8"/>
    <x v="1"/>
    <x v="1"/>
    <x v="2"/>
    <x v="57"/>
    <x v="10"/>
    <x v="20"/>
    <x v="51"/>
    <x v="147"/>
    <x v="177"/>
    <x v="179"/>
    <x v="179"/>
    <x v="179"/>
    <x v="174"/>
    <x v="109"/>
    <x v="119"/>
    <x v="171"/>
    <x v="109"/>
    <x v="2"/>
  </r>
  <r>
    <x v="3"/>
    <x v="0"/>
    <x v="4"/>
    <x v="2"/>
    <x v="1"/>
    <x v="0"/>
    <x v="1"/>
    <x v="45"/>
    <x v="36"/>
    <x v="105"/>
    <x v="148"/>
    <x v="178"/>
    <x v="180"/>
    <x v="180"/>
    <x v="180"/>
    <x v="175"/>
    <x v="93"/>
    <x v="120"/>
    <x v="172"/>
    <x v="93"/>
    <x v="0"/>
  </r>
  <r>
    <x v="0"/>
    <x v="0"/>
    <x v="1"/>
    <x v="1"/>
    <x v="5"/>
    <x v="2"/>
    <x v="70"/>
    <x v="69"/>
    <x v="50"/>
    <x v="103"/>
    <x v="149"/>
    <x v="179"/>
    <x v="181"/>
    <x v="181"/>
    <x v="181"/>
    <x v="176"/>
    <x v="110"/>
    <x v="53"/>
    <x v="173"/>
    <x v="110"/>
    <x v="0"/>
  </r>
  <r>
    <x v="44"/>
    <x v="0"/>
    <x v="1"/>
    <x v="0"/>
    <x v="4"/>
    <x v="1"/>
    <x v="25"/>
    <x v="70"/>
    <x v="66"/>
    <x v="106"/>
    <x v="150"/>
    <x v="180"/>
    <x v="182"/>
    <x v="182"/>
    <x v="182"/>
    <x v="177"/>
    <x v="18"/>
    <x v="1"/>
    <x v="174"/>
    <x v="18"/>
    <x v="2"/>
  </r>
  <r>
    <x v="30"/>
    <x v="0"/>
    <x v="5"/>
    <x v="2"/>
    <x v="1"/>
    <x v="3"/>
    <x v="42"/>
    <x v="54"/>
    <x v="6"/>
    <x v="26"/>
    <x v="151"/>
    <x v="181"/>
    <x v="183"/>
    <x v="183"/>
    <x v="183"/>
    <x v="178"/>
    <x v="91"/>
    <x v="119"/>
    <x v="175"/>
    <x v="91"/>
    <x v="1"/>
  </r>
  <r>
    <x v="6"/>
    <x v="0"/>
    <x v="0"/>
    <x v="1"/>
    <x v="1"/>
    <x v="2"/>
    <x v="39"/>
    <x v="60"/>
    <x v="61"/>
    <x v="107"/>
    <x v="152"/>
    <x v="182"/>
    <x v="184"/>
    <x v="184"/>
    <x v="184"/>
    <x v="179"/>
    <x v="2"/>
    <x v="121"/>
    <x v="176"/>
    <x v="2"/>
    <x v="2"/>
  </r>
  <r>
    <x v="39"/>
    <x v="0"/>
    <x v="7"/>
    <x v="2"/>
    <x v="5"/>
    <x v="3"/>
    <x v="0"/>
    <x v="7"/>
    <x v="45"/>
    <x v="30"/>
    <x v="46"/>
    <x v="183"/>
    <x v="185"/>
    <x v="140"/>
    <x v="185"/>
    <x v="180"/>
    <x v="40"/>
    <x v="69"/>
    <x v="177"/>
    <x v="40"/>
    <x v="2"/>
  </r>
  <r>
    <x v="1"/>
    <x v="0"/>
    <x v="4"/>
    <x v="0"/>
    <x v="3"/>
    <x v="2"/>
    <x v="66"/>
    <x v="71"/>
    <x v="25"/>
    <x v="58"/>
    <x v="153"/>
    <x v="184"/>
    <x v="186"/>
    <x v="185"/>
    <x v="186"/>
    <x v="181"/>
    <x v="74"/>
    <x v="122"/>
    <x v="178"/>
    <x v="74"/>
    <x v="1"/>
  </r>
  <r>
    <x v="42"/>
    <x v="1"/>
    <x v="1"/>
    <x v="0"/>
    <x v="2"/>
    <x v="0"/>
    <x v="87"/>
    <x v="57"/>
    <x v="30"/>
    <x v="108"/>
    <x v="83"/>
    <x v="185"/>
    <x v="187"/>
    <x v="111"/>
    <x v="187"/>
    <x v="182"/>
    <x v="85"/>
    <x v="123"/>
    <x v="179"/>
    <x v="85"/>
    <x v="2"/>
  </r>
  <r>
    <x v="49"/>
    <x v="0"/>
    <x v="0"/>
    <x v="0"/>
    <x v="1"/>
    <x v="3"/>
    <x v="60"/>
    <x v="72"/>
    <x v="5"/>
    <x v="99"/>
    <x v="154"/>
    <x v="186"/>
    <x v="188"/>
    <x v="186"/>
    <x v="188"/>
    <x v="129"/>
    <x v="111"/>
    <x v="72"/>
    <x v="180"/>
    <x v="111"/>
    <x v="1"/>
  </r>
  <r>
    <x v="37"/>
    <x v="0"/>
    <x v="9"/>
    <x v="2"/>
    <x v="1"/>
    <x v="1"/>
    <x v="78"/>
    <x v="35"/>
    <x v="79"/>
    <x v="46"/>
    <x v="155"/>
    <x v="187"/>
    <x v="189"/>
    <x v="187"/>
    <x v="189"/>
    <x v="183"/>
    <x v="112"/>
    <x v="65"/>
    <x v="181"/>
    <x v="112"/>
    <x v="2"/>
  </r>
  <r>
    <x v="20"/>
    <x v="0"/>
    <x v="0"/>
    <x v="4"/>
    <x v="2"/>
    <x v="2"/>
    <x v="45"/>
    <x v="12"/>
    <x v="76"/>
    <x v="64"/>
    <x v="156"/>
    <x v="188"/>
    <x v="190"/>
    <x v="188"/>
    <x v="190"/>
    <x v="184"/>
    <x v="45"/>
    <x v="8"/>
    <x v="48"/>
    <x v="45"/>
    <x v="1"/>
  </r>
  <r>
    <x v="23"/>
    <x v="1"/>
    <x v="2"/>
    <x v="3"/>
    <x v="2"/>
    <x v="0"/>
    <x v="50"/>
    <x v="52"/>
    <x v="49"/>
    <x v="109"/>
    <x v="157"/>
    <x v="189"/>
    <x v="191"/>
    <x v="189"/>
    <x v="191"/>
    <x v="185"/>
    <x v="113"/>
    <x v="124"/>
    <x v="182"/>
    <x v="113"/>
    <x v="1"/>
  </r>
  <r>
    <x v="25"/>
    <x v="1"/>
    <x v="5"/>
    <x v="2"/>
    <x v="0"/>
    <x v="2"/>
    <x v="42"/>
    <x v="73"/>
    <x v="69"/>
    <x v="110"/>
    <x v="63"/>
    <x v="190"/>
    <x v="192"/>
    <x v="190"/>
    <x v="192"/>
    <x v="186"/>
    <x v="114"/>
    <x v="125"/>
    <x v="183"/>
    <x v="114"/>
    <x v="0"/>
  </r>
  <r>
    <x v="41"/>
    <x v="1"/>
    <x v="5"/>
    <x v="1"/>
    <x v="0"/>
    <x v="1"/>
    <x v="7"/>
    <x v="74"/>
    <x v="80"/>
    <x v="35"/>
    <x v="158"/>
    <x v="191"/>
    <x v="193"/>
    <x v="191"/>
    <x v="193"/>
    <x v="177"/>
    <x v="115"/>
    <x v="126"/>
    <x v="184"/>
    <x v="115"/>
    <x v="2"/>
  </r>
  <r>
    <x v="39"/>
    <x v="0"/>
    <x v="8"/>
    <x v="0"/>
    <x v="6"/>
    <x v="1"/>
    <x v="89"/>
    <x v="75"/>
    <x v="60"/>
    <x v="37"/>
    <x v="144"/>
    <x v="192"/>
    <x v="194"/>
    <x v="192"/>
    <x v="194"/>
    <x v="187"/>
    <x v="37"/>
    <x v="83"/>
    <x v="185"/>
    <x v="37"/>
    <x v="2"/>
  </r>
  <r>
    <x v="39"/>
    <x v="0"/>
    <x v="9"/>
    <x v="0"/>
    <x v="2"/>
    <x v="3"/>
    <x v="55"/>
    <x v="31"/>
    <x v="36"/>
    <x v="56"/>
    <x v="159"/>
    <x v="193"/>
    <x v="195"/>
    <x v="193"/>
    <x v="195"/>
    <x v="188"/>
    <x v="116"/>
    <x v="33"/>
    <x v="186"/>
    <x v="116"/>
    <x v="2"/>
  </r>
  <r>
    <x v="43"/>
    <x v="0"/>
    <x v="1"/>
    <x v="2"/>
    <x v="0"/>
    <x v="1"/>
    <x v="27"/>
    <x v="27"/>
    <x v="9"/>
    <x v="111"/>
    <x v="123"/>
    <x v="194"/>
    <x v="196"/>
    <x v="194"/>
    <x v="196"/>
    <x v="189"/>
    <x v="64"/>
    <x v="127"/>
    <x v="187"/>
    <x v="64"/>
    <x v="2"/>
  </r>
  <r>
    <x v="50"/>
    <x v="0"/>
    <x v="3"/>
    <x v="2"/>
    <x v="1"/>
    <x v="3"/>
    <x v="91"/>
    <x v="58"/>
    <x v="69"/>
    <x v="112"/>
    <x v="160"/>
    <x v="195"/>
    <x v="197"/>
    <x v="195"/>
    <x v="197"/>
    <x v="190"/>
    <x v="117"/>
    <x v="36"/>
    <x v="188"/>
    <x v="117"/>
    <x v="2"/>
  </r>
  <r>
    <x v="8"/>
    <x v="1"/>
    <x v="3"/>
    <x v="0"/>
    <x v="1"/>
    <x v="3"/>
    <x v="55"/>
    <x v="39"/>
    <x v="70"/>
    <x v="78"/>
    <x v="161"/>
    <x v="54"/>
    <x v="198"/>
    <x v="196"/>
    <x v="198"/>
    <x v="191"/>
    <x v="115"/>
    <x v="30"/>
    <x v="85"/>
    <x v="115"/>
    <x v="2"/>
  </r>
  <r>
    <x v="25"/>
    <x v="1"/>
    <x v="7"/>
    <x v="0"/>
    <x v="2"/>
    <x v="0"/>
    <x v="92"/>
    <x v="29"/>
    <x v="45"/>
    <x v="55"/>
    <x v="162"/>
    <x v="196"/>
    <x v="199"/>
    <x v="197"/>
    <x v="199"/>
    <x v="192"/>
    <x v="98"/>
    <x v="79"/>
    <x v="189"/>
    <x v="98"/>
    <x v="0"/>
  </r>
  <r>
    <x v="58"/>
    <x v="1"/>
    <x v="4"/>
    <x v="4"/>
    <x v="0"/>
    <x v="1"/>
    <x v="16"/>
    <x v="5"/>
    <x v="67"/>
    <x v="113"/>
    <x v="163"/>
    <x v="197"/>
    <x v="200"/>
    <x v="198"/>
    <x v="200"/>
    <x v="193"/>
    <x v="118"/>
    <x v="36"/>
    <x v="190"/>
    <x v="118"/>
    <x v="0"/>
  </r>
  <r>
    <x v="21"/>
    <x v="1"/>
    <x v="1"/>
    <x v="4"/>
    <x v="4"/>
    <x v="1"/>
    <x v="54"/>
    <x v="42"/>
    <x v="45"/>
    <x v="69"/>
    <x v="164"/>
    <x v="198"/>
    <x v="201"/>
    <x v="199"/>
    <x v="201"/>
    <x v="127"/>
    <x v="119"/>
    <x v="67"/>
    <x v="191"/>
    <x v="119"/>
    <x v="0"/>
  </r>
  <r>
    <x v="21"/>
    <x v="1"/>
    <x v="8"/>
    <x v="4"/>
    <x v="0"/>
    <x v="3"/>
    <x v="93"/>
    <x v="53"/>
    <x v="81"/>
    <x v="6"/>
    <x v="165"/>
    <x v="199"/>
    <x v="202"/>
    <x v="200"/>
    <x v="202"/>
    <x v="194"/>
    <x v="106"/>
    <x v="39"/>
    <x v="192"/>
    <x v="106"/>
    <x v="0"/>
  </r>
  <r>
    <x v="9"/>
    <x v="0"/>
    <x v="4"/>
    <x v="3"/>
    <x v="5"/>
    <x v="1"/>
    <x v="94"/>
    <x v="57"/>
    <x v="82"/>
    <x v="82"/>
    <x v="78"/>
    <x v="200"/>
    <x v="203"/>
    <x v="201"/>
    <x v="203"/>
    <x v="195"/>
    <x v="120"/>
    <x v="111"/>
    <x v="193"/>
    <x v="120"/>
    <x v="0"/>
  </r>
  <r>
    <x v="49"/>
    <x v="1"/>
    <x v="3"/>
    <x v="1"/>
    <x v="5"/>
    <x v="0"/>
    <x v="46"/>
    <x v="48"/>
    <x v="9"/>
    <x v="114"/>
    <x v="143"/>
    <x v="201"/>
    <x v="204"/>
    <x v="202"/>
    <x v="204"/>
    <x v="196"/>
    <x v="53"/>
    <x v="128"/>
    <x v="194"/>
    <x v="53"/>
    <x v="1"/>
  </r>
  <r>
    <x v="49"/>
    <x v="1"/>
    <x v="9"/>
    <x v="2"/>
    <x v="3"/>
    <x v="2"/>
    <x v="66"/>
    <x v="12"/>
    <x v="6"/>
    <x v="115"/>
    <x v="147"/>
    <x v="202"/>
    <x v="205"/>
    <x v="203"/>
    <x v="205"/>
    <x v="22"/>
    <x v="120"/>
    <x v="129"/>
    <x v="195"/>
    <x v="120"/>
    <x v="1"/>
  </r>
  <r>
    <x v="59"/>
    <x v="0"/>
    <x v="4"/>
    <x v="2"/>
    <x v="6"/>
    <x v="3"/>
    <x v="21"/>
    <x v="13"/>
    <x v="53"/>
    <x v="77"/>
    <x v="1"/>
    <x v="203"/>
    <x v="206"/>
    <x v="204"/>
    <x v="206"/>
    <x v="197"/>
    <x v="121"/>
    <x v="130"/>
    <x v="196"/>
    <x v="121"/>
    <x v="0"/>
  </r>
  <r>
    <x v="40"/>
    <x v="1"/>
    <x v="9"/>
    <x v="0"/>
    <x v="4"/>
    <x v="1"/>
    <x v="37"/>
    <x v="28"/>
    <x v="30"/>
    <x v="82"/>
    <x v="150"/>
    <x v="204"/>
    <x v="207"/>
    <x v="205"/>
    <x v="207"/>
    <x v="198"/>
    <x v="74"/>
    <x v="131"/>
    <x v="197"/>
    <x v="74"/>
    <x v="2"/>
  </r>
  <r>
    <x v="17"/>
    <x v="1"/>
    <x v="6"/>
    <x v="1"/>
    <x v="6"/>
    <x v="3"/>
    <x v="94"/>
    <x v="55"/>
    <x v="72"/>
    <x v="114"/>
    <x v="93"/>
    <x v="205"/>
    <x v="208"/>
    <x v="206"/>
    <x v="208"/>
    <x v="199"/>
    <x v="98"/>
    <x v="132"/>
    <x v="198"/>
    <x v="98"/>
    <x v="1"/>
  </r>
  <r>
    <x v="39"/>
    <x v="1"/>
    <x v="8"/>
    <x v="0"/>
    <x v="6"/>
    <x v="1"/>
    <x v="90"/>
    <x v="40"/>
    <x v="48"/>
    <x v="116"/>
    <x v="35"/>
    <x v="206"/>
    <x v="209"/>
    <x v="207"/>
    <x v="209"/>
    <x v="200"/>
    <x v="88"/>
    <x v="32"/>
    <x v="199"/>
    <x v="88"/>
    <x v="2"/>
  </r>
  <r>
    <x v="22"/>
    <x v="0"/>
    <x v="3"/>
    <x v="0"/>
    <x v="4"/>
    <x v="1"/>
    <x v="13"/>
    <x v="73"/>
    <x v="1"/>
    <x v="89"/>
    <x v="166"/>
    <x v="207"/>
    <x v="210"/>
    <x v="208"/>
    <x v="210"/>
    <x v="201"/>
    <x v="122"/>
    <x v="109"/>
    <x v="200"/>
    <x v="122"/>
    <x v="0"/>
  </r>
  <r>
    <x v="37"/>
    <x v="0"/>
    <x v="0"/>
    <x v="1"/>
    <x v="1"/>
    <x v="1"/>
    <x v="85"/>
    <x v="52"/>
    <x v="73"/>
    <x v="102"/>
    <x v="159"/>
    <x v="208"/>
    <x v="211"/>
    <x v="209"/>
    <x v="211"/>
    <x v="202"/>
    <x v="123"/>
    <x v="88"/>
    <x v="201"/>
    <x v="123"/>
    <x v="2"/>
  </r>
  <r>
    <x v="15"/>
    <x v="0"/>
    <x v="6"/>
    <x v="3"/>
    <x v="1"/>
    <x v="0"/>
    <x v="78"/>
    <x v="12"/>
    <x v="16"/>
    <x v="117"/>
    <x v="162"/>
    <x v="209"/>
    <x v="212"/>
    <x v="210"/>
    <x v="212"/>
    <x v="203"/>
    <x v="124"/>
    <x v="57"/>
    <x v="202"/>
    <x v="124"/>
    <x v="2"/>
  </r>
  <r>
    <x v="52"/>
    <x v="0"/>
    <x v="9"/>
    <x v="1"/>
    <x v="6"/>
    <x v="0"/>
    <x v="46"/>
    <x v="23"/>
    <x v="72"/>
    <x v="118"/>
    <x v="12"/>
    <x v="210"/>
    <x v="213"/>
    <x v="211"/>
    <x v="213"/>
    <x v="204"/>
    <x v="29"/>
    <x v="65"/>
    <x v="203"/>
    <x v="29"/>
    <x v="2"/>
  </r>
  <r>
    <x v="50"/>
    <x v="0"/>
    <x v="3"/>
    <x v="2"/>
    <x v="0"/>
    <x v="2"/>
    <x v="42"/>
    <x v="50"/>
    <x v="54"/>
    <x v="55"/>
    <x v="9"/>
    <x v="211"/>
    <x v="214"/>
    <x v="212"/>
    <x v="214"/>
    <x v="126"/>
    <x v="125"/>
    <x v="93"/>
    <x v="204"/>
    <x v="125"/>
    <x v="2"/>
  </r>
  <r>
    <x v="28"/>
    <x v="0"/>
    <x v="5"/>
    <x v="1"/>
    <x v="4"/>
    <x v="2"/>
    <x v="59"/>
    <x v="76"/>
    <x v="15"/>
    <x v="14"/>
    <x v="167"/>
    <x v="212"/>
    <x v="215"/>
    <x v="213"/>
    <x v="215"/>
    <x v="205"/>
    <x v="108"/>
    <x v="133"/>
    <x v="205"/>
    <x v="108"/>
    <x v="0"/>
  </r>
  <r>
    <x v="48"/>
    <x v="0"/>
    <x v="1"/>
    <x v="4"/>
    <x v="0"/>
    <x v="3"/>
    <x v="94"/>
    <x v="60"/>
    <x v="5"/>
    <x v="109"/>
    <x v="40"/>
    <x v="213"/>
    <x v="216"/>
    <x v="214"/>
    <x v="216"/>
    <x v="206"/>
    <x v="126"/>
    <x v="131"/>
    <x v="206"/>
    <x v="126"/>
    <x v="2"/>
  </r>
  <r>
    <x v="8"/>
    <x v="1"/>
    <x v="7"/>
    <x v="1"/>
    <x v="5"/>
    <x v="1"/>
    <x v="39"/>
    <x v="42"/>
    <x v="46"/>
    <x v="119"/>
    <x v="72"/>
    <x v="214"/>
    <x v="217"/>
    <x v="215"/>
    <x v="217"/>
    <x v="207"/>
    <x v="78"/>
    <x v="134"/>
    <x v="207"/>
    <x v="78"/>
    <x v="2"/>
  </r>
  <r>
    <x v="33"/>
    <x v="0"/>
    <x v="2"/>
    <x v="4"/>
    <x v="0"/>
    <x v="3"/>
    <x v="23"/>
    <x v="69"/>
    <x v="50"/>
    <x v="1"/>
    <x v="168"/>
    <x v="215"/>
    <x v="218"/>
    <x v="216"/>
    <x v="218"/>
    <x v="208"/>
    <x v="120"/>
    <x v="42"/>
    <x v="208"/>
    <x v="120"/>
    <x v="2"/>
  </r>
  <r>
    <x v="24"/>
    <x v="0"/>
    <x v="5"/>
    <x v="4"/>
    <x v="5"/>
    <x v="1"/>
    <x v="87"/>
    <x v="27"/>
    <x v="57"/>
    <x v="120"/>
    <x v="169"/>
    <x v="216"/>
    <x v="219"/>
    <x v="217"/>
    <x v="219"/>
    <x v="209"/>
    <x v="53"/>
    <x v="24"/>
    <x v="209"/>
    <x v="53"/>
    <x v="1"/>
  </r>
  <r>
    <x v="31"/>
    <x v="0"/>
    <x v="3"/>
    <x v="2"/>
    <x v="6"/>
    <x v="0"/>
    <x v="79"/>
    <x v="1"/>
    <x v="11"/>
    <x v="121"/>
    <x v="89"/>
    <x v="217"/>
    <x v="220"/>
    <x v="218"/>
    <x v="220"/>
    <x v="210"/>
    <x v="31"/>
    <x v="135"/>
    <x v="210"/>
    <x v="31"/>
    <x v="2"/>
  </r>
  <r>
    <x v="53"/>
    <x v="0"/>
    <x v="7"/>
    <x v="4"/>
    <x v="6"/>
    <x v="1"/>
    <x v="0"/>
    <x v="46"/>
    <x v="41"/>
    <x v="59"/>
    <x v="167"/>
    <x v="218"/>
    <x v="221"/>
    <x v="219"/>
    <x v="221"/>
    <x v="211"/>
    <x v="63"/>
    <x v="136"/>
    <x v="211"/>
    <x v="63"/>
    <x v="1"/>
  </r>
  <r>
    <x v="38"/>
    <x v="1"/>
    <x v="7"/>
    <x v="2"/>
    <x v="0"/>
    <x v="2"/>
    <x v="37"/>
    <x v="68"/>
    <x v="34"/>
    <x v="100"/>
    <x v="170"/>
    <x v="219"/>
    <x v="222"/>
    <x v="220"/>
    <x v="222"/>
    <x v="212"/>
    <x v="127"/>
    <x v="137"/>
    <x v="212"/>
    <x v="127"/>
    <x v="2"/>
  </r>
  <r>
    <x v="27"/>
    <x v="0"/>
    <x v="5"/>
    <x v="3"/>
    <x v="5"/>
    <x v="3"/>
    <x v="10"/>
    <x v="77"/>
    <x v="28"/>
    <x v="47"/>
    <x v="171"/>
    <x v="220"/>
    <x v="223"/>
    <x v="221"/>
    <x v="223"/>
    <x v="213"/>
    <x v="104"/>
    <x v="138"/>
    <x v="213"/>
    <x v="104"/>
    <x v="0"/>
  </r>
  <r>
    <x v="6"/>
    <x v="1"/>
    <x v="2"/>
    <x v="2"/>
    <x v="4"/>
    <x v="2"/>
    <x v="0"/>
    <x v="35"/>
    <x v="83"/>
    <x v="112"/>
    <x v="172"/>
    <x v="221"/>
    <x v="224"/>
    <x v="222"/>
    <x v="224"/>
    <x v="214"/>
    <x v="123"/>
    <x v="139"/>
    <x v="214"/>
    <x v="123"/>
    <x v="2"/>
  </r>
  <r>
    <x v="34"/>
    <x v="0"/>
    <x v="4"/>
    <x v="3"/>
    <x v="6"/>
    <x v="2"/>
    <x v="53"/>
    <x v="30"/>
    <x v="52"/>
    <x v="51"/>
    <x v="154"/>
    <x v="222"/>
    <x v="225"/>
    <x v="223"/>
    <x v="225"/>
    <x v="215"/>
    <x v="62"/>
    <x v="140"/>
    <x v="215"/>
    <x v="62"/>
    <x v="2"/>
  </r>
  <r>
    <x v="41"/>
    <x v="0"/>
    <x v="1"/>
    <x v="3"/>
    <x v="6"/>
    <x v="3"/>
    <x v="95"/>
    <x v="4"/>
    <x v="46"/>
    <x v="26"/>
    <x v="173"/>
    <x v="223"/>
    <x v="226"/>
    <x v="224"/>
    <x v="226"/>
    <x v="216"/>
    <x v="128"/>
    <x v="111"/>
    <x v="216"/>
    <x v="128"/>
    <x v="2"/>
  </r>
  <r>
    <x v="59"/>
    <x v="1"/>
    <x v="9"/>
    <x v="4"/>
    <x v="3"/>
    <x v="2"/>
    <x v="2"/>
    <x v="31"/>
    <x v="23"/>
    <x v="89"/>
    <x v="174"/>
    <x v="224"/>
    <x v="227"/>
    <x v="225"/>
    <x v="227"/>
    <x v="109"/>
    <x v="29"/>
    <x v="141"/>
    <x v="217"/>
    <x v="29"/>
    <x v="0"/>
  </r>
  <r>
    <x v="56"/>
    <x v="1"/>
    <x v="0"/>
    <x v="2"/>
    <x v="0"/>
    <x v="2"/>
    <x v="4"/>
    <x v="60"/>
    <x v="51"/>
    <x v="52"/>
    <x v="175"/>
    <x v="225"/>
    <x v="228"/>
    <x v="226"/>
    <x v="228"/>
    <x v="217"/>
    <x v="45"/>
    <x v="95"/>
    <x v="218"/>
    <x v="45"/>
    <x v="2"/>
  </r>
  <r>
    <x v="54"/>
    <x v="0"/>
    <x v="3"/>
    <x v="2"/>
    <x v="2"/>
    <x v="2"/>
    <x v="87"/>
    <x v="44"/>
    <x v="65"/>
    <x v="26"/>
    <x v="176"/>
    <x v="41"/>
    <x v="229"/>
    <x v="227"/>
    <x v="229"/>
    <x v="218"/>
    <x v="68"/>
    <x v="21"/>
    <x v="219"/>
    <x v="68"/>
    <x v="0"/>
  </r>
  <r>
    <x v="42"/>
    <x v="1"/>
    <x v="6"/>
    <x v="3"/>
    <x v="4"/>
    <x v="3"/>
    <x v="96"/>
    <x v="28"/>
    <x v="75"/>
    <x v="65"/>
    <x v="177"/>
    <x v="226"/>
    <x v="230"/>
    <x v="228"/>
    <x v="230"/>
    <x v="219"/>
    <x v="129"/>
    <x v="123"/>
    <x v="220"/>
    <x v="129"/>
    <x v="2"/>
  </r>
  <r>
    <x v="10"/>
    <x v="1"/>
    <x v="8"/>
    <x v="1"/>
    <x v="5"/>
    <x v="2"/>
    <x v="44"/>
    <x v="53"/>
    <x v="21"/>
    <x v="19"/>
    <x v="17"/>
    <x v="227"/>
    <x v="231"/>
    <x v="229"/>
    <x v="231"/>
    <x v="220"/>
    <x v="8"/>
    <x v="142"/>
    <x v="221"/>
    <x v="8"/>
    <x v="2"/>
  </r>
  <r>
    <x v="59"/>
    <x v="1"/>
    <x v="0"/>
    <x v="1"/>
    <x v="5"/>
    <x v="3"/>
    <x v="89"/>
    <x v="15"/>
    <x v="56"/>
    <x v="90"/>
    <x v="178"/>
    <x v="228"/>
    <x v="232"/>
    <x v="230"/>
    <x v="232"/>
    <x v="194"/>
    <x v="130"/>
    <x v="2"/>
    <x v="222"/>
    <x v="130"/>
    <x v="0"/>
  </r>
  <r>
    <x v="37"/>
    <x v="1"/>
    <x v="9"/>
    <x v="0"/>
    <x v="2"/>
    <x v="0"/>
    <x v="58"/>
    <x v="51"/>
    <x v="45"/>
    <x v="100"/>
    <x v="179"/>
    <x v="229"/>
    <x v="233"/>
    <x v="231"/>
    <x v="233"/>
    <x v="221"/>
    <x v="86"/>
    <x v="112"/>
    <x v="223"/>
    <x v="86"/>
    <x v="2"/>
  </r>
  <r>
    <x v="13"/>
    <x v="0"/>
    <x v="3"/>
    <x v="4"/>
    <x v="5"/>
    <x v="3"/>
    <x v="30"/>
    <x v="49"/>
    <x v="73"/>
    <x v="88"/>
    <x v="180"/>
    <x v="230"/>
    <x v="234"/>
    <x v="232"/>
    <x v="234"/>
    <x v="222"/>
    <x v="131"/>
    <x v="143"/>
    <x v="224"/>
    <x v="131"/>
    <x v="2"/>
  </r>
  <r>
    <x v="38"/>
    <x v="0"/>
    <x v="6"/>
    <x v="2"/>
    <x v="5"/>
    <x v="2"/>
    <x v="20"/>
    <x v="18"/>
    <x v="22"/>
    <x v="99"/>
    <x v="162"/>
    <x v="231"/>
    <x v="235"/>
    <x v="233"/>
    <x v="235"/>
    <x v="223"/>
    <x v="8"/>
    <x v="108"/>
    <x v="225"/>
    <x v="8"/>
    <x v="2"/>
  </r>
  <r>
    <x v="29"/>
    <x v="0"/>
    <x v="4"/>
    <x v="3"/>
    <x v="4"/>
    <x v="3"/>
    <x v="93"/>
    <x v="78"/>
    <x v="39"/>
    <x v="18"/>
    <x v="82"/>
    <x v="232"/>
    <x v="236"/>
    <x v="234"/>
    <x v="236"/>
    <x v="224"/>
    <x v="6"/>
    <x v="66"/>
    <x v="226"/>
    <x v="6"/>
    <x v="2"/>
  </r>
  <r>
    <x v="34"/>
    <x v="0"/>
    <x v="2"/>
    <x v="2"/>
    <x v="2"/>
    <x v="0"/>
    <x v="36"/>
    <x v="71"/>
    <x v="62"/>
    <x v="111"/>
    <x v="181"/>
    <x v="233"/>
    <x v="237"/>
    <x v="235"/>
    <x v="237"/>
    <x v="225"/>
    <x v="132"/>
    <x v="43"/>
    <x v="227"/>
    <x v="132"/>
    <x v="2"/>
  </r>
  <r>
    <x v="16"/>
    <x v="1"/>
    <x v="0"/>
    <x v="3"/>
    <x v="6"/>
    <x v="1"/>
    <x v="84"/>
    <x v="47"/>
    <x v="36"/>
    <x v="68"/>
    <x v="113"/>
    <x v="234"/>
    <x v="238"/>
    <x v="236"/>
    <x v="238"/>
    <x v="226"/>
    <x v="32"/>
    <x v="144"/>
    <x v="228"/>
    <x v="32"/>
    <x v="0"/>
  </r>
  <r>
    <x v="21"/>
    <x v="1"/>
    <x v="4"/>
    <x v="1"/>
    <x v="0"/>
    <x v="3"/>
    <x v="45"/>
    <x v="52"/>
    <x v="24"/>
    <x v="122"/>
    <x v="182"/>
    <x v="235"/>
    <x v="239"/>
    <x v="237"/>
    <x v="239"/>
    <x v="227"/>
    <x v="104"/>
    <x v="145"/>
    <x v="229"/>
    <x v="104"/>
    <x v="0"/>
  </r>
  <r>
    <x v="15"/>
    <x v="1"/>
    <x v="4"/>
    <x v="4"/>
    <x v="2"/>
    <x v="0"/>
    <x v="23"/>
    <x v="46"/>
    <x v="15"/>
    <x v="123"/>
    <x v="170"/>
    <x v="236"/>
    <x v="240"/>
    <x v="238"/>
    <x v="240"/>
    <x v="228"/>
    <x v="133"/>
    <x v="146"/>
    <x v="105"/>
    <x v="133"/>
    <x v="2"/>
  </r>
  <r>
    <x v="48"/>
    <x v="0"/>
    <x v="9"/>
    <x v="2"/>
    <x v="0"/>
    <x v="1"/>
    <x v="97"/>
    <x v="7"/>
    <x v="53"/>
    <x v="37"/>
    <x v="183"/>
    <x v="237"/>
    <x v="241"/>
    <x v="239"/>
    <x v="241"/>
    <x v="229"/>
    <x v="133"/>
    <x v="52"/>
    <x v="230"/>
    <x v="133"/>
    <x v="2"/>
  </r>
  <r>
    <x v="30"/>
    <x v="1"/>
    <x v="5"/>
    <x v="4"/>
    <x v="1"/>
    <x v="3"/>
    <x v="72"/>
    <x v="46"/>
    <x v="69"/>
    <x v="63"/>
    <x v="126"/>
    <x v="238"/>
    <x v="242"/>
    <x v="240"/>
    <x v="242"/>
    <x v="230"/>
    <x v="86"/>
    <x v="85"/>
    <x v="231"/>
    <x v="86"/>
    <x v="1"/>
  </r>
  <r>
    <x v="30"/>
    <x v="1"/>
    <x v="6"/>
    <x v="4"/>
    <x v="2"/>
    <x v="0"/>
    <x v="74"/>
    <x v="12"/>
    <x v="39"/>
    <x v="49"/>
    <x v="179"/>
    <x v="239"/>
    <x v="243"/>
    <x v="241"/>
    <x v="243"/>
    <x v="93"/>
    <x v="134"/>
    <x v="147"/>
    <x v="232"/>
    <x v="134"/>
    <x v="1"/>
  </r>
  <r>
    <x v="53"/>
    <x v="1"/>
    <x v="3"/>
    <x v="3"/>
    <x v="5"/>
    <x v="1"/>
    <x v="12"/>
    <x v="20"/>
    <x v="66"/>
    <x v="117"/>
    <x v="18"/>
    <x v="240"/>
    <x v="244"/>
    <x v="242"/>
    <x v="244"/>
    <x v="231"/>
    <x v="45"/>
    <x v="112"/>
    <x v="233"/>
    <x v="45"/>
    <x v="1"/>
  </r>
  <r>
    <x v="39"/>
    <x v="1"/>
    <x v="4"/>
    <x v="4"/>
    <x v="1"/>
    <x v="1"/>
    <x v="59"/>
    <x v="31"/>
    <x v="73"/>
    <x v="83"/>
    <x v="184"/>
    <x v="241"/>
    <x v="245"/>
    <x v="243"/>
    <x v="245"/>
    <x v="232"/>
    <x v="94"/>
    <x v="148"/>
    <x v="234"/>
    <x v="94"/>
    <x v="2"/>
  </r>
  <r>
    <x v="50"/>
    <x v="1"/>
    <x v="9"/>
    <x v="3"/>
    <x v="2"/>
    <x v="1"/>
    <x v="36"/>
    <x v="56"/>
    <x v="32"/>
    <x v="14"/>
    <x v="185"/>
    <x v="242"/>
    <x v="246"/>
    <x v="244"/>
    <x v="246"/>
    <x v="233"/>
    <x v="106"/>
    <x v="13"/>
    <x v="235"/>
    <x v="106"/>
    <x v="2"/>
  </r>
  <r>
    <x v="32"/>
    <x v="0"/>
    <x v="5"/>
    <x v="3"/>
    <x v="2"/>
    <x v="3"/>
    <x v="51"/>
    <x v="45"/>
    <x v="54"/>
    <x v="14"/>
    <x v="186"/>
    <x v="243"/>
    <x v="247"/>
    <x v="245"/>
    <x v="247"/>
    <x v="234"/>
    <x v="118"/>
    <x v="135"/>
    <x v="236"/>
    <x v="118"/>
    <x v="1"/>
  </r>
  <r>
    <x v="34"/>
    <x v="1"/>
    <x v="9"/>
    <x v="3"/>
    <x v="1"/>
    <x v="1"/>
    <x v="47"/>
    <x v="33"/>
    <x v="82"/>
    <x v="124"/>
    <x v="122"/>
    <x v="244"/>
    <x v="248"/>
    <x v="246"/>
    <x v="248"/>
    <x v="235"/>
    <x v="135"/>
    <x v="149"/>
    <x v="237"/>
    <x v="135"/>
    <x v="2"/>
  </r>
  <r>
    <x v="10"/>
    <x v="0"/>
    <x v="9"/>
    <x v="3"/>
    <x v="5"/>
    <x v="3"/>
    <x v="11"/>
    <x v="13"/>
    <x v="2"/>
    <x v="116"/>
    <x v="180"/>
    <x v="245"/>
    <x v="249"/>
    <x v="247"/>
    <x v="249"/>
    <x v="236"/>
    <x v="117"/>
    <x v="150"/>
    <x v="238"/>
    <x v="117"/>
    <x v="2"/>
  </r>
  <r>
    <x v="33"/>
    <x v="1"/>
    <x v="2"/>
    <x v="2"/>
    <x v="2"/>
    <x v="3"/>
    <x v="59"/>
    <x v="26"/>
    <x v="19"/>
    <x v="22"/>
    <x v="85"/>
    <x v="246"/>
    <x v="250"/>
    <x v="248"/>
    <x v="250"/>
    <x v="237"/>
    <x v="58"/>
    <x v="33"/>
    <x v="239"/>
    <x v="58"/>
    <x v="2"/>
  </r>
  <r>
    <x v="16"/>
    <x v="1"/>
    <x v="3"/>
    <x v="2"/>
    <x v="3"/>
    <x v="3"/>
    <x v="31"/>
    <x v="38"/>
    <x v="18"/>
    <x v="107"/>
    <x v="41"/>
    <x v="247"/>
    <x v="251"/>
    <x v="249"/>
    <x v="251"/>
    <x v="174"/>
    <x v="136"/>
    <x v="151"/>
    <x v="240"/>
    <x v="136"/>
    <x v="0"/>
  </r>
  <r>
    <x v="2"/>
    <x v="0"/>
    <x v="4"/>
    <x v="0"/>
    <x v="1"/>
    <x v="0"/>
    <x v="5"/>
    <x v="64"/>
    <x v="30"/>
    <x v="119"/>
    <x v="187"/>
    <x v="248"/>
    <x v="252"/>
    <x v="250"/>
    <x v="252"/>
    <x v="238"/>
    <x v="137"/>
    <x v="152"/>
    <x v="241"/>
    <x v="137"/>
    <x v="2"/>
  </r>
  <r>
    <x v="57"/>
    <x v="0"/>
    <x v="4"/>
    <x v="3"/>
    <x v="3"/>
    <x v="2"/>
    <x v="15"/>
    <x v="6"/>
    <x v="63"/>
    <x v="85"/>
    <x v="122"/>
    <x v="249"/>
    <x v="253"/>
    <x v="251"/>
    <x v="253"/>
    <x v="239"/>
    <x v="138"/>
    <x v="153"/>
    <x v="242"/>
    <x v="138"/>
    <x v="0"/>
  </r>
  <r>
    <x v="12"/>
    <x v="1"/>
    <x v="5"/>
    <x v="1"/>
    <x v="6"/>
    <x v="0"/>
    <x v="59"/>
    <x v="26"/>
    <x v="28"/>
    <x v="63"/>
    <x v="82"/>
    <x v="250"/>
    <x v="254"/>
    <x v="252"/>
    <x v="254"/>
    <x v="240"/>
    <x v="58"/>
    <x v="44"/>
    <x v="243"/>
    <x v="58"/>
    <x v="0"/>
  </r>
  <r>
    <x v="41"/>
    <x v="1"/>
    <x v="4"/>
    <x v="4"/>
    <x v="0"/>
    <x v="2"/>
    <x v="88"/>
    <x v="69"/>
    <x v="52"/>
    <x v="24"/>
    <x v="188"/>
    <x v="111"/>
    <x v="255"/>
    <x v="253"/>
    <x v="255"/>
    <x v="241"/>
    <x v="36"/>
    <x v="38"/>
    <x v="244"/>
    <x v="36"/>
    <x v="2"/>
  </r>
  <r>
    <x v="39"/>
    <x v="0"/>
    <x v="1"/>
    <x v="1"/>
    <x v="5"/>
    <x v="2"/>
    <x v="91"/>
    <x v="47"/>
    <x v="19"/>
    <x v="33"/>
    <x v="45"/>
    <x v="251"/>
    <x v="256"/>
    <x v="254"/>
    <x v="256"/>
    <x v="242"/>
    <x v="108"/>
    <x v="8"/>
    <x v="245"/>
    <x v="108"/>
    <x v="2"/>
  </r>
  <r>
    <x v="5"/>
    <x v="0"/>
    <x v="0"/>
    <x v="0"/>
    <x v="3"/>
    <x v="0"/>
    <x v="88"/>
    <x v="15"/>
    <x v="9"/>
    <x v="106"/>
    <x v="189"/>
    <x v="252"/>
    <x v="257"/>
    <x v="255"/>
    <x v="257"/>
    <x v="243"/>
    <x v="35"/>
    <x v="133"/>
    <x v="246"/>
    <x v="35"/>
    <x v="2"/>
  </r>
  <r>
    <x v="48"/>
    <x v="0"/>
    <x v="3"/>
    <x v="0"/>
    <x v="6"/>
    <x v="3"/>
    <x v="9"/>
    <x v="61"/>
    <x v="35"/>
    <x v="120"/>
    <x v="190"/>
    <x v="253"/>
    <x v="258"/>
    <x v="256"/>
    <x v="258"/>
    <x v="244"/>
    <x v="139"/>
    <x v="37"/>
    <x v="247"/>
    <x v="139"/>
    <x v="2"/>
  </r>
  <r>
    <x v="19"/>
    <x v="1"/>
    <x v="2"/>
    <x v="3"/>
    <x v="0"/>
    <x v="1"/>
    <x v="27"/>
    <x v="42"/>
    <x v="60"/>
    <x v="92"/>
    <x v="13"/>
    <x v="254"/>
    <x v="259"/>
    <x v="257"/>
    <x v="259"/>
    <x v="245"/>
    <x v="74"/>
    <x v="72"/>
    <x v="248"/>
    <x v="74"/>
    <x v="1"/>
  </r>
  <r>
    <x v="53"/>
    <x v="0"/>
    <x v="5"/>
    <x v="0"/>
    <x v="4"/>
    <x v="2"/>
    <x v="33"/>
    <x v="21"/>
    <x v="56"/>
    <x v="24"/>
    <x v="191"/>
    <x v="255"/>
    <x v="260"/>
    <x v="258"/>
    <x v="260"/>
    <x v="246"/>
    <x v="62"/>
    <x v="22"/>
    <x v="249"/>
    <x v="62"/>
    <x v="1"/>
  </r>
  <r>
    <x v="22"/>
    <x v="0"/>
    <x v="8"/>
    <x v="4"/>
    <x v="3"/>
    <x v="2"/>
    <x v="98"/>
    <x v="44"/>
    <x v="24"/>
    <x v="125"/>
    <x v="188"/>
    <x v="256"/>
    <x v="261"/>
    <x v="259"/>
    <x v="261"/>
    <x v="247"/>
    <x v="60"/>
    <x v="109"/>
    <x v="250"/>
    <x v="60"/>
    <x v="0"/>
  </r>
  <r>
    <x v="36"/>
    <x v="1"/>
    <x v="7"/>
    <x v="2"/>
    <x v="5"/>
    <x v="0"/>
    <x v="75"/>
    <x v="64"/>
    <x v="38"/>
    <x v="101"/>
    <x v="192"/>
    <x v="257"/>
    <x v="262"/>
    <x v="260"/>
    <x v="262"/>
    <x v="248"/>
    <x v="59"/>
    <x v="123"/>
    <x v="251"/>
    <x v="59"/>
    <x v="1"/>
  </r>
  <r>
    <x v="54"/>
    <x v="0"/>
    <x v="0"/>
    <x v="0"/>
    <x v="0"/>
    <x v="1"/>
    <x v="66"/>
    <x v="51"/>
    <x v="74"/>
    <x v="31"/>
    <x v="95"/>
    <x v="258"/>
    <x v="263"/>
    <x v="261"/>
    <x v="263"/>
    <x v="170"/>
    <x v="15"/>
    <x v="151"/>
    <x v="252"/>
    <x v="15"/>
    <x v="0"/>
  </r>
  <r>
    <x v="22"/>
    <x v="0"/>
    <x v="0"/>
    <x v="3"/>
    <x v="3"/>
    <x v="0"/>
    <x v="74"/>
    <x v="74"/>
    <x v="75"/>
    <x v="53"/>
    <x v="193"/>
    <x v="259"/>
    <x v="264"/>
    <x v="262"/>
    <x v="264"/>
    <x v="249"/>
    <x v="80"/>
    <x v="94"/>
    <x v="253"/>
    <x v="80"/>
    <x v="0"/>
  </r>
  <r>
    <x v="42"/>
    <x v="1"/>
    <x v="3"/>
    <x v="4"/>
    <x v="5"/>
    <x v="0"/>
    <x v="64"/>
    <x v="25"/>
    <x v="58"/>
    <x v="126"/>
    <x v="194"/>
    <x v="260"/>
    <x v="265"/>
    <x v="263"/>
    <x v="265"/>
    <x v="250"/>
    <x v="52"/>
    <x v="65"/>
    <x v="91"/>
    <x v="52"/>
    <x v="2"/>
  </r>
  <r>
    <x v="8"/>
    <x v="1"/>
    <x v="2"/>
    <x v="1"/>
    <x v="0"/>
    <x v="2"/>
    <x v="20"/>
    <x v="62"/>
    <x v="82"/>
    <x v="114"/>
    <x v="195"/>
    <x v="261"/>
    <x v="266"/>
    <x v="264"/>
    <x v="266"/>
    <x v="251"/>
    <x v="66"/>
    <x v="89"/>
    <x v="254"/>
    <x v="66"/>
    <x v="2"/>
  </r>
  <r>
    <x v="11"/>
    <x v="0"/>
    <x v="1"/>
    <x v="2"/>
    <x v="1"/>
    <x v="2"/>
    <x v="26"/>
    <x v="35"/>
    <x v="66"/>
    <x v="76"/>
    <x v="126"/>
    <x v="262"/>
    <x v="267"/>
    <x v="265"/>
    <x v="267"/>
    <x v="27"/>
    <x v="139"/>
    <x v="52"/>
    <x v="255"/>
    <x v="139"/>
    <x v="1"/>
  </r>
  <r>
    <x v="21"/>
    <x v="0"/>
    <x v="6"/>
    <x v="0"/>
    <x v="2"/>
    <x v="3"/>
    <x v="99"/>
    <x v="29"/>
    <x v="74"/>
    <x v="28"/>
    <x v="196"/>
    <x v="263"/>
    <x v="268"/>
    <x v="266"/>
    <x v="268"/>
    <x v="252"/>
    <x v="86"/>
    <x v="154"/>
    <x v="256"/>
    <x v="86"/>
    <x v="0"/>
  </r>
  <r>
    <x v="41"/>
    <x v="1"/>
    <x v="2"/>
    <x v="0"/>
    <x v="5"/>
    <x v="3"/>
    <x v="99"/>
    <x v="11"/>
    <x v="72"/>
    <x v="38"/>
    <x v="185"/>
    <x v="264"/>
    <x v="269"/>
    <x v="267"/>
    <x v="269"/>
    <x v="253"/>
    <x v="1"/>
    <x v="155"/>
    <x v="257"/>
    <x v="1"/>
    <x v="2"/>
  </r>
  <r>
    <x v="40"/>
    <x v="1"/>
    <x v="1"/>
    <x v="1"/>
    <x v="0"/>
    <x v="2"/>
    <x v="89"/>
    <x v="66"/>
    <x v="31"/>
    <x v="26"/>
    <x v="197"/>
    <x v="265"/>
    <x v="270"/>
    <x v="268"/>
    <x v="270"/>
    <x v="83"/>
    <x v="95"/>
    <x v="132"/>
    <x v="156"/>
    <x v="95"/>
    <x v="2"/>
  </r>
  <r>
    <x v="2"/>
    <x v="0"/>
    <x v="9"/>
    <x v="0"/>
    <x v="0"/>
    <x v="3"/>
    <x v="100"/>
    <x v="69"/>
    <x v="61"/>
    <x v="99"/>
    <x v="198"/>
    <x v="266"/>
    <x v="271"/>
    <x v="269"/>
    <x v="271"/>
    <x v="254"/>
    <x v="117"/>
    <x v="68"/>
    <x v="258"/>
    <x v="117"/>
    <x v="2"/>
  </r>
  <r>
    <x v="18"/>
    <x v="1"/>
    <x v="8"/>
    <x v="3"/>
    <x v="6"/>
    <x v="2"/>
    <x v="45"/>
    <x v="38"/>
    <x v="82"/>
    <x v="1"/>
    <x v="199"/>
    <x v="267"/>
    <x v="272"/>
    <x v="270"/>
    <x v="272"/>
    <x v="255"/>
    <x v="140"/>
    <x v="70"/>
    <x v="259"/>
    <x v="140"/>
    <x v="2"/>
  </r>
  <r>
    <x v="58"/>
    <x v="1"/>
    <x v="8"/>
    <x v="1"/>
    <x v="2"/>
    <x v="1"/>
    <x v="56"/>
    <x v="26"/>
    <x v="69"/>
    <x v="127"/>
    <x v="200"/>
    <x v="268"/>
    <x v="273"/>
    <x v="271"/>
    <x v="273"/>
    <x v="256"/>
    <x v="98"/>
    <x v="124"/>
    <x v="260"/>
    <x v="98"/>
    <x v="0"/>
  </r>
  <r>
    <x v="3"/>
    <x v="0"/>
    <x v="3"/>
    <x v="2"/>
    <x v="6"/>
    <x v="3"/>
    <x v="26"/>
    <x v="28"/>
    <x v="83"/>
    <x v="128"/>
    <x v="201"/>
    <x v="203"/>
    <x v="274"/>
    <x v="272"/>
    <x v="274"/>
    <x v="257"/>
    <x v="110"/>
    <x v="67"/>
    <x v="261"/>
    <x v="110"/>
    <x v="0"/>
  </r>
  <r>
    <x v="13"/>
    <x v="0"/>
    <x v="5"/>
    <x v="3"/>
    <x v="1"/>
    <x v="2"/>
    <x v="48"/>
    <x v="57"/>
    <x v="31"/>
    <x v="78"/>
    <x v="202"/>
    <x v="269"/>
    <x v="275"/>
    <x v="273"/>
    <x v="275"/>
    <x v="258"/>
    <x v="63"/>
    <x v="156"/>
    <x v="262"/>
    <x v="63"/>
    <x v="2"/>
  </r>
  <r>
    <x v="8"/>
    <x v="1"/>
    <x v="6"/>
    <x v="2"/>
    <x v="0"/>
    <x v="2"/>
    <x v="65"/>
    <x v="46"/>
    <x v="14"/>
    <x v="93"/>
    <x v="203"/>
    <x v="270"/>
    <x v="276"/>
    <x v="274"/>
    <x v="276"/>
    <x v="259"/>
    <x v="98"/>
    <x v="96"/>
    <x v="263"/>
    <x v="98"/>
    <x v="2"/>
  </r>
  <r>
    <x v="17"/>
    <x v="0"/>
    <x v="4"/>
    <x v="3"/>
    <x v="1"/>
    <x v="0"/>
    <x v="14"/>
    <x v="72"/>
    <x v="65"/>
    <x v="45"/>
    <x v="202"/>
    <x v="271"/>
    <x v="277"/>
    <x v="275"/>
    <x v="277"/>
    <x v="260"/>
    <x v="141"/>
    <x v="86"/>
    <x v="264"/>
    <x v="141"/>
    <x v="1"/>
  </r>
  <r>
    <x v="57"/>
    <x v="0"/>
    <x v="0"/>
    <x v="2"/>
    <x v="3"/>
    <x v="3"/>
    <x v="33"/>
    <x v="45"/>
    <x v="34"/>
    <x v="127"/>
    <x v="149"/>
    <x v="272"/>
    <x v="278"/>
    <x v="276"/>
    <x v="278"/>
    <x v="261"/>
    <x v="80"/>
    <x v="69"/>
    <x v="265"/>
    <x v="80"/>
    <x v="0"/>
  </r>
  <r>
    <x v="52"/>
    <x v="1"/>
    <x v="5"/>
    <x v="1"/>
    <x v="0"/>
    <x v="3"/>
    <x v="45"/>
    <x v="47"/>
    <x v="15"/>
    <x v="87"/>
    <x v="204"/>
    <x v="273"/>
    <x v="279"/>
    <x v="277"/>
    <x v="279"/>
    <x v="262"/>
    <x v="101"/>
    <x v="85"/>
    <x v="75"/>
    <x v="101"/>
    <x v="2"/>
  </r>
  <r>
    <x v="19"/>
    <x v="1"/>
    <x v="4"/>
    <x v="0"/>
    <x v="0"/>
    <x v="3"/>
    <x v="76"/>
    <x v="53"/>
    <x v="76"/>
    <x v="129"/>
    <x v="105"/>
    <x v="274"/>
    <x v="280"/>
    <x v="278"/>
    <x v="280"/>
    <x v="263"/>
    <x v="86"/>
    <x v="157"/>
    <x v="266"/>
    <x v="86"/>
    <x v="1"/>
  </r>
  <r>
    <x v="48"/>
    <x v="0"/>
    <x v="3"/>
    <x v="4"/>
    <x v="6"/>
    <x v="0"/>
    <x v="0"/>
    <x v="6"/>
    <x v="14"/>
    <x v="130"/>
    <x v="34"/>
    <x v="275"/>
    <x v="281"/>
    <x v="279"/>
    <x v="281"/>
    <x v="264"/>
    <x v="98"/>
    <x v="158"/>
    <x v="263"/>
    <x v="98"/>
    <x v="2"/>
  </r>
  <r>
    <x v="7"/>
    <x v="1"/>
    <x v="4"/>
    <x v="3"/>
    <x v="3"/>
    <x v="3"/>
    <x v="59"/>
    <x v="33"/>
    <x v="60"/>
    <x v="0"/>
    <x v="205"/>
    <x v="276"/>
    <x v="282"/>
    <x v="280"/>
    <x v="282"/>
    <x v="157"/>
    <x v="20"/>
    <x v="159"/>
    <x v="267"/>
    <x v="20"/>
    <x v="2"/>
  </r>
  <r>
    <x v="18"/>
    <x v="0"/>
    <x v="7"/>
    <x v="4"/>
    <x v="4"/>
    <x v="1"/>
    <x v="101"/>
    <x v="24"/>
    <x v="34"/>
    <x v="131"/>
    <x v="128"/>
    <x v="277"/>
    <x v="283"/>
    <x v="281"/>
    <x v="283"/>
    <x v="265"/>
    <x v="74"/>
    <x v="147"/>
    <x v="268"/>
    <x v="74"/>
    <x v="2"/>
  </r>
  <r>
    <x v="16"/>
    <x v="0"/>
    <x v="5"/>
    <x v="3"/>
    <x v="5"/>
    <x v="3"/>
    <x v="18"/>
    <x v="66"/>
    <x v="76"/>
    <x v="87"/>
    <x v="34"/>
    <x v="278"/>
    <x v="284"/>
    <x v="282"/>
    <x v="284"/>
    <x v="266"/>
    <x v="133"/>
    <x v="160"/>
    <x v="269"/>
    <x v="133"/>
    <x v="0"/>
  </r>
  <r>
    <x v="19"/>
    <x v="1"/>
    <x v="1"/>
    <x v="2"/>
    <x v="4"/>
    <x v="0"/>
    <x v="8"/>
    <x v="3"/>
    <x v="77"/>
    <x v="104"/>
    <x v="153"/>
    <x v="279"/>
    <x v="285"/>
    <x v="283"/>
    <x v="285"/>
    <x v="267"/>
    <x v="141"/>
    <x v="155"/>
    <x v="270"/>
    <x v="141"/>
    <x v="1"/>
  </r>
  <r>
    <x v="18"/>
    <x v="0"/>
    <x v="1"/>
    <x v="1"/>
    <x v="4"/>
    <x v="0"/>
    <x v="11"/>
    <x v="51"/>
    <x v="6"/>
    <x v="16"/>
    <x v="206"/>
    <x v="280"/>
    <x v="286"/>
    <x v="284"/>
    <x v="286"/>
    <x v="268"/>
    <x v="44"/>
    <x v="136"/>
    <x v="271"/>
    <x v="44"/>
    <x v="2"/>
  </r>
  <r>
    <x v="30"/>
    <x v="0"/>
    <x v="9"/>
    <x v="4"/>
    <x v="0"/>
    <x v="2"/>
    <x v="1"/>
    <x v="29"/>
    <x v="73"/>
    <x v="6"/>
    <x v="165"/>
    <x v="281"/>
    <x v="287"/>
    <x v="285"/>
    <x v="287"/>
    <x v="269"/>
    <x v="65"/>
    <x v="40"/>
    <x v="272"/>
    <x v="65"/>
    <x v="1"/>
  </r>
  <r>
    <x v="12"/>
    <x v="1"/>
    <x v="5"/>
    <x v="1"/>
    <x v="0"/>
    <x v="2"/>
    <x v="75"/>
    <x v="53"/>
    <x v="68"/>
    <x v="3"/>
    <x v="123"/>
    <x v="282"/>
    <x v="288"/>
    <x v="286"/>
    <x v="288"/>
    <x v="270"/>
    <x v="123"/>
    <x v="153"/>
    <x v="273"/>
    <x v="123"/>
    <x v="0"/>
  </r>
  <r>
    <x v="25"/>
    <x v="1"/>
    <x v="4"/>
    <x v="2"/>
    <x v="2"/>
    <x v="1"/>
    <x v="85"/>
    <x v="56"/>
    <x v="27"/>
    <x v="132"/>
    <x v="102"/>
    <x v="283"/>
    <x v="289"/>
    <x v="287"/>
    <x v="289"/>
    <x v="271"/>
    <x v="29"/>
    <x v="14"/>
    <x v="117"/>
    <x v="29"/>
    <x v="0"/>
  </r>
  <r>
    <x v="29"/>
    <x v="1"/>
    <x v="4"/>
    <x v="1"/>
    <x v="4"/>
    <x v="1"/>
    <x v="98"/>
    <x v="79"/>
    <x v="68"/>
    <x v="104"/>
    <x v="145"/>
    <x v="284"/>
    <x v="290"/>
    <x v="288"/>
    <x v="290"/>
    <x v="272"/>
    <x v="142"/>
    <x v="18"/>
    <x v="274"/>
    <x v="142"/>
    <x v="2"/>
  </r>
  <r>
    <x v="16"/>
    <x v="1"/>
    <x v="7"/>
    <x v="3"/>
    <x v="2"/>
    <x v="3"/>
    <x v="102"/>
    <x v="67"/>
    <x v="9"/>
    <x v="129"/>
    <x v="207"/>
    <x v="285"/>
    <x v="291"/>
    <x v="289"/>
    <x v="291"/>
    <x v="180"/>
    <x v="60"/>
    <x v="153"/>
    <x v="275"/>
    <x v="60"/>
    <x v="0"/>
  </r>
  <r>
    <x v="50"/>
    <x v="0"/>
    <x v="5"/>
    <x v="1"/>
    <x v="6"/>
    <x v="3"/>
    <x v="89"/>
    <x v="63"/>
    <x v="57"/>
    <x v="37"/>
    <x v="208"/>
    <x v="286"/>
    <x v="292"/>
    <x v="290"/>
    <x v="292"/>
    <x v="273"/>
    <x v="143"/>
    <x v="34"/>
    <x v="219"/>
    <x v="143"/>
    <x v="2"/>
  </r>
  <r>
    <x v="24"/>
    <x v="1"/>
    <x v="8"/>
    <x v="2"/>
    <x v="1"/>
    <x v="1"/>
    <x v="76"/>
    <x v="5"/>
    <x v="40"/>
    <x v="13"/>
    <x v="209"/>
    <x v="287"/>
    <x v="293"/>
    <x v="291"/>
    <x v="293"/>
    <x v="274"/>
    <x v="104"/>
    <x v="1"/>
    <x v="276"/>
    <x v="104"/>
    <x v="1"/>
  </r>
  <r>
    <x v="39"/>
    <x v="1"/>
    <x v="7"/>
    <x v="0"/>
    <x v="0"/>
    <x v="0"/>
    <x v="103"/>
    <x v="41"/>
    <x v="62"/>
    <x v="1"/>
    <x v="4"/>
    <x v="288"/>
    <x v="294"/>
    <x v="292"/>
    <x v="294"/>
    <x v="14"/>
    <x v="139"/>
    <x v="161"/>
    <x v="57"/>
    <x v="139"/>
    <x v="2"/>
  </r>
  <r>
    <x v="33"/>
    <x v="1"/>
    <x v="8"/>
    <x v="1"/>
    <x v="1"/>
    <x v="3"/>
    <x v="56"/>
    <x v="3"/>
    <x v="72"/>
    <x v="39"/>
    <x v="1"/>
    <x v="289"/>
    <x v="295"/>
    <x v="293"/>
    <x v="295"/>
    <x v="275"/>
    <x v="35"/>
    <x v="137"/>
    <x v="277"/>
    <x v="35"/>
    <x v="2"/>
  </r>
  <r>
    <x v="37"/>
    <x v="1"/>
    <x v="5"/>
    <x v="0"/>
    <x v="2"/>
    <x v="0"/>
    <x v="17"/>
    <x v="70"/>
    <x v="81"/>
    <x v="74"/>
    <x v="25"/>
    <x v="290"/>
    <x v="296"/>
    <x v="294"/>
    <x v="296"/>
    <x v="276"/>
    <x v="1"/>
    <x v="54"/>
    <x v="278"/>
    <x v="1"/>
    <x v="2"/>
  </r>
  <r>
    <x v="20"/>
    <x v="1"/>
    <x v="6"/>
    <x v="0"/>
    <x v="3"/>
    <x v="3"/>
    <x v="86"/>
    <x v="24"/>
    <x v="36"/>
    <x v="133"/>
    <x v="24"/>
    <x v="291"/>
    <x v="297"/>
    <x v="295"/>
    <x v="297"/>
    <x v="277"/>
    <x v="93"/>
    <x v="162"/>
    <x v="172"/>
    <x v="93"/>
    <x v="1"/>
  </r>
  <r>
    <x v="13"/>
    <x v="0"/>
    <x v="2"/>
    <x v="2"/>
    <x v="4"/>
    <x v="1"/>
    <x v="61"/>
    <x v="77"/>
    <x v="84"/>
    <x v="9"/>
    <x v="210"/>
    <x v="292"/>
    <x v="298"/>
    <x v="296"/>
    <x v="298"/>
    <x v="278"/>
    <x v="26"/>
    <x v="163"/>
    <x v="279"/>
    <x v="26"/>
    <x v="2"/>
  </r>
  <r>
    <x v="38"/>
    <x v="0"/>
    <x v="0"/>
    <x v="4"/>
    <x v="6"/>
    <x v="0"/>
    <x v="71"/>
    <x v="67"/>
    <x v="79"/>
    <x v="50"/>
    <x v="35"/>
    <x v="92"/>
    <x v="299"/>
    <x v="297"/>
    <x v="299"/>
    <x v="279"/>
    <x v="144"/>
    <x v="59"/>
    <x v="280"/>
    <x v="144"/>
    <x v="2"/>
  </r>
  <r>
    <x v="56"/>
    <x v="0"/>
    <x v="6"/>
    <x v="4"/>
    <x v="2"/>
    <x v="0"/>
    <x v="75"/>
    <x v="0"/>
    <x v="37"/>
    <x v="4"/>
    <x v="211"/>
    <x v="293"/>
    <x v="300"/>
    <x v="298"/>
    <x v="300"/>
    <x v="280"/>
    <x v="49"/>
    <x v="164"/>
    <x v="281"/>
    <x v="49"/>
    <x v="2"/>
  </r>
  <r>
    <x v="40"/>
    <x v="1"/>
    <x v="4"/>
    <x v="0"/>
    <x v="0"/>
    <x v="3"/>
    <x v="42"/>
    <x v="69"/>
    <x v="63"/>
    <x v="28"/>
    <x v="212"/>
    <x v="294"/>
    <x v="301"/>
    <x v="211"/>
    <x v="301"/>
    <x v="281"/>
    <x v="71"/>
    <x v="12"/>
    <x v="282"/>
    <x v="71"/>
    <x v="2"/>
  </r>
  <r>
    <x v="24"/>
    <x v="0"/>
    <x v="5"/>
    <x v="0"/>
    <x v="2"/>
    <x v="0"/>
    <x v="7"/>
    <x v="17"/>
    <x v="20"/>
    <x v="126"/>
    <x v="62"/>
    <x v="295"/>
    <x v="302"/>
    <x v="299"/>
    <x v="302"/>
    <x v="282"/>
    <x v="143"/>
    <x v="130"/>
    <x v="283"/>
    <x v="143"/>
    <x v="1"/>
  </r>
  <r>
    <x v="8"/>
    <x v="0"/>
    <x v="7"/>
    <x v="0"/>
    <x v="5"/>
    <x v="3"/>
    <x v="28"/>
    <x v="55"/>
    <x v="58"/>
    <x v="5"/>
    <x v="213"/>
    <x v="296"/>
    <x v="303"/>
    <x v="300"/>
    <x v="303"/>
    <x v="283"/>
    <x v="1"/>
    <x v="135"/>
    <x v="91"/>
    <x v="1"/>
    <x v="2"/>
  </r>
  <r>
    <x v="50"/>
    <x v="0"/>
    <x v="9"/>
    <x v="0"/>
    <x v="5"/>
    <x v="2"/>
    <x v="1"/>
    <x v="19"/>
    <x v="27"/>
    <x v="67"/>
    <x v="214"/>
    <x v="297"/>
    <x v="304"/>
    <x v="301"/>
    <x v="304"/>
    <x v="284"/>
    <x v="119"/>
    <x v="37"/>
    <x v="284"/>
    <x v="119"/>
    <x v="2"/>
  </r>
  <r>
    <x v="35"/>
    <x v="1"/>
    <x v="7"/>
    <x v="0"/>
    <x v="4"/>
    <x v="0"/>
    <x v="70"/>
    <x v="39"/>
    <x v="31"/>
    <x v="59"/>
    <x v="215"/>
    <x v="298"/>
    <x v="305"/>
    <x v="302"/>
    <x v="305"/>
    <x v="285"/>
    <x v="42"/>
    <x v="165"/>
    <x v="285"/>
    <x v="42"/>
    <x v="2"/>
  </r>
  <r>
    <x v="57"/>
    <x v="0"/>
    <x v="6"/>
    <x v="3"/>
    <x v="5"/>
    <x v="0"/>
    <x v="63"/>
    <x v="9"/>
    <x v="11"/>
    <x v="104"/>
    <x v="216"/>
    <x v="299"/>
    <x v="306"/>
    <x v="303"/>
    <x v="306"/>
    <x v="286"/>
    <x v="70"/>
    <x v="125"/>
    <x v="286"/>
    <x v="70"/>
    <x v="0"/>
  </r>
  <r>
    <x v="12"/>
    <x v="1"/>
    <x v="8"/>
    <x v="3"/>
    <x v="5"/>
    <x v="3"/>
    <x v="93"/>
    <x v="66"/>
    <x v="31"/>
    <x v="58"/>
    <x v="37"/>
    <x v="300"/>
    <x v="307"/>
    <x v="304"/>
    <x v="307"/>
    <x v="287"/>
    <x v="76"/>
    <x v="45"/>
    <x v="287"/>
    <x v="76"/>
    <x v="0"/>
  </r>
  <r>
    <x v="13"/>
    <x v="0"/>
    <x v="4"/>
    <x v="2"/>
    <x v="1"/>
    <x v="2"/>
    <x v="45"/>
    <x v="32"/>
    <x v="2"/>
    <x v="85"/>
    <x v="110"/>
    <x v="301"/>
    <x v="308"/>
    <x v="305"/>
    <x v="308"/>
    <x v="288"/>
    <x v="145"/>
    <x v="40"/>
    <x v="288"/>
    <x v="145"/>
    <x v="2"/>
  </r>
  <r>
    <x v="54"/>
    <x v="1"/>
    <x v="9"/>
    <x v="4"/>
    <x v="5"/>
    <x v="3"/>
    <x v="35"/>
    <x v="11"/>
    <x v="78"/>
    <x v="75"/>
    <x v="178"/>
    <x v="302"/>
    <x v="309"/>
    <x v="306"/>
    <x v="309"/>
    <x v="289"/>
    <x v="86"/>
    <x v="0"/>
    <x v="289"/>
    <x v="86"/>
    <x v="0"/>
  </r>
  <r>
    <x v="16"/>
    <x v="0"/>
    <x v="0"/>
    <x v="3"/>
    <x v="0"/>
    <x v="0"/>
    <x v="11"/>
    <x v="8"/>
    <x v="29"/>
    <x v="48"/>
    <x v="173"/>
    <x v="303"/>
    <x v="310"/>
    <x v="307"/>
    <x v="310"/>
    <x v="290"/>
    <x v="134"/>
    <x v="100"/>
    <x v="290"/>
    <x v="134"/>
    <x v="0"/>
  </r>
  <r>
    <x v="34"/>
    <x v="1"/>
    <x v="4"/>
    <x v="2"/>
    <x v="6"/>
    <x v="2"/>
    <x v="87"/>
    <x v="58"/>
    <x v="25"/>
    <x v="113"/>
    <x v="217"/>
    <x v="304"/>
    <x v="311"/>
    <x v="308"/>
    <x v="311"/>
    <x v="291"/>
    <x v="146"/>
    <x v="76"/>
    <x v="291"/>
    <x v="146"/>
    <x v="2"/>
  </r>
  <r>
    <x v="17"/>
    <x v="1"/>
    <x v="3"/>
    <x v="2"/>
    <x v="0"/>
    <x v="1"/>
    <x v="3"/>
    <x v="21"/>
    <x v="41"/>
    <x v="134"/>
    <x v="218"/>
    <x v="305"/>
    <x v="312"/>
    <x v="309"/>
    <x v="312"/>
    <x v="292"/>
    <x v="140"/>
    <x v="38"/>
    <x v="292"/>
    <x v="140"/>
    <x v="1"/>
  </r>
  <r>
    <x v="8"/>
    <x v="1"/>
    <x v="1"/>
    <x v="0"/>
    <x v="4"/>
    <x v="3"/>
    <x v="56"/>
    <x v="53"/>
    <x v="82"/>
    <x v="135"/>
    <x v="219"/>
    <x v="306"/>
    <x v="313"/>
    <x v="310"/>
    <x v="313"/>
    <x v="293"/>
    <x v="61"/>
    <x v="28"/>
    <x v="293"/>
    <x v="61"/>
    <x v="2"/>
  </r>
  <r>
    <x v="0"/>
    <x v="0"/>
    <x v="4"/>
    <x v="2"/>
    <x v="5"/>
    <x v="3"/>
    <x v="71"/>
    <x v="38"/>
    <x v="14"/>
    <x v="35"/>
    <x v="62"/>
    <x v="307"/>
    <x v="314"/>
    <x v="311"/>
    <x v="314"/>
    <x v="173"/>
    <x v="61"/>
    <x v="96"/>
    <x v="294"/>
    <x v="61"/>
    <x v="0"/>
  </r>
  <r>
    <x v="22"/>
    <x v="0"/>
    <x v="4"/>
    <x v="2"/>
    <x v="5"/>
    <x v="1"/>
    <x v="63"/>
    <x v="43"/>
    <x v="26"/>
    <x v="136"/>
    <x v="54"/>
    <x v="308"/>
    <x v="315"/>
    <x v="312"/>
    <x v="315"/>
    <x v="294"/>
    <x v="113"/>
    <x v="21"/>
    <x v="295"/>
    <x v="113"/>
    <x v="0"/>
  </r>
  <r>
    <x v="47"/>
    <x v="1"/>
    <x v="3"/>
    <x v="3"/>
    <x v="0"/>
    <x v="1"/>
    <x v="69"/>
    <x v="68"/>
    <x v="7"/>
    <x v="114"/>
    <x v="220"/>
    <x v="309"/>
    <x v="316"/>
    <x v="313"/>
    <x v="316"/>
    <x v="295"/>
    <x v="102"/>
    <x v="166"/>
    <x v="296"/>
    <x v="102"/>
    <x v="0"/>
  </r>
  <r>
    <x v="16"/>
    <x v="1"/>
    <x v="3"/>
    <x v="4"/>
    <x v="3"/>
    <x v="2"/>
    <x v="21"/>
    <x v="77"/>
    <x v="43"/>
    <x v="26"/>
    <x v="114"/>
    <x v="310"/>
    <x v="317"/>
    <x v="314"/>
    <x v="317"/>
    <x v="296"/>
    <x v="84"/>
    <x v="12"/>
    <x v="297"/>
    <x v="84"/>
    <x v="0"/>
  </r>
  <r>
    <x v="10"/>
    <x v="0"/>
    <x v="6"/>
    <x v="4"/>
    <x v="3"/>
    <x v="3"/>
    <x v="104"/>
    <x v="71"/>
    <x v="70"/>
    <x v="133"/>
    <x v="70"/>
    <x v="42"/>
    <x v="318"/>
    <x v="315"/>
    <x v="318"/>
    <x v="297"/>
    <x v="147"/>
    <x v="160"/>
    <x v="298"/>
    <x v="147"/>
    <x v="2"/>
  </r>
  <r>
    <x v="0"/>
    <x v="1"/>
    <x v="2"/>
    <x v="3"/>
    <x v="4"/>
    <x v="1"/>
    <x v="47"/>
    <x v="46"/>
    <x v="67"/>
    <x v="24"/>
    <x v="120"/>
    <x v="311"/>
    <x v="319"/>
    <x v="316"/>
    <x v="319"/>
    <x v="298"/>
    <x v="13"/>
    <x v="13"/>
    <x v="256"/>
    <x v="13"/>
    <x v="0"/>
  </r>
  <r>
    <x v="53"/>
    <x v="0"/>
    <x v="0"/>
    <x v="0"/>
    <x v="4"/>
    <x v="3"/>
    <x v="21"/>
    <x v="51"/>
    <x v="74"/>
    <x v="137"/>
    <x v="84"/>
    <x v="312"/>
    <x v="320"/>
    <x v="317"/>
    <x v="320"/>
    <x v="299"/>
    <x v="119"/>
    <x v="167"/>
    <x v="299"/>
    <x v="119"/>
    <x v="1"/>
  </r>
  <r>
    <x v="5"/>
    <x v="1"/>
    <x v="6"/>
    <x v="0"/>
    <x v="0"/>
    <x v="1"/>
    <x v="105"/>
    <x v="23"/>
    <x v="26"/>
    <x v="64"/>
    <x v="221"/>
    <x v="313"/>
    <x v="321"/>
    <x v="318"/>
    <x v="321"/>
    <x v="300"/>
    <x v="148"/>
    <x v="42"/>
    <x v="300"/>
    <x v="148"/>
    <x v="2"/>
  </r>
  <r>
    <x v="37"/>
    <x v="1"/>
    <x v="0"/>
    <x v="1"/>
    <x v="6"/>
    <x v="3"/>
    <x v="68"/>
    <x v="10"/>
    <x v="75"/>
    <x v="8"/>
    <x v="10"/>
    <x v="314"/>
    <x v="322"/>
    <x v="319"/>
    <x v="322"/>
    <x v="301"/>
    <x v="149"/>
    <x v="75"/>
    <x v="301"/>
    <x v="149"/>
    <x v="2"/>
  </r>
  <r>
    <x v="53"/>
    <x v="0"/>
    <x v="5"/>
    <x v="4"/>
    <x v="6"/>
    <x v="2"/>
    <x v="79"/>
    <x v="76"/>
    <x v="51"/>
    <x v="71"/>
    <x v="222"/>
    <x v="315"/>
    <x v="323"/>
    <x v="320"/>
    <x v="323"/>
    <x v="302"/>
    <x v="125"/>
    <x v="124"/>
    <x v="75"/>
    <x v="125"/>
    <x v="1"/>
  </r>
  <r>
    <x v="26"/>
    <x v="1"/>
    <x v="3"/>
    <x v="0"/>
    <x v="6"/>
    <x v="2"/>
    <x v="57"/>
    <x v="52"/>
    <x v="15"/>
    <x v="31"/>
    <x v="223"/>
    <x v="316"/>
    <x v="324"/>
    <x v="321"/>
    <x v="324"/>
    <x v="303"/>
    <x v="150"/>
    <x v="8"/>
    <x v="302"/>
    <x v="150"/>
    <x v="2"/>
  </r>
  <r>
    <x v="4"/>
    <x v="1"/>
    <x v="7"/>
    <x v="3"/>
    <x v="5"/>
    <x v="2"/>
    <x v="36"/>
    <x v="22"/>
    <x v="56"/>
    <x v="32"/>
    <x v="77"/>
    <x v="317"/>
    <x v="325"/>
    <x v="322"/>
    <x v="325"/>
    <x v="304"/>
    <x v="38"/>
    <x v="52"/>
    <x v="89"/>
    <x v="38"/>
    <x v="1"/>
  </r>
  <r>
    <x v="17"/>
    <x v="1"/>
    <x v="1"/>
    <x v="0"/>
    <x v="6"/>
    <x v="2"/>
    <x v="21"/>
    <x v="19"/>
    <x v="79"/>
    <x v="60"/>
    <x v="224"/>
    <x v="318"/>
    <x v="326"/>
    <x v="323"/>
    <x v="326"/>
    <x v="305"/>
    <x v="17"/>
    <x v="60"/>
    <x v="303"/>
    <x v="17"/>
    <x v="1"/>
  </r>
  <r>
    <x v="57"/>
    <x v="0"/>
    <x v="1"/>
    <x v="0"/>
    <x v="3"/>
    <x v="0"/>
    <x v="69"/>
    <x v="57"/>
    <x v="62"/>
    <x v="128"/>
    <x v="225"/>
    <x v="319"/>
    <x v="327"/>
    <x v="324"/>
    <x v="327"/>
    <x v="306"/>
    <x v="82"/>
    <x v="117"/>
    <x v="304"/>
    <x v="82"/>
    <x v="0"/>
  </r>
  <r>
    <x v="13"/>
    <x v="0"/>
    <x v="3"/>
    <x v="3"/>
    <x v="1"/>
    <x v="3"/>
    <x v="51"/>
    <x v="37"/>
    <x v="81"/>
    <x v="22"/>
    <x v="211"/>
    <x v="320"/>
    <x v="328"/>
    <x v="325"/>
    <x v="328"/>
    <x v="307"/>
    <x v="42"/>
    <x v="168"/>
    <x v="305"/>
    <x v="42"/>
    <x v="2"/>
  </r>
  <r>
    <x v="38"/>
    <x v="1"/>
    <x v="6"/>
    <x v="0"/>
    <x v="1"/>
    <x v="1"/>
    <x v="85"/>
    <x v="26"/>
    <x v="33"/>
    <x v="138"/>
    <x v="226"/>
    <x v="321"/>
    <x v="329"/>
    <x v="326"/>
    <x v="329"/>
    <x v="308"/>
    <x v="117"/>
    <x v="43"/>
    <x v="306"/>
    <x v="117"/>
    <x v="2"/>
  </r>
  <r>
    <x v="41"/>
    <x v="0"/>
    <x v="3"/>
    <x v="4"/>
    <x v="1"/>
    <x v="2"/>
    <x v="20"/>
    <x v="23"/>
    <x v="28"/>
    <x v="98"/>
    <x v="227"/>
    <x v="322"/>
    <x v="330"/>
    <x v="327"/>
    <x v="330"/>
    <x v="309"/>
    <x v="110"/>
    <x v="33"/>
    <x v="307"/>
    <x v="110"/>
    <x v="2"/>
  </r>
  <r>
    <x v="20"/>
    <x v="0"/>
    <x v="7"/>
    <x v="4"/>
    <x v="1"/>
    <x v="0"/>
    <x v="54"/>
    <x v="78"/>
    <x v="40"/>
    <x v="49"/>
    <x v="228"/>
    <x v="323"/>
    <x v="331"/>
    <x v="328"/>
    <x v="331"/>
    <x v="310"/>
    <x v="151"/>
    <x v="169"/>
    <x v="308"/>
    <x v="151"/>
    <x v="1"/>
  </r>
  <r>
    <x v="42"/>
    <x v="0"/>
    <x v="8"/>
    <x v="1"/>
    <x v="1"/>
    <x v="3"/>
    <x v="12"/>
    <x v="61"/>
    <x v="11"/>
    <x v="111"/>
    <x v="41"/>
    <x v="324"/>
    <x v="332"/>
    <x v="329"/>
    <x v="332"/>
    <x v="311"/>
    <x v="140"/>
    <x v="86"/>
    <x v="309"/>
    <x v="140"/>
    <x v="2"/>
  </r>
  <r>
    <x v="1"/>
    <x v="0"/>
    <x v="9"/>
    <x v="1"/>
    <x v="2"/>
    <x v="0"/>
    <x v="29"/>
    <x v="4"/>
    <x v="64"/>
    <x v="109"/>
    <x v="185"/>
    <x v="325"/>
    <x v="333"/>
    <x v="330"/>
    <x v="333"/>
    <x v="312"/>
    <x v="111"/>
    <x v="68"/>
    <x v="310"/>
    <x v="111"/>
    <x v="1"/>
  </r>
  <r>
    <x v="15"/>
    <x v="0"/>
    <x v="7"/>
    <x v="2"/>
    <x v="3"/>
    <x v="0"/>
    <x v="3"/>
    <x v="44"/>
    <x v="22"/>
    <x v="35"/>
    <x v="229"/>
    <x v="326"/>
    <x v="334"/>
    <x v="331"/>
    <x v="334"/>
    <x v="313"/>
    <x v="29"/>
    <x v="158"/>
    <x v="311"/>
    <x v="29"/>
    <x v="2"/>
  </r>
  <r>
    <x v="34"/>
    <x v="0"/>
    <x v="9"/>
    <x v="0"/>
    <x v="6"/>
    <x v="3"/>
    <x v="34"/>
    <x v="0"/>
    <x v="33"/>
    <x v="58"/>
    <x v="136"/>
    <x v="327"/>
    <x v="335"/>
    <x v="332"/>
    <x v="335"/>
    <x v="71"/>
    <x v="152"/>
    <x v="61"/>
    <x v="312"/>
    <x v="152"/>
    <x v="2"/>
  </r>
  <r>
    <x v="28"/>
    <x v="0"/>
    <x v="3"/>
    <x v="1"/>
    <x v="4"/>
    <x v="1"/>
    <x v="13"/>
    <x v="48"/>
    <x v="63"/>
    <x v="139"/>
    <x v="230"/>
    <x v="75"/>
    <x v="336"/>
    <x v="333"/>
    <x v="336"/>
    <x v="188"/>
    <x v="153"/>
    <x v="170"/>
    <x v="313"/>
    <x v="153"/>
    <x v="0"/>
  </r>
  <r>
    <x v="57"/>
    <x v="1"/>
    <x v="4"/>
    <x v="0"/>
    <x v="4"/>
    <x v="1"/>
    <x v="94"/>
    <x v="45"/>
    <x v="73"/>
    <x v="74"/>
    <x v="231"/>
    <x v="51"/>
    <x v="337"/>
    <x v="334"/>
    <x v="337"/>
    <x v="314"/>
    <x v="25"/>
    <x v="171"/>
    <x v="314"/>
    <x v="25"/>
    <x v="0"/>
  </r>
  <r>
    <x v="43"/>
    <x v="0"/>
    <x v="9"/>
    <x v="3"/>
    <x v="0"/>
    <x v="1"/>
    <x v="46"/>
    <x v="67"/>
    <x v="7"/>
    <x v="81"/>
    <x v="149"/>
    <x v="328"/>
    <x v="338"/>
    <x v="335"/>
    <x v="338"/>
    <x v="315"/>
    <x v="49"/>
    <x v="66"/>
    <x v="315"/>
    <x v="49"/>
    <x v="2"/>
  </r>
  <r>
    <x v="10"/>
    <x v="0"/>
    <x v="0"/>
    <x v="3"/>
    <x v="5"/>
    <x v="0"/>
    <x v="19"/>
    <x v="57"/>
    <x v="23"/>
    <x v="97"/>
    <x v="232"/>
    <x v="186"/>
    <x v="339"/>
    <x v="336"/>
    <x v="339"/>
    <x v="316"/>
    <x v="50"/>
    <x v="61"/>
    <x v="316"/>
    <x v="50"/>
    <x v="2"/>
  </r>
  <r>
    <x v="18"/>
    <x v="1"/>
    <x v="3"/>
    <x v="3"/>
    <x v="5"/>
    <x v="0"/>
    <x v="37"/>
    <x v="7"/>
    <x v="83"/>
    <x v="75"/>
    <x v="233"/>
    <x v="329"/>
    <x v="340"/>
    <x v="337"/>
    <x v="340"/>
    <x v="317"/>
    <x v="154"/>
    <x v="172"/>
    <x v="317"/>
    <x v="154"/>
    <x v="2"/>
  </r>
  <r>
    <x v="50"/>
    <x v="1"/>
    <x v="8"/>
    <x v="2"/>
    <x v="1"/>
    <x v="1"/>
    <x v="64"/>
    <x v="7"/>
    <x v="38"/>
    <x v="79"/>
    <x v="131"/>
    <x v="330"/>
    <x v="341"/>
    <x v="338"/>
    <x v="341"/>
    <x v="280"/>
    <x v="155"/>
    <x v="118"/>
    <x v="318"/>
    <x v="155"/>
    <x v="2"/>
  </r>
  <r>
    <x v="49"/>
    <x v="1"/>
    <x v="1"/>
    <x v="0"/>
    <x v="2"/>
    <x v="0"/>
    <x v="106"/>
    <x v="71"/>
    <x v="40"/>
    <x v="100"/>
    <x v="234"/>
    <x v="331"/>
    <x v="342"/>
    <x v="339"/>
    <x v="342"/>
    <x v="318"/>
    <x v="136"/>
    <x v="37"/>
    <x v="319"/>
    <x v="136"/>
    <x v="1"/>
  </r>
  <r>
    <x v="33"/>
    <x v="1"/>
    <x v="7"/>
    <x v="2"/>
    <x v="0"/>
    <x v="2"/>
    <x v="106"/>
    <x v="72"/>
    <x v="37"/>
    <x v="140"/>
    <x v="235"/>
    <x v="332"/>
    <x v="343"/>
    <x v="340"/>
    <x v="343"/>
    <x v="319"/>
    <x v="60"/>
    <x v="29"/>
    <x v="320"/>
    <x v="60"/>
    <x v="2"/>
  </r>
  <r>
    <x v="57"/>
    <x v="0"/>
    <x v="5"/>
    <x v="0"/>
    <x v="4"/>
    <x v="3"/>
    <x v="92"/>
    <x v="74"/>
    <x v="27"/>
    <x v="33"/>
    <x v="221"/>
    <x v="333"/>
    <x v="344"/>
    <x v="341"/>
    <x v="344"/>
    <x v="320"/>
    <x v="24"/>
    <x v="173"/>
    <x v="321"/>
    <x v="24"/>
    <x v="0"/>
  </r>
  <r>
    <x v="22"/>
    <x v="0"/>
    <x v="6"/>
    <x v="2"/>
    <x v="4"/>
    <x v="0"/>
    <x v="69"/>
    <x v="58"/>
    <x v="71"/>
    <x v="31"/>
    <x v="224"/>
    <x v="334"/>
    <x v="345"/>
    <x v="342"/>
    <x v="345"/>
    <x v="321"/>
    <x v="156"/>
    <x v="174"/>
    <x v="322"/>
    <x v="156"/>
    <x v="0"/>
  </r>
  <r>
    <x v="14"/>
    <x v="0"/>
    <x v="7"/>
    <x v="0"/>
    <x v="4"/>
    <x v="1"/>
    <x v="48"/>
    <x v="60"/>
    <x v="37"/>
    <x v="77"/>
    <x v="236"/>
    <x v="335"/>
    <x v="346"/>
    <x v="343"/>
    <x v="346"/>
    <x v="322"/>
    <x v="54"/>
    <x v="67"/>
    <x v="323"/>
    <x v="54"/>
    <x v="2"/>
  </r>
  <r>
    <x v="38"/>
    <x v="1"/>
    <x v="4"/>
    <x v="0"/>
    <x v="2"/>
    <x v="0"/>
    <x v="104"/>
    <x v="16"/>
    <x v="65"/>
    <x v="18"/>
    <x v="49"/>
    <x v="336"/>
    <x v="347"/>
    <x v="344"/>
    <x v="347"/>
    <x v="68"/>
    <x v="157"/>
    <x v="175"/>
    <x v="324"/>
    <x v="157"/>
    <x v="2"/>
  </r>
  <r>
    <x v="50"/>
    <x v="1"/>
    <x v="0"/>
    <x v="1"/>
    <x v="4"/>
    <x v="0"/>
    <x v="54"/>
    <x v="5"/>
    <x v="68"/>
    <x v="141"/>
    <x v="212"/>
    <x v="337"/>
    <x v="348"/>
    <x v="345"/>
    <x v="348"/>
    <x v="323"/>
    <x v="15"/>
    <x v="38"/>
    <x v="325"/>
    <x v="15"/>
    <x v="2"/>
  </r>
  <r>
    <x v="41"/>
    <x v="0"/>
    <x v="7"/>
    <x v="0"/>
    <x v="1"/>
    <x v="2"/>
    <x v="33"/>
    <x v="32"/>
    <x v="48"/>
    <x v="60"/>
    <x v="237"/>
    <x v="338"/>
    <x v="349"/>
    <x v="346"/>
    <x v="349"/>
    <x v="324"/>
    <x v="31"/>
    <x v="176"/>
    <x v="326"/>
    <x v="31"/>
    <x v="2"/>
  </r>
  <r>
    <x v="11"/>
    <x v="0"/>
    <x v="7"/>
    <x v="3"/>
    <x v="1"/>
    <x v="0"/>
    <x v="39"/>
    <x v="18"/>
    <x v="77"/>
    <x v="106"/>
    <x v="129"/>
    <x v="339"/>
    <x v="350"/>
    <x v="347"/>
    <x v="350"/>
    <x v="325"/>
    <x v="25"/>
    <x v="177"/>
    <x v="327"/>
    <x v="25"/>
    <x v="1"/>
  </r>
  <r>
    <x v="54"/>
    <x v="1"/>
    <x v="6"/>
    <x v="1"/>
    <x v="2"/>
    <x v="0"/>
    <x v="47"/>
    <x v="2"/>
    <x v="15"/>
    <x v="131"/>
    <x v="114"/>
    <x v="340"/>
    <x v="351"/>
    <x v="348"/>
    <x v="351"/>
    <x v="326"/>
    <x v="3"/>
    <x v="57"/>
    <x v="328"/>
    <x v="3"/>
    <x v="0"/>
  </r>
  <r>
    <x v="43"/>
    <x v="1"/>
    <x v="8"/>
    <x v="3"/>
    <x v="3"/>
    <x v="1"/>
    <x v="53"/>
    <x v="67"/>
    <x v="57"/>
    <x v="6"/>
    <x v="155"/>
    <x v="341"/>
    <x v="352"/>
    <x v="349"/>
    <x v="352"/>
    <x v="178"/>
    <x v="57"/>
    <x v="94"/>
    <x v="329"/>
    <x v="57"/>
    <x v="2"/>
  </r>
  <r>
    <x v="41"/>
    <x v="1"/>
    <x v="5"/>
    <x v="4"/>
    <x v="4"/>
    <x v="3"/>
    <x v="12"/>
    <x v="46"/>
    <x v="25"/>
    <x v="53"/>
    <x v="186"/>
    <x v="342"/>
    <x v="353"/>
    <x v="350"/>
    <x v="353"/>
    <x v="327"/>
    <x v="158"/>
    <x v="156"/>
    <x v="330"/>
    <x v="158"/>
    <x v="2"/>
  </r>
  <r>
    <x v="52"/>
    <x v="0"/>
    <x v="6"/>
    <x v="1"/>
    <x v="2"/>
    <x v="1"/>
    <x v="24"/>
    <x v="24"/>
    <x v="69"/>
    <x v="30"/>
    <x v="111"/>
    <x v="343"/>
    <x v="354"/>
    <x v="351"/>
    <x v="354"/>
    <x v="328"/>
    <x v="85"/>
    <x v="153"/>
    <x v="331"/>
    <x v="85"/>
    <x v="2"/>
  </r>
  <r>
    <x v="55"/>
    <x v="0"/>
    <x v="0"/>
    <x v="1"/>
    <x v="1"/>
    <x v="0"/>
    <x v="102"/>
    <x v="41"/>
    <x v="63"/>
    <x v="3"/>
    <x v="84"/>
    <x v="344"/>
    <x v="355"/>
    <x v="352"/>
    <x v="355"/>
    <x v="329"/>
    <x v="159"/>
    <x v="32"/>
    <x v="332"/>
    <x v="159"/>
    <x v="2"/>
  </r>
  <r>
    <x v="25"/>
    <x v="0"/>
    <x v="3"/>
    <x v="1"/>
    <x v="4"/>
    <x v="0"/>
    <x v="106"/>
    <x v="19"/>
    <x v="51"/>
    <x v="89"/>
    <x v="197"/>
    <x v="345"/>
    <x v="356"/>
    <x v="353"/>
    <x v="356"/>
    <x v="330"/>
    <x v="30"/>
    <x v="32"/>
    <x v="333"/>
    <x v="30"/>
    <x v="0"/>
  </r>
  <r>
    <x v="27"/>
    <x v="0"/>
    <x v="2"/>
    <x v="1"/>
    <x v="6"/>
    <x v="0"/>
    <x v="89"/>
    <x v="35"/>
    <x v="38"/>
    <x v="9"/>
    <x v="213"/>
    <x v="346"/>
    <x v="357"/>
    <x v="354"/>
    <x v="357"/>
    <x v="331"/>
    <x v="115"/>
    <x v="59"/>
    <x v="334"/>
    <x v="115"/>
    <x v="0"/>
  </r>
  <r>
    <x v="29"/>
    <x v="1"/>
    <x v="6"/>
    <x v="2"/>
    <x v="1"/>
    <x v="2"/>
    <x v="84"/>
    <x v="51"/>
    <x v="85"/>
    <x v="66"/>
    <x v="56"/>
    <x v="347"/>
    <x v="358"/>
    <x v="355"/>
    <x v="358"/>
    <x v="332"/>
    <x v="160"/>
    <x v="13"/>
    <x v="335"/>
    <x v="160"/>
    <x v="2"/>
  </r>
  <r>
    <x v="49"/>
    <x v="1"/>
    <x v="0"/>
    <x v="1"/>
    <x v="6"/>
    <x v="1"/>
    <x v="58"/>
    <x v="38"/>
    <x v="11"/>
    <x v="116"/>
    <x v="169"/>
    <x v="348"/>
    <x v="359"/>
    <x v="356"/>
    <x v="359"/>
    <x v="333"/>
    <x v="1"/>
    <x v="178"/>
    <x v="336"/>
    <x v="1"/>
    <x v="1"/>
  </r>
  <r>
    <x v="1"/>
    <x v="1"/>
    <x v="0"/>
    <x v="4"/>
    <x v="1"/>
    <x v="3"/>
    <x v="35"/>
    <x v="13"/>
    <x v="75"/>
    <x v="79"/>
    <x v="238"/>
    <x v="349"/>
    <x v="360"/>
    <x v="357"/>
    <x v="360"/>
    <x v="164"/>
    <x v="0"/>
    <x v="46"/>
    <x v="337"/>
    <x v="0"/>
    <x v="1"/>
  </r>
  <r>
    <x v="18"/>
    <x v="0"/>
    <x v="8"/>
    <x v="3"/>
    <x v="2"/>
    <x v="1"/>
    <x v="107"/>
    <x v="20"/>
    <x v="77"/>
    <x v="91"/>
    <x v="239"/>
    <x v="350"/>
    <x v="361"/>
    <x v="358"/>
    <x v="361"/>
    <x v="334"/>
    <x v="161"/>
    <x v="37"/>
    <x v="338"/>
    <x v="161"/>
    <x v="2"/>
  </r>
  <r>
    <x v="21"/>
    <x v="1"/>
    <x v="8"/>
    <x v="3"/>
    <x v="3"/>
    <x v="3"/>
    <x v="72"/>
    <x v="59"/>
    <x v="72"/>
    <x v="3"/>
    <x v="240"/>
    <x v="351"/>
    <x v="362"/>
    <x v="359"/>
    <x v="362"/>
    <x v="335"/>
    <x v="36"/>
    <x v="18"/>
    <x v="339"/>
    <x v="36"/>
    <x v="0"/>
  </r>
  <r>
    <x v="51"/>
    <x v="1"/>
    <x v="0"/>
    <x v="3"/>
    <x v="3"/>
    <x v="1"/>
    <x v="93"/>
    <x v="4"/>
    <x v="64"/>
    <x v="142"/>
    <x v="105"/>
    <x v="352"/>
    <x v="363"/>
    <x v="360"/>
    <x v="363"/>
    <x v="336"/>
    <x v="108"/>
    <x v="162"/>
    <x v="264"/>
    <x v="108"/>
    <x v="2"/>
  </r>
  <r>
    <x v="50"/>
    <x v="0"/>
    <x v="6"/>
    <x v="4"/>
    <x v="5"/>
    <x v="2"/>
    <x v="59"/>
    <x v="48"/>
    <x v="57"/>
    <x v="84"/>
    <x v="104"/>
    <x v="353"/>
    <x v="364"/>
    <x v="361"/>
    <x v="364"/>
    <x v="337"/>
    <x v="91"/>
    <x v="58"/>
    <x v="340"/>
    <x v="91"/>
    <x v="2"/>
  </r>
  <r>
    <x v="57"/>
    <x v="0"/>
    <x v="5"/>
    <x v="3"/>
    <x v="6"/>
    <x v="2"/>
    <x v="76"/>
    <x v="48"/>
    <x v="49"/>
    <x v="9"/>
    <x v="35"/>
    <x v="354"/>
    <x v="365"/>
    <x v="362"/>
    <x v="365"/>
    <x v="172"/>
    <x v="8"/>
    <x v="70"/>
    <x v="341"/>
    <x v="8"/>
    <x v="0"/>
  </r>
  <r>
    <x v="48"/>
    <x v="0"/>
    <x v="8"/>
    <x v="3"/>
    <x v="4"/>
    <x v="2"/>
    <x v="87"/>
    <x v="8"/>
    <x v="24"/>
    <x v="37"/>
    <x v="42"/>
    <x v="102"/>
    <x v="366"/>
    <x v="363"/>
    <x v="366"/>
    <x v="247"/>
    <x v="36"/>
    <x v="57"/>
    <x v="342"/>
    <x v="36"/>
    <x v="2"/>
  </r>
  <r>
    <x v="25"/>
    <x v="0"/>
    <x v="2"/>
    <x v="3"/>
    <x v="5"/>
    <x v="3"/>
    <x v="5"/>
    <x v="45"/>
    <x v="6"/>
    <x v="26"/>
    <x v="113"/>
    <x v="355"/>
    <x v="367"/>
    <x v="364"/>
    <x v="367"/>
    <x v="338"/>
    <x v="58"/>
    <x v="0"/>
    <x v="343"/>
    <x v="58"/>
    <x v="0"/>
  </r>
  <r>
    <x v="39"/>
    <x v="0"/>
    <x v="6"/>
    <x v="3"/>
    <x v="3"/>
    <x v="0"/>
    <x v="86"/>
    <x v="4"/>
    <x v="21"/>
    <x v="6"/>
    <x v="241"/>
    <x v="356"/>
    <x v="368"/>
    <x v="365"/>
    <x v="368"/>
    <x v="195"/>
    <x v="139"/>
    <x v="12"/>
    <x v="344"/>
    <x v="139"/>
    <x v="2"/>
  </r>
  <r>
    <x v="47"/>
    <x v="0"/>
    <x v="3"/>
    <x v="3"/>
    <x v="2"/>
    <x v="3"/>
    <x v="24"/>
    <x v="70"/>
    <x v="20"/>
    <x v="143"/>
    <x v="242"/>
    <x v="357"/>
    <x v="369"/>
    <x v="366"/>
    <x v="369"/>
    <x v="161"/>
    <x v="95"/>
    <x v="179"/>
    <x v="345"/>
    <x v="95"/>
    <x v="0"/>
  </r>
  <r>
    <x v="9"/>
    <x v="0"/>
    <x v="2"/>
    <x v="1"/>
    <x v="1"/>
    <x v="3"/>
    <x v="22"/>
    <x v="74"/>
    <x v="19"/>
    <x v="135"/>
    <x v="243"/>
    <x v="358"/>
    <x v="370"/>
    <x v="367"/>
    <x v="370"/>
    <x v="339"/>
    <x v="141"/>
    <x v="115"/>
    <x v="346"/>
    <x v="141"/>
    <x v="0"/>
  </r>
  <r>
    <x v="55"/>
    <x v="0"/>
    <x v="4"/>
    <x v="3"/>
    <x v="5"/>
    <x v="0"/>
    <x v="26"/>
    <x v="7"/>
    <x v="17"/>
    <x v="80"/>
    <x v="244"/>
    <x v="359"/>
    <x v="371"/>
    <x v="368"/>
    <x v="371"/>
    <x v="340"/>
    <x v="25"/>
    <x v="168"/>
    <x v="144"/>
    <x v="25"/>
    <x v="2"/>
  </r>
  <r>
    <x v="48"/>
    <x v="1"/>
    <x v="3"/>
    <x v="0"/>
    <x v="1"/>
    <x v="3"/>
    <x v="59"/>
    <x v="72"/>
    <x v="36"/>
    <x v="132"/>
    <x v="245"/>
    <x v="360"/>
    <x v="372"/>
    <x v="369"/>
    <x v="372"/>
    <x v="341"/>
    <x v="139"/>
    <x v="98"/>
    <x v="347"/>
    <x v="139"/>
    <x v="2"/>
  </r>
  <r>
    <x v="24"/>
    <x v="1"/>
    <x v="7"/>
    <x v="1"/>
    <x v="0"/>
    <x v="3"/>
    <x v="70"/>
    <x v="32"/>
    <x v="57"/>
    <x v="144"/>
    <x v="186"/>
    <x v="361"/>
    <x v="373"/>
    <x v="370"/>
    <x v="373"/>
    <x v="342"/>
    <x v="139"/>
    <x v="13"/>
    <x v="348"/>
    <x v="139"/>
    <x v="1"/>
  </r>
  <r>
    <x v="7"/>
    <x v="1"/>
    <x v="4"/>
    <x v="2"/>
    <x v="3"/>
    <x v="2"/>
    <x v="108"/>
    <x v="22"/>
    <x v="9"/>
    <x v="28"/>
    <x v="70"/>
    <x v="362"/>
    <x v="374"/>
    <x v="371"/>
    <x v="374"/>
    <x v="343"/>
    <x v="31"/>
    <x v="82"/>
    <x v="114"/>
    <x v="31"/>
    <x v="2"/>
  </r>
  <r>
    <x v="21"/>
    <x v="1"/>
    <x v="3"/>
    <x v="2"/>
    <x v="2"/>
    <x v="3"/>
    <x v="95"/>
    <x v="66"/>
    <x v="84"/>
    <x v="20"/>
    <x v="52"/>
    <x v="363"/>
    <x v="375"/>
    <x v="372"/>
    <x v="375"/>
    <x v="344"/>
    <x v="110"/>
    <x v="180"/>
    <x v="349"/>
    <x v="110"/>
    <x v="0"/>
  </r>
  <r>
    <x v="24"/>
    <x v="1"/>
    <x v="6"/>
    <x v="2"/>
    <x v="0"/>
    <x v="3"/>
    <x v="32"/>
    <x v="55"/>
    <x v="22"/>
    <x v="80"/>
    <x v="237"/>
    <x v="364"/>
    <x v="376"/>
    <x v="373"/>
    <x v="376"/>
    <x v="345"/>
    <x v="121"/>
    <x v="98"/>
    <x v="350"/>
    <x v="121"/>
    <x v="1"/>
  </r>
  <r>
    <x v="24"/>
    <x v="0"/>
    <x v="5"/>
    <x v="0"/>
    <x v="0"/>
    <x v="0"/>
    <x v="26"/>
    <x v="27"/>
    <x v="9"/>
    <x v="16"/>
    <x v="133"/>
    <x v="365"/>
    <x v="377"/>
    <x v="374"/>
    <x v="377"/>
    <x v="332"/>
    <x v="149"/>
    <x v="60"/>
    <x v="351"/>
    <x v="149"/>
    <x v="1"/>
  </r>
  <r>
    <x v="23"/>
    <x v="1"/>
    <x v="2"/>
    <x v="1"/>
    <x v="0"/>
    <x v="2"/>
    <x v="18"/>
    <x v="2"/>
    <x v="7"/>
    <x v="132"/>
    <x v="87"/>
    <x v="366"/>
    <x v="378"/>
    <x v="375"/>
    <x v="378"/>
    <x v="235"/>
    <x v="46"/>
    <x v="36"/>
    <x v="352"/>
    <x v="46"/>
    <x v="1"/>
  </r>
  <r>
    <x v="34"/>
    <x v="1"/>
    <x v="3"/>
    <x v="2"/>
    <x v="2"/>
    <x v="0"/>
    <x v="3"/>
    <x v="0"/>
    <x v="57"/>
    <x v="115"/>
    <x v="127"/>
    <x v="367"/>
    <x v="379"/>
    <x v="376"/>
    <x v="379"/>
    <x v="346"/>
    <x v="53"/>
    <x v="147"/>
    <x v="209"/>
    <x v="53"/>
    <x v="2"/>
  </r>
  <r>
    <x v="35"/>
    <x v="1"/>
    <x v="0"/>
    <x v="4"/>
    <x v="3"/>
    <x v="2"/>
    <x v="14"/>
    <x v="31"/>
    <x v="86"/>
    <x v="81"/>
    <x v="15"/>
    <x v="368"/>
    <x v="380"/>
    <x v="377"/>
    <x v="380"/>
    <x v="347"/>
    <x v="5"/>
    <x v="29"/>
    <x v="353"/>
    <x v="5"/>
    <x v="2"/>
  </r>
  <r>
    <x v="33"/>
    <x v="0"/>
    <x v="8"/>
    <x v="4"/>
    <x v="4"/>
    <x v="0"/>
    <x v="66"/>
    <x v="5"/>
    <x v="73"/>
    <x v="113"/>
    <x v="158"/>
    <x v="369"/>
    <x v="381"/>
    <x v="378"/>
    <x v="381"/>
    <x v="348"/>
    <x v="49"/>
    <x v="36"/>
    <x v="354"/>
    <x v="49"/>
    <x v="2"/>
  </r>
  <r>
    <x v="13"/>
    <x v="0"/>
    <x v="3"/>
    <x v="2"/>
    <x v="3"/>
    <x v="3"/>
    <x v="48"/>
    <x v="73"/>
    <x v="41"/>
    <x v="22"/>
    <x v="158"/>
    <x v="370"/>
    <x v="382"/>
    <x v="379"/>
    <x v="382"/>
    <x v="349"/>
    <x v="134"/>
    <x v="94"/>
    <x v="355"/>
    <x v="134"/>
    <x v="2"/>
  </r>
  <r>
    <x v="3"/>
    <x v="1"/>
    <x v="9"/>
    <x v="2"/>
    <x v="1"/>
    <x v="3"/>
    <x v="42"/>
    <x v="41"/>
    <x v="21"/>
    <x v="103"/>
    <x v="224"/>
    <x v="371"/>
    <x v="383"/>
    <x v="380"/>
    <x v="383"/>
    <x v="350"/>
    <x v="6"/>
    <x v="139"/>
    <x v="356"/>
    <x v="6"/>
    <x v="0"/>
  </r>
  <r>
    <x v="12"/>
    <x v="0"/>
    <x v="8"/>
    <x v="0"/>
    <x v="6"/>
    <x v="2"/>
    <x v="24"/>
    <x v="77"/>
    <x v="23"/>
    <x v="145"/>
    <x v="132"/>
    <x v="372"/>
    <x v="384"/>
    <x v="381"/>
    <x v="384"/>
    <x v="351"/>
    <x v="116"/>
    <x v="71"/>
    <x v="357"/>
    <x v="116"/>
    <x v="0"/>
  </r>
  <r>
    <x v="1"/>
    <x v="0"/>
    <x v="9"/>
    <x v="1"/>
    <x v="2"/>
    <x v="3"/>
    <x v="52"/>
    <x v="31"/>
    <x v="27"/>
    <x v="11"/>
    <x v="171"/>
    <x v="373"/>
    <x v="385"/>
    <x v="382"/>
    <x v="385"/>
    <x v="352"/>
    <x v="137"/>
    <x v="71"/>
    <x v="358"/>
    <x v="137"/>
    <x v="1"/>
  </r>
  <r>
    <x v="12"/>
    <x v="0"/>
    <x v="8"/>
    <x v="0"/>
    <x v="4"/>
    <x v="0"/>
    <x v="49"/>
    <x v="13"/>
    <x v="72"/>
    <x v="0"/>
    <x v="209"/>
    <x v="374"/>
    <x v="386"/>
    <x v="383"/>
    <x v="386"/>
    <x v="353"/>
    <x v="61"/>
    <x v="168"/>
    <x v="359"/>
    <x v="61"/>
    <x v="0"/>
  </r>
  <r>
    <x v="15"/>
    <x v="1"/>
    <x v="5"/>
    <x v="1"/>
    <x v="3"/>
    <x v="0"/>
    <x v="53"/>
    <x v="24"/>
    <x v="22"/>
    <x v="11"/>
    <x v="246"/>
    <x v="375"/>
    <x v="387"/>
    <x v="384"/>
    <x v="387"/>
    <x v="354"/>
    <x v="99"/>
    <x v="59"/>
    <x v="360"/>
    <x v="99"/>
    <x v="2"/>
  </r>
  <r>
    <x v="53"/>
    <x v="0"/>
    <x v="6"/>
    <x v="3"/>
    <x v="2"/>
    <x v="2"/>
    <x v="26"/>
    <x v="8"/>
    <x v="35"/>
    <x v="14"/>
    <x v="64"/>
    <x v="376"/>
    <x v="388"/>
    <x v="385"/>
    <x v="388"/>
    <x v="355"/>
    <x v="92"/>
    <x v="94"/>
    <x v="361"/>
    <x v="92"/>
    <x v="1"/>
  </r>
  <r>
    <x v="46"/>
    <x v="1"/>
    <x v="3"/>
    <x v="1"/>
    <x v="5"/>
    <x v="0"/>
    <x v="32"/>
    <x v="61"/>
    <x v="31"/>
    <x v="146"/>
    <x v="86"/>
    <x v="377"/>
    <x v="389"/>
    <x v="386"/>
    <x v="389"/>
    <x v="356"/>
    <x v="86"/>
    <x v="94"/>
    <x v="362"/>
    <x v="86"/>
    <x v="1"/>
  </r>
  <r>
    <x v="49"/>
    <x v="1"/>
    <x v="4"/>
    <x v="3"/>
    <x v="5"/>
    <x v="0"/>
    <x v="30"/>
    <x v="15"/>
    <x v="28"/>
    <x v="116"/>
    <x v="0"/>
    <x v="378"/>
    <x v="390"/>
    <x v="387"/>
    <x v="390"/>
    <x v="357"/>
    <x v="94"/>
    <x v="177"/>
    <x v="363"/>
    <x v="94"/>
    <x v="1"/>
  </r>
  <r>
    <x v="3"/>
    <x v="1"/>
    <x v="1"/>
    <x v="2"/>
    <x v="1"/>
    <x v="1"/>
    <x v="52"/>
    <x v="3"/>
    <x v="14"/>
    <x v="16"/>
    <x v="247"/>
    <x v="379"/>
    <x v="391"/>
    <x v="388"/>
    <x v="391"/>
    <x v="358"/>
    <x v="84"/>
    <x v="128"/>
    <x v="364"/>
    <x v="84"/>
    <x v="0"/>
  </r>
  <r>
    <x v="26"/>
    <x v="1"/>
    <x v="1"/>
    <x v="4"/>
    <x v="5"/>
    <x v="3"/>
    <x v="97"/>
    <x v="5"/>
    <x v="33"/>
    <x v="67"/>
    <x v="127"/>
    <x v="380"/>
    <x v="392"/>
    <x v="389"/>
    <x v="392"/>
    <x v="359"/>
    <x v="28"/>
    <x v="62"/>
    <x v="365"/>
    <x v="28"/>
    <x v="2"/>
  </r>
  <r>
    <x v="42"/>
    <x v="0"/>
    <x v="1"/>
    <x v="2"/>
    <x v="5"/>
    <x v="0"/>
    <x v="90"/>
    <x v="30"/>
    <x v="27"/>
    <x v="95"/>
    <x v="96"/>
    <x v="381"/>
    <x v="393"/>
    <x v="390"/>
    <x v="393"/>
    <x v="360"/>
    <x v="80"/>
    <x v="7"/>
    <x v="366"/>
    <x v="80"/>
    <x v="2"/>
  </r>
  <r>
    <x v="28"/>
    <x v="0"/>
    <x v="2"/>
    <x v="3"/>
    <x v="0"/>
    <x v="2"/>
    <x v="84"/>
    <x v="14"/>
    <x v="24"/>
    <x v="145"/>
    <x v="43"/>
    <x v="382"/>
    <x v="394"/>
    <x v="391"/>
    <x v="394"/>
    <x v="361"/>
    <x v="105"/>
    <x v="166"/>
    <x v="367"/>
    <x v="105"/>
    <x v="0"/>
  </r>
  <r>
    <x v="21"/>
    <x v="1"/>
    <x v="1"/>
    <x v="3"/>
    <x v="1"/>
    <x v="3"/>
    <x v="96"/>
    <x v="11"/>
    <x v="85"/>
    <x v="26"/>
    <x v="104"/>
    <x v="383"/>
    <x v="395"/>
    <x v="392"/>
    <x v="395"/>
    <x v="285"/>
    <x v="33"/>
    <x v="48"/>
    <x v="368"/>
    <x v="33"/>
    <x v="0"/>
  </r>
  <r>
    <x v="33"/>
    <x v="0"/>
    <x v="1"/>
    <x v="1"/>
    <x v="0"/>
    <x v="2"/>
    <x v="83"/>
    <x v="63"/>
    <x v="76"/>
    <x v="15"/>
    <x v="237"/>
    <x v="384"/>
    <x v="396"/>
    <x v="393"/>
    <x v="396"/>
    <x v="362"/>
    <x v="115"/>
    <x v="36"/>
    <x v="369"/>
    <x v="115"/>
    <x v="2"/>
  </r>
  <r>
    <x v="12"/>
    <x v="0"/>
    <x v="4"/>
    <x v="1"/>
    <x v="6"/>
    <x v="0"/>
    <x v="55"/>
    <x v="52"/>
    <x v="87"/>
    <x v="89"/>
    <x v="248"/>
    <x v="385"/>
    <x v="397"/>
    <x v="394"/>
    <x v="397"/>
    <x v="363"/>
    <x v="147"/>
    <x v="25"/>
    <x v="370"/>
    <x v="147"/>
    <x v="0"/>
  </r>
  <r>
    <x v="24"/>
    <x v="0"/>
    <x v="7"/>
    <x v="0"/>
    <x v="0"/>
    <x v="2"/>
    <x v="78"/>
    <x v="24"/>
    <x v="38"/>
    <x v="35"/>
    <x v="249"/>
    <x v="386"/>
    <x v="398"/>
    <x v="395"/>
    <x v="398"/>
    <x v="364"/>
    <x v="108"/>
    <x v="85"/>
    <x v="371"/>
    <x v="108"/>
    <x v="1"/>
  </r>
  <r>
    <x v="56"/>
    <x v="0"/>
    <x v="4"/>
    <x v="2"/>
    <x v="3"/>
    <x v="0"/>
    <x v="109"/>
    <x v="9"/>
    <x v="30"/>
    <x v="75"/>
    <x v="15"/>
    <x v="387"/>
    <x v="257"/>
    <x v="396"/>
    <x v="399"/>
    <x v="365"/>
    <x v="39"/>
    <x v="55"/>
    <x v="372"/>
    <x v="39"/>
    <x v="2"/>
  </r>
  <r>
    <x v="35"/>
    <x v="1"/>
    <x v="3"/>
    <x v="4"/>
    <x v="0"/>
    <x v="1"/>
    <x v="103"/>
    <x v="65"/>
    <x v="73"/>
    <x v="96"/>
    <x v="120"/>
    <x v="388"/>
    <x v="399"/>
    <x v="397"/>
    <x v="400"/>
    <x v="366"/>
    <x v="43"/>
    <x v="181"/>
    <x v="373"/>
    <x v="43"/>
    <x v="2"/>
  </r>
  <r>
    <x v="30"/>
    <x v="0"/>
    <x v="1"/>
    <x v="1"/>
    <x v="0"/>
    <x v="1"/>
    <x v="81"/>
    <x v="76"/>
    <x v="29"/>
    <x v="129"/>
    <x v="209"/>
    <x v="389"/>
    <x v="400"/>
    <x v="398"/>
    <x v="401"/>
    <x v="367"/>
    <x v="162"/>
    <x v="144"/>
    <x v="374"/>
    <x v="162"/>
    <x v="1"/>
  </r>
  <r>
    <x v="18"/>
    <x v="1"/>
    <x v="1"/>
    <x v="1"/>
    <x v="3"/>
    <x v="3"/>
    <x v="50"/>
    <x v="72"/>
    <x v="3"/>
    <x v="147"/>
    <x v="77"/>
    <x v="390"/>
    <x v="401"/>
    <x v="399"/>
    <x v="402"/>
    <x v="368"/>
    <x v="76"/>
    <x v="59"/>
    <x v="262"/>
    <x v="76"/>
    <x v="2"/>
  </r>
  <r>
    <x v="21"/>
    <x v="0"/>
    <x v="1"/>
    <x v="0"/>
    <x v="4"/>
    <x v="1"/>
    <x v="17"/>
    <x v="21"/>
    <x v="83"/>
    <x v="148"/>
    <x v="250"/>
    <x v="391"/>
    <x v="402"/>
    <x v="400"/>
    <x v="403"/>
    <x v="369"/>
    <x v="68"/>
    <x v="18"/>
    <x v="375"/>
    <x v="68"/>
    <x v="0"/>
  </r>
  <r>
    <x v="7"/>
    <x v="1"/>
    <x v="7"/>
    <x v="3"/>
    <x v="4"/>
    <x v="0"/>
    <x v="110"/>
    <x v="7"/>
    <x v="44"/>
    <x v="43"/>
    <x v="251"/>
    <x v="392"/>
    <x v="403"/>
    <x v="401"/>
    <x v="404"/>
    <x v="370"/>
    <x v="163"/>
    <x v="19"/>
    <x v="376"/>
    <x v="163"/>
    <x v="2"/>
  </r>
  <r>
    <x v="10"/>
    <x v="0"/>
    <x v="3"/>
    <x v="2"/>
    <x v="6"/>
    <x v="3"/>
    <x v="54"/>
    <x v="46"/>
    <x v="58"/>
    <x v="149"/>
    <x v="252"/>
    <x v="393"/>
    <x v="404"/>
    <x v="402"/>
    <x v="405"/>
    <x v="371"/>
    <x v="68"/>
    <x v="93"/>
    <x v="91"/>
    <x v="68"/>
    <x v="2"/>
  </r>
  <r>
    <x v="23"/>
    <x v="1"/>
    <x v="2"/>
    <x v="0"/>
    <x v="6"/>
    <x v="2"/>
    <x v="52"/>
    <x v="64"/>
    <x v="45"/>
    <x v="44"/>
    <x v="253"/>
    <x v="394"/>
    <x v="405"/>
    <x v="403"/>
    <x v="406"/>
    <x v="372"/>
    <x v="75"/>
    <x v="142"/>
    <x v="377"/>
    <x v="75"/>
    <x v="1"/>
  </r>
  <r>
    <x v="46"/>
    <x v="1"/>
    <x v="7"/>
    <x v="0"/>
    <x v="4"/>
    <x v="0"/>
    <x v="6"/>
    <x v="61"/>
    <x v="32"/>
    <x v="99"/>
    <x v="208"/>
    <x v="395"/>
    <x v="406"/>
    <x v="404"/>
    <x v="407"/>
    <x v="323"/>
    <x v="81"/>
    <x v="46"/>
    <x v="378"/>
    <x v="81"/>
    <x v="1"/>
  </r>
  <r>
    <x v="44"/>
    <x v="0"/>
    <x v="0"/>
    <x v="2"/>
    <x v="4"/>
    <x v="1"/>
    <x v="85"/>
    <x v="10"/>
    <x v="19"/>
    <x v="133"/>
    <x v="120"/>
    <x v="396"/>
    <x v="407"/>
    <x v="405"/>
    <x v="408"/>
    <x v="373"/>
    <x v="120"/>
    <x v="152"/>
    <x v="379"/>
    <x v="120"/>
    <x v="2"/>
  </r>
  <r>
    <x v="55"/>
    <x v="0"/>
    <x v="8"/>
    <x v="0"/>
    <x v="2"/>
    <x v="1"/>
    <x v="111"/>
    <x v="4"/>
    <x v="79"/>
    <x v="133"/>
    <x v="249"/>
    <x v="397"/>
    <x v="408"/>
    <x v="406"/>
    <x v="409"/>
    <x v="374"/>
    <x v="80"/>
    <x v="116"/>
    <x v="380"/>
    <x v="80"/>
    <x v="2"/>
  </r>
  <r>
    <x v="57"/>
    <x v="0"/>
    <x v="9"/>
    <x v="0"/>
    <x v="6"/>
    <x v="3"/>
    <x v="112"/>
    <x v="67"/>
    <x v="0"/>
    <x v="46"/>
    <x v="254"/>
    <x v="398"/>
    <x v="409"/>
    <x v="407"/>
    <x v="410"/>
    <x v="375"/>
    <x v="51"/>
    <x v="110"/>
    <x v="381"/>
    <x v="51"/>
    <x v="0"/>
  </r>
  <r>
    <x v="12"/>
    <x v="1"/>
    <x v="3"/>
    <x v="0"/>
    <x v="0"/>
    <x v="3"/>
    <x v="74"/>
    <x v="44"/>
    <x v="72"/>
    <x v="37"/>
    <x v="255"/>
    <x v="399"/>
    <x v="410"/>
    <x v="366"/>
    <x v="411"/>
    <x v="376"/>
    <x v="22"/>
    <x v="182"/>
    <x v="382"/>
    <x v="22"/>
    <x v="0"/>
  </r>
  <r>
    <x v="30"/>
    <x v="1"/>
    <x v="8"/>
    <x v="1"/>
    <x v="1"/>
    <x v="1"/>
    <x v="82"/>
    <x v="20"/>
    <x v="48"/>
    <x v="26"/>
    <x v="256"/>
    <x v="400"/>
    <x v="411"/>
    <x v="408"/>
    <x v="412"/>
    <x v="377"/>
    <x v="164"/>
    <x v="83"/>
    <x v="383"/>
    <x v="164"/>
    <x v="1"/>
  </r>
  <r>
    <x v="31"/>
    <x v="1"/>
    <x v="4"/>
    <x v="1"/>
    <x v="4"/>
    <x v="1"/>
    <x v="58"/>
    <x v="34"/>
    <x v="49"/>
    <x v="57"/>
    <x v="112"/>
    <x v="401"/>
    <x v="412"/>
    <x v="409"/>
    <x v="413"/>
    <x v="378"/>
    <x v="66"/>
    <x v="183"/>
    <x v="384"/>
    <x v="66"/>
    <x v="2"/>
  </r>
  <r>
    <x v="52"/>
    <x v="0"/>
    <x v="8"/>
    <x v="3"/>
    <x v="4"/>
    <x v="0"/>
    <x v="47"/>
    <x v="11"/>
    <x v="6"/>
    <x v="97"/>
    <x v="203"/>
    <x v="402"/>
    <x v="413"/>
    <x v="410"/>
    <x v="414"/>
    <x v="379"/>
    <x v="139"/>
    <x v="79"/>
    <x v="385"/>
    <x v="139"/>
    <x v="2"/>
  </r>
  <r>
    <x v="51"/>
    <x v="0"/>
    <x v="5"/>
    <x v="0"/>
    <x v="0"/>
    <x v="0"/>
    <x v="113"/>
    <x v="77"/>
    <x v="69"/>
    <x v="150"/>
    <x v="257"/>
    <x v="403"/>
    <x v="414"/>
    <x v="411"/>
    <x v="415"/>
    <x v="380"/>
    <x v="101"/>
    <x v="31"/>
    <x v="386"/>
    <x v="101"/>
    <x v="2"/>
  </r>
  <r>
    <x v="38"/>
    <x v="1"/>
    <x v="9"/>
    <x v="2"/>
    <x v="6"/>
    <x v="0"/>
    <x v="56"/>
    <x v="61"/>
    <x v="15"/>
    <x v="138"/>
    <x v="85"/>
    <x v="404"/>
    <x v="415"/>
    <x v="412"/>
    <x v="416"/>
    <x v="381"/>
    <x v="74"/>
    <x v="13"/>
    <x v="387"/>
    <x v="74"/>
    <x v="2"/>
  </r>
  <r>
    <x v="31"/>
    <x v="0"/>
    <x v="5"/>
    <x v="2"/>
    <x v="4"/>
    <x v="3"/>
    <x v="7"/>
    <x v="53"/>
    <x v="4"/>
    <x v="151"/>
    <x v="175"/>
    <x v="405"/>
    <x v="416"/>
    <x v="413"/>
    <x v="417"/>
    <x v="382"/>
    <x v="146"/>
    <x v="24"/>
    <x v="388"/>
    <x v="146"/>
    <x v="2"/>
  </r>
  <r>
    <x v="39"/>
    <x v="0"/>
    <x v="7"/>
    <x v="0"/>
    <x v="0"/>
    <x v="0"/>
    <x v="114"/>
    <x v="35"/>
    <x v="51"/>
    <x v="133"/>
    <x v="258"/>
    <x v="406"/>
    <x v="417"/>
    <x v="414"/>
    <x v="418"/>
    <x v="383"/>
    <x v="0"/>
    <x v="154"/>
    <x v="389"/>
    <x v="0"/>
    <x v="2"/>
  </r>
  <r>
    <x v="23"/>
    <x v="1"/>
    <x v="8"/>
    <x v="3"/>
    <x v="0"/>
    <x v="0"/>
    <x v="109"/>
    <x v="5"/>
    <x v="15"/>
    <x v="152"/>
    <x v="236"/>
    <x v="407"/>
    <x v="418"/>
    <x v="415"/>
    <x v="419"/>
    <x v="384"/>
    <x v="20"/>
    <x v="23"/>
    <x v="390"/>
    <x v="20"/>
    <x v="1"/>
  </r>
  <r>
    <x v="51"/>
    <x v="0"/>
    <x v="3"/>
    <x v="3"/>
    <x v="5"/>
    <x v="3"/>
    <x v="98"/>
    <x v="45"/>
    <x v="69"/>
    <x v="122"/>
    <x v="127"/>
    <x v="408"/>
    <x v="419"/>
    <x v="416"/>
    <x v="420"/>
    <x v="385"/>
    <x v="34"/>
    <x v="117"/>
    <x v="391"/>
    <x v="34"/>
    <x v="2"/>
  </r>
  <r>
    <x v="19"/>
    <x v="0"/>
    <x v="7"/>
    <x v="0"/>
    <x v="2"/>
    <x v="0"/>
    <x v="98"/>
    <x v="37"/>
    <x v="59"/>
    <x v="122"/>
    <x v="224"/>
    <x v="409"/>
    <x v="420"/>
    <x v="417"/>
    <x v="421"/>
    <x v="386"/>
    <x v="159"/>
    <x v="37"/>
    <x v="392"/>
    <x v="159"/>
    <x v="1"/>
  </r>
  <r>
    <x v="51"/>
    <x v="1"/>
    <x v="4"/>
    <x v="3"/>
    <x v="3"/>
    <x v="0"/>
    <x v="51"/>
    <x v="50"/>
    <x v="88"/>
    <x v="95"/>
    <x v="95"/>
    <x v="410"/>
    <x v="421"/>
    <x v="418"/>
    <x v="422"/>
    <x v="241"/>
    <x v="61"/>
    <x v="50"/>
    <x v="393"/>
    <x v="61"/>
    <x v="2"/>
  </r>
  <r>
    <x v="41"/>
    <x v="0"/>
    <x v="8"/>
    <x v="0"/>
    <x v="2"/>
    <x v="1"/>
    <x v="37"/>
    <x v="75"/>
    <x v="73"/>
    <x v="71"/>
    <x v="259"/>
    <x v="411"/>
    <x v="422"/>
    <x v="419"/>
    <x v="423"/>
    <x v="387"/>
    <x v="19"/>
    <x v="46"/>
    <x v="394"/>
    <x v="19"/>
    <x v="2"/>
  </r>
  <r>
    <x v="39"/>
    <x v="1"/>
    <x v="2"/>
    <x v="3"/>
    <x v="4"/>
    <x v="1"/>
    <x v="53"/>
    <x v="17"/>
    <x v="70"/>
    <x v="146"/>
    <x v="48"/>
    <x v="43"/>
    <x v="423"/>
    <x v="420"/>
    <x v="424"/>
    <x v="329"/>
    <x v="103"/>
    <x v="25"/>
    <x v="395"/>
    <x v="103"/>
    <x v="2"/>
  </r>
  <r>
    <x v="46"/>
    <x v="1"/>
    <x v="0"/>
    <x v="0"/>
    <x v="0"/>
    <x v="1"/>
    <x v="54"/>
    <x v="52"/>
    <x v="83"/>
    <x v="123"/>
    <x v="260"/>
    <x v="412"/>
    <x v="424"/>
    <x v="421"/>
    <x v="425"/>
    <x v="171"/>
    <x v="77"/>
    <x v="96"/>
    <x v="396"/>
    <x v="77"/>
    <x v="1"/>
  </r>
  <r>
    <x v="20"/>
    <x v="1"/>
    <x v="1"/>
    <x v="1"/>
    <x v="2"/>
    <x v="0"/>
    <x v="57"/>
    <x v="0"/>
    <x v="58"/>
    <x v="9"/>
    <x v="221"/>
    <x v="413"/>
    <x v="425"/>
    <x v="422"/>
    <x v="426"/>
    <x v="388"/>
    <x v="165"/>
    <x v="79"/>
    <x v="91"/>
    <x v="165"/>
    <x v="1"/>
  </r>
  <r>
    <x v="0"/>
    <x v="0"/>
    <x v="2"/>
    <x v="1"/>
    <x v="3"/>
    <x v="3"/>
    <x v="103"/>
    <x v="32"/>
    <x v="84"/>
    <x v="108"/>
    <x v="140"/>
    <x v="414"/>
    <x v="426"/>
    <x v="423"/>
    <x v="427"/>
    <x v="389"/>
    <x v="103"/>
    <x v="136"/>
    <x v="397"/>
    <x v="103"/>
    <x v="0"/>
  </r>
  <r>
    <x v="20"/>
    <x v="0"/>
    <x v="9"/>
    <x v="3"/>
    <x v="0"/>
    <x v="3"/>
    <x v="16"/>
    <x v="26"/>
    <x v="7"/>
    <x v="62"/>
    <x v="113"/>
    <x v="415"/>
    <x v="427"/>
    <x v="424"/>
    <x v="428"/>
    <x v="390"/>
    <x v="21"/>
    <x v="168"/>
    <x v="398"/>
    <x v="21"/>
    <x v="1"/>
  </r>
  <r>
    <x v="40"/>
    <x v="1"/>
    <x v="7"/>
    <x v="2"/>
    <x v="1"/>
    <x v="2"/>
    <x v="94"/>
    <x v="49"/>
    <x v="6"/>
    <x v="64"/>
    <x v="60"/>
    <x v="416"/>
    <x v="428"/>
    <x v="425"/>
    <x v="429"/>
    <x v="391"/>
    <x v="62"/>
    <x v="6"/>
    <x v="399"/>
    <x v="62"/>
    <x v="2"/>
  </r>
  <r>
    <x v="11"/>
    <x v="0"/>
    <x v="8"/>
    <x v="3"/>
    <x v="4"/>
    <x v="2"/>
    <x v="34"/>
    <x v="57"/>
    <x v="0"/>
    <x v="134"/>
    <x v="129"/>
    <x v="417"/>
    <x v="429"/>
    <x v="426"/>
    <x v="430"/>
    <x v="392"/>
    <x v="106"/>
    <x v="184"/>
    <x v="400"/>
    <x v="106"/>
    <x v="1"/>
  </r>
  <r>
    <x v="59"/>
    <x v="1"/>
    <x v="5"/>
    <x v="3"/>
    <x v="5"/>
    <x v="1"/>
    <x v="1"/>
    <x v="6"/>
    <x v="51"/>
    <x v="40"/>
    <x v="23"/>
    <x v="418"/>
    <x v="430"/>
    <x v="427"/>
    <x v="431"/>
    <x v="233"/>
    <x v="77"/>
    <x v="129"/>
    <x v="401"/>
    <x v="77"/>
    <x v="0"/>
  </r>
  <r>
    <x v="50"/>
    <x v="0"/>
    <x v="6"/>
    <x v="2"/>
    <x v="6"/>
    <x v="0"/>
    <x v="56"/>
    <x v="73"/>
    <x v="54"/>
    <x v="114"/>
    <x v="151"/>
    <x v="419"/>
    <x v="431"/>
    <x v="428"/>
    <x v="432"/>
    <x v="393"/>
    <x v="80"/>
    <x v="123"/>
    <x v="402"/>
    <x v="80"/>
    <x v="2"/>
  </r>
  <r>
    <x v="17"/>
    <x v="1"/>
    <x v="8"/>
    <x v="3"/>
    <x v="6"/>
    <x v="0"/>
    <x v="78"/>
    <x v="62"/>
    <x v="48"/>
    <x v="153"/>
    <x v="261"/>
    <x v="420"/>
    <x v="432"/>
    <x v="429"/>
    <x v="433"/>
    <x v="394"/>
    <x v="134"/>
    <x v="64"/>
    <x v="403"/>
    <x v="134"/>
    <x v="1"/>
  </r>
  <r>
    <x v="27"/>
    <x v="0"/>
    <x v="9"/>
    <x v="0"/>
    <x v="1"/>
    <x v="3"/>
    <x v="108"/>
    <x v="35"/>
    <x v="9"/>
    <x v="154"/>
    <x v="218"/>
    <x v="421"/>
    <x v="433"/>
    <x v="430"/>
    <x v="434"/>
    <x v="304"/>
    <x v="56"/>
    <x v="151"/>
    <x v="404"/>
    <x v="56"/>
    <x v="0"/>
  </r>
  <r>
    <x v="17"/>
    <x v="0"/>
    <x v="4"/>
    <x v="3"/>
    <x v="0"/>
    <x v="3"/>
    <x v="55"/>
    <x v="70"/>
    <x v="44"/>
    <x v="24"/>
    <x v="97"/>
    <x v="422"/>
    <x v="434"/>
    <x v="431"/>
    <x v="435"/>
    <x v="395"/>
    <x v="155"/>
    <x v="119"/>
    <x v="405"/>
    <x v="155"/>
    <x v="1"/>
  </r>
  <r>
    <x v="39"/>
    <x v="1"/>
    <x v="7"/>
    <x v="1"/>
    <x v="1"/>
    <x v="2"/>
    <x v="1"/>
    <x v="69"/>
    <x v="29"/>
    <x v="11"/>
    <x v="244"/>
    <x v="423"/>
    <x v="435"/>
    <x v="432"/>
    <x v="436"/>
    <x v="396"/>
    <x v="80"/>
    <x v="121"/>
    <x v="406"/>
    <x v="80"/>
    <x v="2"/>
  </r>
  <r>
    <x v="5"/>
    <x v="0"/>
    <x v="2"/>
    <x v="2"/>
    <x v="6"/>
    <x v="3"/>
    <x v="90"/>
    <x v="36"/>
    <x v="59"/>
    <x v="54"/>
    <x v="100"/>
    <x v="424"/>
    <x v="436"/>
    <x v="433"/>
    <x v="437"/>
    <x v="397"/>
    <x v="129"/>
    <x v="86"/>
    <x v="407"/>
    <x v="129"/>
    <x v="2"/>
  </r>
  <r>
    <x v="7"/>
    <x v="0"/>
    <x v="5"/>
    <x v="1"/>
    <x v="5"/>
    <x v="2"/>
    <x v="87"/>
    <x v="43"/>
    <x v="20"/>
    <x v="14"/>
    <x v="262"/>
    <x v="425"/>
    <x v="437"/>
    <x v="434"/>
    <x v="438"/>
    <x v="398"/>
    <x v="8"/>
    <x v="36"/>
    <x v="21"/>
    <x v="8"/>
    <x v="2"/>
  </r>
  <r>
    <x v="55"/>
    <x v="1"/>
    <x v="2"/>
    <x v="3"/>
    <x v="1"/>
    <x v="1"/>
    <x v="94"/>
    <x v="69"/>
    <x v="13"/>
    <x v="88"/>
    <x v="263"/>
    <x v="426"/>
    <x v="438"/>
    <x v="435"/>
    <x v="439"/>
    <x v="399"/>
    <x v="66"/>
    <x v="107"/>
    <x v="408"/>
    <x v="66"/>
    <x v="2"/>
  </r>
  <r>
    <x v="59"/>
    <x v="1"/>
    <x v="5"/>
    <x v="3"/>
    <x v="2"/>
    <x v="2"/>
    <x v="38"/>
    <x v="38"/>
    <x v="39"/>
    <x v="43"/>
    <x v="120"/>
    <x v="427"/>
    <x v="439"/>
    <x v="436"/>
    <x v="440"/>
    <x v="400"/>
    <x v="59"/>
    <x v="138"/>
    <x v="409"/>
    <x v="59"/>
    <x v="0"/>
  </r>
  <r>
    <x v="47"/>
    <x v="1"/>
    <x v="7"/>
    <x v="1"/>
    <x v="5"/>
    <x v="0"/>
    <x v="34"/>
    <x v="61"/>
    <x v="30"/>
    <x v="102"/>
    <x v="26"/>
    <x v="85"/>
    <x v="440"/>
    <x v="282"/>
    <x v="441"/>
    <x v="401"/>
    <x v="27"/>
    <x v="154"/>
    <x v="410"/>
    <x v="27"/>
    <x v="0"/>
  </r>
  <r>
    <x v="31"/>
    <x v="0"/>
    <x v="9"/>
    <x v="4"/>
    <x v="2"/>
    <x v="1"/>
    <x v="84"/>
    <x v="31"/>
    <x v="80"/>
    <x v="132"/>
    <x v="135"/>
    <x v="428"/>
    <x v="441"/>
    <x v="437"/>
    <x v="442"/>
    <x v="351"/>
    <x v="21"/>
    <x v="69"/>
    <x v="411"/>
    <x v="21"/>
    <x v="2"/>
  </r>
  <r>
    <x v="45"/>
    <x v="1"/>
    <x v="4"/>
    <x v="2"/>
    <x v="3"/>
    <x v="0"/>
    <x v="34"/>
    <x v="75"/>
    <x v="58"/>
    <x v="88"/>
    <x v="264"/>
    <x v="429"/>
    <x v="442"/>
    <x v="438"/>
    <x v="443"/>
    <x v="402"/>
    <x v="160"/>
    <x v="18"/>
    <x v="91"/>
    <x v="160"/>
    <x v="2"/>
  </r>
  <r>
    <x v="41"/>
    <x v="1"/>
    <x v="8"/>
    <x v="4"/>
    <x v="3"/>
    <x v="0"/>
    <x v="1"/>
    <x v="13"/>
    <x v="23"/>
    <x v="76"/>
    <x v="135"/>
    <x v="430"/>
    <x v="443"/>
    <x v="439"/>
    <x v="444"/>
    <x v="403"/>
    <x v="108"/>
    <x v="185"/>
    <x v="412"/>
    <x v="108"/>
    <x v="2"/>
  </r>
  <r>
    <x v="11"/>
    <x v="1"/>
    <x v="5"/>
    <x v="2"/>
    <x v="6"/>
    <x v="3"/>
    <x v="78"/>
    <x v="4"/>
    <x v="41"/>
    <x v="36"/>
    <x v="30"/>
    <x v="431"/>
    <x v="444"/>
    <x v="440"/>
    <x v="445"/>
    <x v="404"/>
    <x v="110"/>
    <x v="10"/>
    <x v="413"/>
    <x v="110"/>
    <x v="1"/>
  </r>
  <r>
    <x v="54"/>
    <x v="1"/>
    <x v="8"/>
    <x v="4"/>
    <x v="4"/>
    <x v="2"/>
    <x v="5"/>
    <x v="55"/>
    <x v="22"/>
    <x v="9"/>
    <x v="265"/>
    <x v="432"/>
    <x v="445"/>
    <x v="441"/>
    <x v="446"/>
    <x v="405"/>
    <x v="89"/>
    <x v="118"/>
    <x v="251"/>
    <x v="89"/>
    <x v="0"/>
  </r>
  <r>
    <x v="52"/>
    <x v="0"/>
    <x v="1"/>
    <x v="2"/>
    <x v="0"/>
    <x v="2"/>
    <x v="20"/>
    <x v="8"/>
    <x v="77"/>
    <x v="51"/>
    <x v="257"/>
    <x v="433"/>
    <x v="446"/>
    <x v="442"/>
    <x v="447"/>
    <x v="406"/>
    <x v="9"/>
    <x v="55"/>
    <x v="414"/>
    <x v="9"/>
    <x v="2"/>
  </r>
  <r>
    <x v="36"/>
    <x v="0"/>
    <x v="4"/>
    <x v="0"/>
    <x v="5"/>
    <x v="3"/>
    <x v="47"/>
    <x v="48"/>
    <x v="57"/>
    <x v="46"/>
    <x v="7"/>
    <x v="434"/>
    <x v="447"/>
    <x v="443"/>
    <x v="448"/>
    <x v="407"/>
    <x v="0"/>
    <x v="153"/>
    <x v="415"/>
    <x v="0"/>
    <x v="1"/>
  </r>
  <r>
    <x v="48"/>
    <x v="0"/>
    <x v="9"/>
    <x v="0"/>
    <x v="3"/>
    <x v="2"/>
    <x v="27"/>
    <x v="30"/>
    <x v="33"/>
    <x v="150"/>
    <x v="36"/>
    <x v="435"/>
    <x v="448"/>
    <x v="444"/>
    <x v="449"/>
    <x v="408"/>
    <x v="25"/>
    <x v="63"/>
    <x v="416"/>
    <x v="25"/>
    <x v="2"/>
  </r>
  <r>
    <x v="42"/>
    <x v="1"/>
    <x v="9"/>
    <x v="1"/>
    <x v="3"/>
    <x v="3"/>
    <x v="96"/>
    <x v="64"/>
    <x v="23"/>
    <x v="133"/>
    <x v="13"/>
    <x v="436"/>
    <x v="449"/>
    <x v="445"/>
    <x v="450"/>
    <x v="57"/>
    <x v="105"/>
    <x v="68"/>
    <x v="417"/>
    <x v="105"/>
    <x v="2"/>
  </r>
  <r>
    <x v="28"/>
    <x v="1"/>
    <x v="0"/>
    <x v="2"/>
    <x v="2"/>
    <x v="0"/>
    <x v="97"/>
    <x v="46"/>
    <x v="33"/>
    <x v="9"/>
    <x v="10"/>
    <x v="437"/>
    <x v="450"/>
    <x v="446"/>
    <x v="451"/>
    <x v="200"/>
    <x v="74"/>
    <x v="74"/>
    <x v="418"/>
    <x v="74"/>
    <x v="0"/>
  </r>
  <r>
    <x v="45"/>
    <x v="0"/>
    <x v="1"/>
    <x v="0"/>
    <x v="0"/>
    <x v="0"/>
    <x v="106"/>
    <x v="50"/>
    <x v="51"/>
    <x v="138"/>
    <x v="266"/>
    <x v="438"/>
    <x v="451"/>
    <x v="447"/>
    <x v="452"/>
    <x v="409"/>
    <x v="25"/>
    <x v="10"/>
    <x v="419"/>
    <x v="25"/>
    <x v="2"/>
  </r>
  <r>
    <x v="14"/>
    <x v="0"/>
    <x v="2"/>
    <x v="1"/>
    <x v="3"/>
    <x v="0"/>
    <x v="37"/>
    <x v="30"/>
    <x v="64"/>
    <x v="82"/>
    <x v="19"/>
    <x v="439"/>
    <x v="452"/>
    <x v="448"/>
    <x v="453"/>
    <x v="410"/>
    <x v="50"/>
    <x v="42"/>
    <x v="4"/>
    <x v="50"/>
    <x v="2"/>
  </r>
  <r>
    <x v="7"/>
    <x v="0"/>
    <x v="0"/>
    <x v="3"/>
    <x v="1"/>
    <x v="2"/>
    <x v="48"/>
    <x v="36"/>
    <x v="82"/>
    <x v="155"/>
    <x v="267"/>
    <x v="440"/>
    <x v="453"/>
    <x v="449"/>
    <x v="454"/>
    <x v="411"/>
    <x v="85"/>
    <x v="145"/>
    <x v="420"/>
    <x v="85"/>
    <x v="2"/>
  </r>
  <r>
    <x v="19"/>
    <x v="1"/>
    <x v="4"/>
    <x v="1"/>
    <x v="3"/>
    <x v="0"/>
    <x v="86"/>
    <x v="36"/>
    <x v="79"/>
    <x v="48"/>
    <x v="185"/>
    <x v="441"/>
    <x v="454"/>
    <x v="450"/>
    <x v="455"/>
    <x v="412"/>
    <x v="12"/>
    <x v="127"/>
    <x v="421"/>
    <x v="12"/>
    <x v="1"/>
  </r>
  <r>
    <x v="11"/>
    <x v="1"/>
    <x v="9"/>
    <x v="3"/>
    <x v="5"/>
    <x v="1"/>
    <x v="30"/>
    <x v="6"/>
    <x v="40"/>
    <x v="49"/>
    <x v="140"/>
    <x v="442"/>
    <x v="455"/>
    <x v="451"/>
    <x v="456"/>
    <x v="413"/>
    <x v="153"/>
    <x v="186"/>
    <x v="422"/>
    <x v="153"/>
    <x v="1"/>
  </r>
  <r>
    <x v="53"/>
    <x v="0"/>
    <x v="7"/>
    <x v="0"/>
    <x v="4"/>
    <x v="3"/>
    <x v="98"/>
    <x v="14"/>
    <x v="64"/>
    <x v="32"/>
    <x v="268"/>
    <x v="443"/>
    <x v="456"/>
    <x v="452"/>
    <x v="457"/>
    <x v="414"/>
    <x v="143"/>
    <x v="78"/>
    <x v="423"/>
    <x v="143"/>
    <x v="1"/>
  </r>
  <r>
    <x v="26"/>
    <x v="0"/>
    <x v="9"/>
    <x v="0"/>
    <x v="1"/>
    <x v="2"/>
    <x v="59"/>
    <x v="23"/>
    <x v="9"/>
    <x v="50"/>
    <x v="25"/>
    <x v="444"/>
    <x v="457"/>
    <x v="453"/>
    <x v="458"/>
    <x v="415"/>
    <x v="8"/>
    <x v="73"/>
    <x v="424"/>
    <x v="8"/>
    <x v="2"/>
  </r>
  <r>
    <x v="49"/>
    <x v="1"/>
    <x v="9"/>
    <x v="0"/>
    <x v="3"/>
    <x v="0"/>
    <x v="21"/>
    <x v="31"/>
    <x v="10"/>
    <x v="118"/>
    <x v="85"/>
    <x v="445"/>
    <x v="458"/>
    <x v="354"/>
    <x v="459"/>
    <x v="416"/>
    <x v="77"/>
    <x v="106"/>
    <x v="425"/>
    <x v="77"/>
    <x v="1"/>
  </r>
  <r>
    <x v="57"/>
    <x v="1"/>
    <x v="3"/>
    <x v="4"/>
    <x v="5"/>
    <x v="2"/>
    <x v="106"/>
    <x v="71"/>
    <x v="30"/>
    <x v="96"/>
    <x v="269"/>
    <x v="446"/>
    <x v="459"/>
    <x v="454"/>
    <x v="460"/>
    <x v="417"/>
    <x v="136"/>
    <x v="69"/>
    <x v="426"/>
    <x v="136"/>
    <x v="0"/>
  </r>
  <r>
    <x v="29"/>
    <x v="1"/>
    <x v="0"/>
    <x v="1"/>
    <x v="0"/>
    <x v="2"/>
    <x v="46"/>
    <x v="57"/>
    <x v="45"/>
    <x v="115"/>
    <x v="270"/>
    <x v="4"/>
    <x v="460"/>
    <x v="455"/>
    <x v="461"/>
    <x v="418"/>
    <x v="155"/>
    <x v="33"/>
    <x v="427"/>
    <x v="155"/>
    <x v="2"/>
  </r>
  <r>
    <x v="4"/>
    <x v="1"/>
    <x v="3"/>
    <x v="4"/>
    <x v="1"/>
    <x v="2"/>
    <x v="50"/>
    <x v="38"/>
    <x v="52"/>
    <x v="156"/>
    <x v="76"/>
    <x v="447"/>
    <x v="461"/>
    <x v="456"/>
    <x v="462"/>
    <x v="419"/>
    <x v="51"/>
    <x v="31"/>
    <x v="428"/>
    <x v="51"/>
    <x v="1"/>
  </r>
  <r>
    <x v="38"/>
    <x v="0"/>
    <x v="4"/>
    <x v="2"/>
    <x v="4"/>
    <x v="1"/>
    <x v="16"/>
    <x v="41"/>
    <x v="16"/>
    <x v="62"/>
    <x v="271"/>
    <x v="448"/>
    <x v="462"/>
    <x v="457"/>
    <x v="463"/>
    <x v="420"/>
    <x v="5"/>
    <x v="64"/>
    <x v="429"/>
    <x v="5"/>
    <x v="2"/>
  </r>
  <r>
    <x v="14"/>
    <x v="0"/>
    <x v="3"/>
    <x v="0"/>
    <x v="0"/>
    <x v="0"/>
    <x v="109"/>
    <x v="61"/>
    <x v="19"/>
    <x v="20"/>
    <x v="229"/>
    <x v="449"/>
    <x v="463"/>
    <x v="458"/>
    <x v="464"/>
    <x v="421"/>
    <x v="132"/>
    <x v="174"/>
    <x v="430"/>
    <x v="132"/>
    <x v="2"/>
  </r>
  <r>
    <x v="45"/>
    <x v="1"/>
    <x v="2"/>
    <x v="2"/>
    <x v="2"/>
    <x v="3"/>
    <x v="40"/>
    <x v="19"/>
    <x v="50"/>
    <x v="27"/>
    <x v="266"/>
    <x v="450"/>
    <x v="464"/>
    <x v="459"/>
    <x v="465"/>
    <x v="422"/>
    <x v="120"/>
    <x v="147"/>
    <x v="208"/>
    <x v="120"/>
    <x v="2"/>
  </r>
  <r>
    <x v="20"/>
    <x v="1"/>
    <x v="7"/>
    <x v="0"/>
    <x v="6"/>
    <x v="0"/>
    <x v="10"/>
    <x v="21"/>
    <x v="11"/>
    <x v="31"/>
    <x v="272"/>
    <x v="451"/>
    <x v="465"/>
    <x v="460"/>
    <x v="466"/>
    <x v="423"/>
    <x v="102"/>
    <x v="52"/>
    <x v="431"/>
    <x v="102"/>
    <x v="1"/>
  </r>
  <r>
    <x v="32"/>
    <x v="1"/>
    <x v="7"/>
    <x v="0"/>
    <x v="3"/>
    <x v="1"/>
    <x v="31"/>
    <x v="45"/>
    <x v="43"/>
    <x v="16"/>
    <x v="273"/>
    <x v="452"/>
    <x v="466"/>
    <x v="461"/>
    <x v="467"/>
    <x v="424"/>
    <x v="95"/>
    <x v="138"/>
    <x v="432"/>
    <x v="95"/>
    <x v="1"/>
  </r>
  <r>
    <x v="44"/>
    <x v="0"/>
    <x v="1"/>
    <x v="1"/>
    <x v="0"/>
    <x v="2"/>
    <x v="89"/>
    <x v="35"/>
    <x v="4"/>
    <x v="13"/>
    <x v="274"/>
    <x v="453"/>
    <x v="467"/>
    <x v="462"/>
    <x v="468"/>
    <x v="110"/>
    <x v="115"/>
    <x v="141"/>
    <x v="433"/>
    <x v="115"/>
    <x v="2"/>
  </r>
  <r>
    <x v="44"/>
    <x v="0"/>
    <x v="0"/>
    <x v="1"/>
    <x v="2"/>
    <x v="3"/>
    <x v="98"/>
    <x v="29"/>
    <x v="72"/>
    <x v="44"/>
    <x v="141"/>
    <x v="454"/>
    <x v="468"/>
    <x v="463"/>
    <x v="469"/>
    <x v="425"/>
    <x v="10"/>
    <x v="187"/>
    <x v="434"/>
    <x v="10"/>
    <x v="2"/>
  </r>
  <r>
    <x v="3"/>
    <x v="0"/>
    <x v="2"/>
    <x v="2"/>
    <x v="3"/>
    <x v="3"/>
    <x v="25"/>
    <x v="18"/>
    <x v="25"/>
    <x v="28"/>
    <x v="275"/>
    <x v="455"/>
    <x v="469"/>
    <x v="464"/>
    <x v="470"/>
    <x v="426"/>
    <x v="35"/>
    <x v="76"/>
    <x v="435"/>
    <x v="35"/>
    <x v="0"/>
  </r>
  <r>
    <x v="16"/>
    <x v="0"/>
    <x v="6"/>
    <x v="1"/>
    <x v="2"/>
    <x v="2"/>
    <x v="75"/>
    <x v="14"/>
    <x v="10"/>
    <x v="10"/>
    <x v="276"/>
    <x v="456"/>
    <x v="470"/>
    <x v="465"/>
    <x v="471"/>
    <x v="427"/>
    <x v="95"/>
    <x v="55"/>
    <x v="385"/>
    <x v="95"/>
    <x v="0"/>
  </r>
  <r>
    <x v="30"/>
    <x v="1"/>
    <x v="7"/>
    <x v="1"/>
    <x v="2"/>
    <x v="3"/>
    <x v="64"/>
    <x v="46"/>
    <x v="74"/>
    <x v="24"/>
    <x v="266"/>
    <x v="457"/>
    <x v="471"/>
    <x v="466"/>
    <x v="472"/>
    <x v="428"/>
    <x v="123"/>
    <x v="13"/>
    <x v="436"/>
    <x v="123"/>
    <x v="1"/>
  </r>
  <r>
    <x v="42"/>
    <x v="1"/>
    <x v="6"/>
    <x v="1"/>
    <x v="2"/>
    <x v="1"/>
    <x v="51"/>
    <x v="12"/>
    <x v="26"/>
    <x v="83"/>
    <x v="277"/>
    <x v="458"/>
    <x v="472"/>
    <x v="467"/>
    <x v="473"/>
    <x v="429"/>
    <x v="52"/>
    <x v="87"/>
    <x v="139"/>
    <x v="52"/>
    <x v="2"/>
  </r>
  <r>
    <x v="5"/>
    <x v="1"/>
    <x v="4"/>
    <x v="1"/>
    <x v="2"/>
    <x v="3"/>
    <x v="2"/>
    <x v="6"/>
    <x v="69"/>
    <x v="143"/>
    <x v="278"/>
    <x v="459"/>
    <x v="473"/>
    <x v="468"/>
    <x v="474"/>
    <x v="430"/>
    <x v="30"/>
    <x v="67"/>
    <x v="437"/>
    <x v="30"/>
    <x v="2"/>
  </r>
  <r>
    <x v="50"/>
    <x v="0"/>
    <x v="8"/>
    <x v="4"/>
    <x v="2"/>
    <x v="2"/>
    <x v="59"/>
    <x v="56"/>
    <x v="53"/>
    <x v="34"/>
    <x v="237"/>
    <x v="460"/>
    <x v="474"/>
    <x v="469"/>
    <x v="475"/>
    <x v="431"/>
    <x v="43"/>
    <x v="95"/>
    <x v="438"/>
    <x v="43"/>
    <x v="2"/>
  </r>
  <r>
    <x v="47"/>
    <x v="1"/>
    <x v="1"/>
    <x v="2"/>
    <x v="0"/>
    <x v="2"/>
    <x v="75"/>
    <x v="57"/>
    <x v="45"/>
    <x v="136"/>
    <x v="94"/>
    <x v="461"/>
    <x v="475"/>
    <x v="470"/>
    <x v="476"/>
    <x v="432"/>
    <x v="40"/>
    <x v="129"/>
    <x v="177"/>
    <x v="40"/>
    <x v="0"/>
  </r>
  <r>
    <x v="51"/>
    <x v="1"/>
    <x v="2"/>
    <x v="2"/>
    <x v="2"/>
    <x v="3"/>
    <x v="11"/>
    <x v="54"/>
    <x v="2"/>
    <x v="1"/>
    <x v="279"/>
    <x v="462"/>
    <x v="476"/>
    <x v="471"/>
    <x v="477"/>
    <x v="433"/>
    <x v="115"/>
    <x v="133"/>
    <x v="439"/>
    <x v="115"/>
    <x v="2"/>
  </r>
  <r>
    <x v="46"/>
    <x v="1"/>
    <x v="5"/>
    <x v="0"/>
    <x v="4"/>
    <x v="0"/>
    <x v="63"/>
    <x v="79"/>
    <x v="84"/>
    <x v="138"/>
    <x v="280"/>
    <x v="463"/>
    <x v="477"/>
    <x v="472"/>
    <x v="478"/>
    <x v="434"/>
    <x v="141"/>
    <x v="36"/>
    <x v="440"/>
    <x v="141"/>
    <x v="1"/>
  </r>
  <r>
    <x v="0"/>
    <x v="1"/>
    <x v="8"/>
    <x v="1"/>
    <x v="3"/>
    <x v="2"/>
    <x v="71"/>
    <x v="65"/>
    <x v="39"/>
    <x v="34"/>
    <x v="281"/>
    <x v="464"/>
    <x v="478"/>
    <x v="473"/>
    <x v="479"/>
    <x v="435"/>
    <x v="70"/>
    <x v="135"/>
    <x v="441"/>
    <x v="70"/>
    <x v="0"/>
  </r>
  <r>
    <x v="11"/>
    <x v="1"/>
    <x v="9"/>
    <x v="0"/>
    <x v="3"/>
    <x v="0"/>
    <x v="41"/>
    <x v="0"/>
    <x v="64"/>
    <x v="59"/>
    <x v="278"/>
    <x v="465"/>
    <x v="479"/>
    <x v="474"/>
    <x v="480"/>
    <x v="436"/>
    <x v="110"/>
    <x v="96"/>
    <x v="442"/>
    <x v="110"/>
    <x v="1"/>
  </r>
  <r>
    <x v="22"/>
    <x v="0"/>
    <x v="9"/>
    <x v="1"/>
    <x v="1"/>
    <x v="1"/>
    <x v="36"/>
    <x v="47"/>
    <x v="62"/>
    <x v="23"/>
    <x v="282"/>
    <x v="466"/>
    <x v="480"/>
    <x v="475"/>
    <x v="481"/>
    <x v="175"/>
    <x v="55"/>
    <x v="86"/>
    <x v="443"/>
    <x v="55"/>
    <x v="0"/>
  </r>
  <r>
    <x v="51"/>
    <x v="0"/>
    <x v="6"/>
    <x v="2"/>
    <x v="0"/>
    <x v="1"/>
    <x v="100"/>
    <x v="59"/>
    <x v="30"/>
    <x v="80"/>
    <x v="172"/>
    <x v="467"/>
    <x v="481"/>
    <x v="476"/>
    <x v="482"/>
    <x v="437"/>
    <x v="13"/>
    <x v="117"/>
    <x v="444"/>
    <x v="13"/>
    <x v="2"/>
  </r>
  <r>
    <x v="9"/>
    <x v="0"/>
    <x v="7"/>
    <x v="4"/>
    <x v="1"/>
    <x v="3"/>
    <x v="107"/>
    <x v="34"/>
    <x v="15"/>
    <x v="123"/>
    <x v="283"/>
    <x v="468"/>
    <x v="482"/>
    <x v="477"/>
    <x v="483"/>
    <x v="438"/>
    <x v="166"/>
    <x v="15"/>
    <x v="445"/>
    <x v="166"/>
    <x v="0"/>
  </r>
  <r>
    <x v="16"/>
    <x v="0"/>
    <x v="9"/>
    <x v="0"/>
    <x v="1"/>
    <x v="0"/>
    <x v="71"/>
    <x v="78"/>
    <x v="33"/>
    <x v="105"/>
    <x v="85"/>
    <x v="469"/>
    <x v="483"/>
    <x v="478"/>
    <x v="484"/>
    <x v="439"/>
    <x v="91"/>
    <x v="7"/>
    <x v="446"/>
    <x v="91"/>
    <x v="0"/>
  </r>
  <r>
    <x v="36"/>
    <x v="0"/>
    <x v="9"/>
    <x v="4"/>
    <x v="4"/>
    <x v="3"/>
    <x v="105"/>
    <x v="3"/>
    <x v="26"/>
    <x v="147"/>
    <x v="0"/>
    <x v="470"/>
    <x v="484"/>
    <x v="479"/>
    <x v="485"/>
    <x v="359"/>
    <x v="33"/>
    <x v="63"/>
    <x v="447"/>
    <x v="33"/>
    <x v="1"/>
  </r>
  <r>
    <x v="38"/>
    <x v="1"/>
    <x v="0"/>
    <x v="4"/>
    <x v="6"/>
    <x v="2"/>
    <x v="9"/>
    <x v="61"/>
    <x v="14"/>
    <x v="130"/>
    <x v="160"/>
    <x v="471"/>
    <x v="485"/>
    <x v="480"/>
    <x v="486"/>
    <x v="440"/>
    <x v="139"/>
    <x v="112"/>
    <x v="448"/>
    <x v="139"/>
    <x v="2"/>
  </r>
  <r>
    <x v="22"/>
    <x v="0"/>
    <x v="6"/>
    <x v="2"/>
    <x v="1"/>
    <x v="0"/>
    <x v="21"/>
    <x v="43"/>
    <x v="67"/>
    <x v="8"/>
    <x v="139"/>
    <x v="472"/>
    <x v="486"/>
    <x v="481"/>
    <x v="487"/>
    <x v="441"/>
    <x v="131"/>
    <x v="105"/>
    <x v="449"/>
    <x v="131"/>
    <x v="0"/>
  </r>
  <r>
    <x v="59"/>
    <x v="0"/>
    <x v="5"/>
    <x v="3"/>
    <x v="2"/>
    <x v="0"/>
    <x v="101"/>
    <x v="67"/>
    <x v="57"/>
    <x v="13"/>
    <x v="138"/>
    <x v="473"/>
    <x v="487"/>
    <x v="482"/>
    <x v="488"/>
    <x v="442"/>
    <x v="53"/>
    <x v="130"/>
    <x v="209"/>
    <x v="53"/>
    <x v="0"/>
  </r>
  <r>
    <x v="46"/>
    <x v="1"/>
    <x v="5"/>
    <x v="1"/>
    <x v="2"/>
    <x v="3"/>
    <x v="115"/>
    <x v="31"/>
    <x v="40"/>
    <x v="144"/>
    <x v="284"/>
    <x v="474"/>
    <x v="488"/>
    <x v="483"/>
    <x v="489"/>
    <x v="443"/>
    <x v="0"/>
    <x v="139"/>
    <x v="450"/>
    <x v="0"/>
    <x v="1"/>
  </r>
  <r>
    <x v="55"/>
    <x v="1"/>
    <x v="4"/>
    <x v="3"/>
    <x v="5"/>
    <x v="3"/>
    <x v="106"/>
    <x v="13"/>
    <x v="84"/>
    <x v="47"/>
    <x v="35"/>
    <x v="475"/>
    <x v="489"/>
    <x v="484"/>
    <x v="490"/>
    <x v="30"/>
    <x v="52"/>
    <x v="105"/>
    <x v="451"/>
    <x v="52"/>
    <x v="2"/>
  </r>
  <r>
    <x v="4"/>
    <x v="1"/>
    <x v="9"/>
    <x v="3"/>
    <x v="2"/>
    <x v="3"/>
    <x v="81"/>
    <x v="13"/>
    <x v="85"/>
    <x v="137"/>
    <x v="9"/>
    <x v="476"/>
    <x v="490"/>
    <x v="485"/>
    <x v="491"/>
    <x v="444"/>
    <x v="65"/>
    <x v="4"/>
    <x v="452"/>
    <x v="65"/>
    <x v="1"/>
  </r>
  <r>
    <x v="37"/>
    <x v="0"/>
    <x v="8"/>
    <x v="4"/>
    <x v="6"/>
    <x v="2"/>
    <x v="7"/>
    <x v="17"/>
    <x v="87"/>
    <x v="37"/>
    <x v="285"/>
    <x v="477"/>
    <x v="491"/>
    <x v="486"/>
    <x v="492"/>
    <x v="239"/>
    <x v="143"/>
    <x v="136"/>
    <x v="302"/>
    <x v="143"/>
    <x v="2"/>
  </r>
  <r>
    <x v="8"/>
    <x v="1"/>
    <x v="3"/>
    <x v="3"/>
    <x v="5"/>
    <x v="3"/>
    <x v="72"/>
    <x v="69"/>
    <x v="41"/>
    <x v="51"/>
    <x v="252"/>
    <x v="478"/>
    <x v="492"/>
    <x v="487"/>
    <x v="493"/>
    <x v="445"/>
    <x v="151"/>
    <x v="66"/>
    <x v="90"/>
    <x v="151"/>
    <x v="2"/>
  </r>
  <r>
    <x v="27"/>
    <x v="1"/>
    <x v="4"/>
    <x v="3"/>
    <x v="3"/>
    <x v="0"/>
    <x v="90"/>
    <x v="68"/>
    <x v="69"/>
    <x v="71"/>
    <x v="286"/>
    <x v="479"/>
    <x v="493"/>
    <x v="488"/>
    <x v="494"/>
    <x v="446"/>
    <x v="30"/>
    <x v="87"/>
    <x v="437"/>
    <x v="30"/>
    <x v="0"/>
  </r>
  <r>
    <x v="52"/>
    <x v="1"/>
    <x v="4"/>
    <x v="3"/>
    <x v="5"/>
    <x v="1"/>
    <x v="81"/>
    <x v="64"/>
    <x v="9"/>
    <x v="146"/>
    <x v="191"/>
    <x v="480"/>
    <x v="494"/>
    <x v="489"/>
    <x v="495"/>
    <x v="447"/>
    <x v="148"/>
    <x v="41"/>
    <x v="453"/>
    <x v="148"/>
    <x v="2"/>
  </r>
  <r>
    <x v="54"/>
    <x v="1"/>
    <x v="9"/>
    <x v="1"/>
    <x v="6"/>
    <x v="0"/>
    <x v="89"/>
    <x v="65"/>
    <x v="40"/>
    <x v="30"/>
    <x v="287"/>
    <x v="481"/>
    <x v="495"/>
    <x v="490"/>
    <x v="496"/>
    <x v="448"/>
    <x v="167"/>
    <x v="152"/>
    <x v="454"/>
    <x v="167"/>
    <x v="0"/>
  </r>
  <r>
    <x v="59"/>
    <x v="0"/>
    <x v="6"/>
    <x v="0"/>
    <x v="2"/>
    <x v="1"/>
    <x v="46"/>
    <x v="16"/>
    <x v="70"/>
    <x v="122"/>
    <x v="0"/>
    <x v="482"/>
    <x v="496"/>
    <x v="246"/>
    <x v="118"/>
    <x v="449"/>
    <x v="44"/>
    <x v="111"/>
    <x v="455"/>
    <x v="44"/>
    <x v="0"/>
  </r>
  <r>
    <x v="15"/>
    <x v="1"/>
    <x v="3"/>
    <x v="0"/>
    <x v="5"/>
    <x v="1"/>
    <x v="21"/>
    <x v="13"/>
    <x v="45"/>
    <x v="133"/>
    <x v="288"/>
    <x v="483"/>
    <x v="497"/>
    <x v="491"/>
    <x v="497"/>
    <x v="450"/>
    <x v="121"/>
    <x v="100"/>
    <x v="456"/>
    <x v="121"/>
    <x v="2"/>
  </r>
  <r>
    <x v="30"/>
    <x v="0"/>
    <x v="9"/>
    <x v="3"/>
    <x v="2"/>
    <x v="0"/>
    <x v="114"/>
    <x v="8"/>
    <x v="36"/>
    <x v="105"/>
    <x v="289"/>
    <x v="484"/>
    <x v="498"/>
    <x v="492"/>
    <x v="498"/>
    <x v="451"/>
    <x v="21"/>
    <x v="171"/>
    <x v="457"/>
    <x v="21"/>
    <x v="1"/>
  </r>
  <r>
    <x v="37"/>
    <x v="0"/>
    <x v="4"/>
    <x v="3"/>
    <x v="0"/>
    <x v="1"/>
    <x v="109"/>
    <x v="34"/>
    <x v="88"/>
    <x v="124"/>
    <x v="193"/>
    <x v="485"/>
    <x v="499"/>
    <x v="493"/>
    <x v="499"/>
    <x v="452"/>
    <x v="24"/>
    <x v="64"/>
    <x v="458"/>
    <x v="24"/>
    <x v="2"/>
  </r>
  <r>
    <x v="37"/>
    <x v="0"/>
    <x v="0"/>
    <x v="0"/>
    <x v="6"/>
    <x v="3"/>
    <x v="38"/>
    <x v="21"/>
    <x v="70"/>
    <x v="152"/>
    <x v="216"/>
    <x v="486"/>
    <x v="500"/>
    <x v="494"/>
    <x v="500"/>
    <x v="453"/>
    <x v="63"/>
    <x v="10"/>
    <x v="459"/>
    <x v="63"/>
    <x v="2"/>
  </r>
  <r>
    <x v="40"/>
    <x v="1"/>
    <x v="0"/>
    <x v="0"/>
    <x v="0"/>
    <x v="0"/>
    <x v="88"/>
    <x v="62"/>
    <x v="57"/>
    <x v="107"/>
    <x v="165"/>
    <x v="487"/>
    <x v="501"/>
    <x v="495"/>
    <x v="501"/>
    <x v="454"/>
    <x v="15"/>
    <x v="73"/>
    <x v="460"/>
    <x v="15"/>
    <x v="2"/>
  </r>
  <r>
    <x v="56"/>
    <x v="1"/>
    <x v="0"/>
    <x v="4"/>
    <x v="4"/>
    <x v="3"/>
    <x v="43"/>
    <x v="36"/>
    <x v="72"/>
    <x v="131"/>
    <x v="290"/>
    <x v="488"/>
    <x v="502"/>
    <x v="496"/>
    <x v="502"/>
    <x v="455"/>
    <x v="103"/>
    <x v="81"/>
    <x v="461"/>
    <x v="103"/>
    <x v="2"/>
  </r>
  <r>
    <x v="49"/>
    <x v="0"/>
    <x v="5"/>
    <x v="2"/>
    <x v="3"/>
    <x v="3"/>
    <x v="97"/>
    <x v="16"/>
    <x v="34"/>
    <x v="149"/>
    <x v="95"/>
    <x v="489"/>
    <x v="503"/>
    <x v="497"/>
    <x v="503"/>
    <x v="456"/>
    <x v="85"/>
    <x v="128"/>
    <x v="462"/>
    <x v="85"/>
    <x v="1"/>
  </r>
  <r>
    <x v="29"/>
    <x v="1"/>
    <x v="9"/>
    <x v="1"/>
    <x v="1"/>
    <x v="0"/>
    <x v="16"/>
    <x v="47"/>
    <x v="19"/>
    <x v="22"/>
    <x v="10"/>
    <x v="490"/>
    <x v="504"/>
    <x v="498"/>
    <x v="504"/>
    <x v="457"/>
    <x v="168"/>
    <x v="10"/>
    <x v="117"/>
    <x v="168"/>
    <x v="2"/>
  </r>
  <r>
    <x v="40"/>
    <x v="0"/>
    <x v="1"/>
    <x v="2"/>
    <x v="4"/>
    <x v="3"/>
    <x v="49"/>
    <x v="59"/>
    <x v="30"/>
    <x v="138"/>
    <x v="29"/>
    <x v="491"/>
    <x v="505"/>
    <x v="499"/>
    <x v="505"/>
    <x v="458"/>
    <x v="30"/>
    <x v="21"/>
    <x v="463"/>
    <x v="30"/>
    <x v="2"/>
  </r>
  <r>
    <x v="55"/>
    <x v="1"/>
    <x v="1"/>
    <x v="3"/>
    <x v="5"/>
    <x v="3"/>
    <x v="55"/>
    <x v="15"/>
    <x v="48"/>
    <x v="26"/>
    <x v="71"/>
    <x v="473"/>
    <x v="506"/>
    <x v="500"/>
    <x v="506"/>
    <x v="190"/>
    <x v="18"/>
    <x v="105"/>
    <x v="464"/>
    <x v="18"/>
    <x v="2"/>
  </r>
  <r>
    <x v="24"/>
    <x v="0"/>
    <x v="6"/>
    <x v="3"/>
    <x v="5"/>
    <x v="3"/>
    <x v="88"/>
    <x v="47"/>
    <x v="70"/>
    <x v="93"/>
    <x v="202"/>
    <x v="492"/>
    <x v="507"/>
    <x v="501"/>
    <x v="507"/>
    <x v="459"/>
    <x v="90"/>
    <x v="115"/>
    <x v="465"/>
    <x v="90"/>
    <x v="1"/>
  </r>
  <r>
    <x v="28"/>
    <x v="0"/>
    <x v="0"/>
    <x v="4"/>
    <x v="5"/>
    <x v="2"/>
    <x v="68"/>
    <x v="26"/>
    <x v="42"/>
    <x v="0"/>
    <x v="255"/>
    <x v="493"/>
    <x v="508"/>
    <x v="502"/>
    <x v="508"/>
    <x v="460"/>
    <x v="88"/>
    <x v="20"/>
    <x v="466"/>
    <x v="88"/>
    <x v="0"/>
  </r>
  <r>
    <x v="52"/>
    <x v="1"/>
    <x v="4"/>
    <x v="0"/>
    <x v="0"/>
    <x v="3"/>
    <x v="27"/>
    <x v="46"/>
    <x v="38"/>
    <x v="142"/>
    <x v="199"/>
    <x v="494"/>
    <x v="509"/>
    <x v="503"/>
    <x v="509"/>
    <x v="461"/>
    <x v="135"/>
    <x v="6"/>
    <x v="467"/>
    <x v="135"/>
    <x v="2"/>
  </r>
  <r>
    <x v="4"/>
    <x v="1"/>
    <x v="8"/>
    <x v="3"/>
    <x v="6"/>
    <x v="3"/>
    <x v="17"/>
    <x v="61"/>
    <x v="34"/>
    <x v="132"/>
    <x v="196"/>
    <x v="495"/>
    <x v="510"/>
    <x v="504"/>
    <x v="510"/>
    <x v="363"/>
    <x v="80"/>
    <x v="90"/>
    <x v="265"/>
    <x v="80"/>
    <x v="1"/>
  </r>
  <r>
    <x v="44"/>
    <x v="0"/>
    <x v="2"/>
    <x v="2"/>
    <x v="3"/>
    <x v="2"/>
    <x v="86"/>
    <x v="41"/>
    <x v="7"/>
    <x v="1"/>
    <x v="125"/>
    <x v="496"/>
    <x v="511"/>
    <x v="505"/>
    <x v="511"/>
    <x v="369"/>
    <x v="117"/>
    <x v="161"/>
    <x v="468"/>
    <x v="117"/>
    <x v="2"/>
  </r>
  <r>
    <x v="47"/>
    <x v="1"/>
    <x v="1"/>
    <x v="2"/>
    <x v="2"/>
    <x v="2"/>
    <x v="16"/>
    <x v="75"/>
    <x v="70"/>
    <x v="72"/>
    <x v="269"/>
    <x v="497"/>
    <x v="512"/>
    <x v="506"/>
    <x v="512"/>
    <x v="462"/>
    <x v="100"/>
    <x v="34"/>
    <x v="469"/>
    <x v="100"/>
    <x v="0"/>
  </r>
  <r>
    <x v="55"/>
    <x v="1"/>
    <x v="9"/>
    <x v="4"/>
    <x v="6"/>
    <x v="3"/>
    <x v="42"/>
    <x v="1"/>
    <x v="45"/>
    <x v="128"/>
    <x v="291"/>
    <x v="498"/>
    <x v="513"/>
    <x v="507"/>
    <x v="513"/>
    <x v="463"/>
    <x v="27"/>
    <x v="128"/>
    <x v="470"/>
    <x v="27"/>
    <x v="2"/>
  </r>
  <r>
    <x v="12"/>
    <x v="1"/>
    <x v="3"/>
    <x v="1"/>
    <x v="0"/>
    <x v="0"/>
    <x v="91"/>
    <x v="2"/>
    <x v="31"/>
    <x v="45"/>
    <x v="104"/>
    <x v="435"/>
    <x v="514"/>
    <x v="508"/>
    <x v="514"/>
    <x v="99"/>
    <x v="74"/>
    <x v="35"/>
    <x v="471"/>
    <x v="74"/>
    <x v="0"/>
  </r>
  <r>
    <x v="10"/>
    <x v="0"/>
    <x v="4"/>
    <x v="1"/>
    <x v="3"/>
    <x v="0"/>
    <x v="59"/>
    <x v="40"/>
    <x v="84"/>
    <x v="155"/>
    <x v="292"/>
    <x v="499"/>
    <x v="515"/>
    <x v="509"/>
    <x v="515"/>
    <x v="464"/>
    <x v="101"/>
    <x v="60"/>
    <x v="472"/>
    <x v="101"/>
    <x v="2"/>
  </r>
  <r>
    <x v="40"/>
    <x v="0"/>
    <x v="1"/>
    <x v="4"/>
    <x v="6"/>
    <x v="3"/>
    <x v="116"/>
    <x v="52"/>
    <x v="62"/>
    <x v="8"/>
    <x v="210"/>
    <x v="500"/>
    <x v="516"/>
    <x v="510"/>
    <x v="516"/>
    <x v="465"/>
    <x v="120"/>
    <x v="185"/>
    <x v="473"/>
    <x v="120"/>
    <x v="2"/>
  </r>
  <r>
    <x v="5"/>
    <x v="0"/>
    <x v="9"/>
    <x v="3"/>
    <x v="5"/>
    <x v="0"/>
    <x v="109"/>
    <x v="59"/>
    <x v="21"/>
    <x v="54"/>
    <x v="197"/>
    <x v="501"/>
    <x v="517"/>
    <x v="511"/>
    <x v="517"/>
    <x v="466"/>
    <x v="1"/>
    <x v="39"/>
    <x v="474"/>
    <x v="1"/>
    <x v="2"/>
  </r>
  <r>
    <x v="47"/>
    <x v="1"/>
    <x v="0"/>
    <x v="4"/>
    <x v="6"/>
    <x v="3"/>
    <x v="111"/>
    <x v="10"/>
    <x v="84"/>
    <x v="8"/>
    <x v="293"/>
    <x v="502"/>
    <x v="518"/>
    <x v="512"/>
    <x v="518"/>
    <x v="136"/>
    <x v="151"/>
    <x v="75"/>
    <x v="475"/>
    <x v="151"/>
    <x v="0"/>
  </r>
  <r>
    <x v="18"/>
    <x v="0"/>
    <x v="3"/>
    <x v="3"/>
    <x v="0"/>
    <x v="3"/>
    <x v="67"/>
    <x v="51"/>
    <x v="10"/>
    <x v="36"/>
    <x v="294"/>
    <x v="325"/>
    <x v="519"/>
    <x v="513"/>
    <x v="519"/>
    <x v="467"/>
    <x v="39"/>
    <x v="12"/>
    <x v="476"/>
    <x v="39"/>
    <x v="2"/>
  </r>
  <r>
    <x v="44"/>
    <x v="1"/>
    <x v="0"/>
    <x v="1"/>
    <x v="5"/>
    <x v="3"/>
    <x v="92"/>
    <x v="54"/>
    <x v="15"/>
    <x v="19"/>
    <x v="295"/>
    <x v="503"/>
    <x v="520"/>
    <x v="514"/>
    <x v="520"/>
    <x v="468"/>
    <x v="50"/>
    <x v="65"/>
    <x v="477"/>
    <x v="50"/>
    <x v="2"/>
  </r>
  <r>
    <x v="9"/>
    <x v="1"/>
    <x v="3"/>
    <x v="3"/>
    <x v="3"/>
    <x v="3"/>
    <x v="22"/>
    <x v="23"/>
    <x v="34"/>
    <x v="78"/>
    <x v="156"/>
    <x v="504"/>
    <x v="521"/>
    <x v="515"/>
    <x v="521"/>
    <x v="469"/>
    <x v="0"/>
    <x v="48"/>
    <x v="478"/>
    <x v="0"/>
    <x v="0"/>
  </r>
  <r>
    <x v="12"/>
    <x v="0"/>
    <x v="8"/>
    <x v="4"/>
    <x v="6"/>
    <x v="3"/>
    <x v="67"/>
    <x v="46"/>
    <x v="43"/>
    <x v="121"/>
    <x v="25"/>
    <x v="505"/>
    <x v="522"/>
    <x v="516"/>
    <x v="522"/>
    <x v="470"/>
    <x v="169"/>
    <x v="30"/>
    <x v="479"/>
    <x v="169"/>
    <x v="0"/>
  </r>
  <r>
    <x v="6"/>
    <x v="1"/>
    <x v="2"/>
    <x v="3"/>
    <x v="2"/>
    <x v="2"/>
    <x v="63"/>
    <x v="60"/>
    <x v="60"/>
    <x v="100"/>
    <x v="170"/>
    <x v="506"/>
    <x v="523"/>
    <x v="517"/>
    <x v="523"/>
    <x v="471"/>
    <x v="10"/>
    <x v="146"/>
    <x v="480"/>
    <x v="10"/>
    <x v="2"/>
  </r>
  <r>
    <x v="24"/>
    <x v="1"/>
    <x v="0"/>
    <x v="3"/>
    <x v="2"/>
    <x v="0"/>
    <x v="116"/>
    <x v="4"/>
    <x v="27"/>
    <x v="6"/>
    <x v="1"/>
    <x v="507"/>
    <x v="524"/>
    <x v="518"/>
    <x v="524"/>
    <x v="472"/>
    <x v="25"/>
    <x v="12"/>
    <x v="32"/>
    <x v="25"/>
    <x v="1"/>
  </r>
  <r>
    <x v="26"/>
    <x v="0"/>
    <x v="3"/>
    <x v="2"/>
    <x v="1"/>
    <x v="2"/>
    <x v="13"/>
    <x v="71"/>
    <x v="11"/>
    <x v="85"/>
    <x v="218"/>
    <x v="508"/>
    <x v="525"/>
    <x v="519"/>
    <x v="525"/>
    <x v="402"/>
    <x v="86"/>
    <x v="94"/>
    <x v="481"/>
    <x v="86"/>
    <x v="2"/>
  </r>
  <r>
    <x v="20"/>
    <x v="0"/>
    <x v="6"/>
    <x v="1"/>
    <x v="0"/>
    <x v="3"/>
    <x v="4"/>
    <x v="47"/>
    <x v="19"/>
    <x v="132"/>
    <x v="228"/>
    <x v="509"/>
    <x v="526"/>
    <x v="520"/>
    <x v="526"/>
    <x v="473"/>
    <x v="24"/>
    <x v="81"/>
    <x v="482"/>
    <x v="24"/>
    <x v="1"/>
  </r>
  <r>
    <x v="14"/>
    <x v="0"/>
    <x v="5"/>
    <x v="1"/>
    <x v="2"/>
    <x v="0"/>
    <x v="64"/>
    <x v="14"/>
    <x v="73"/>
    <x v="93"/>
    <x v="234"/>
    <x v="510"/>
    <x v="527"/>
    <x v="521"/>
    <x v="527"/>
    <x v="187"/>
    <x v="42"/>
    <x v="126"/>
    <x v="483"/>
    <x v="42"/>
    <x v="2"/>
  </r>
  <r>
    <x v="27"/>
    <x v="1"/>
    <x v="0"/>
    <x v="4"/>
    <x v="5"/>
    <x v="3"/>
    <x v="64"/>
    <x v="38"/>
    <x v="66"/>
    <x v="122"/>
    <x v="204"/>
    <x v="511"/>
    <x v="424"/>
    <x v="522"/>
    <x v="220"/>
    <x v="474"/>
    <x v="29"/>
    <x v="123"/>
    <x v="484"/>
    <x v="29"/>
    <x v="0"/>
  </r>
  <r>
    <x v="29"/>
    <x v="0"/>
    <x v="8"/>
    <x v="3"/>
    <x v="0"/>
    <x v="3"/>
    <x v="75"/>
    <x v="78"/>
    <x v="37"/>
    <x v="120"/>
    <x v="120"/>
    <x v="512"/>
    <x v="528"/>
    <x v="523"/>
    <x v="528"/>
    <x v="301"/>
    <x v="115"/>
    <x v="13"/>
    <x v="485"/>
    <x v="115"/>
    <x v="2"/>
  </r>
  <r>
    <x v="33"/>
    <x v="0"/>
    <x v="5"/>
    <x v="2"/>
    <x v="4"/>
    <x v="2"/>
    <x v="88"/>
    <x v="20"/>
    <x v="56"/>
    <x v="124"/>
    <x v="157"/>
    <x v="513"/>
    <x v="529"/>
    <x v="524"/>
    <x v="529"/>
    <x v="475"/>
    <x v="139"/>
    <x v="17"/>
    <x v="486"/>
    <x v="139"/>
    <x v="2"/>
  </r>
  <r>
    <x v="37"/>
    <x v="0"/>
    <x v="7"/>
    <x v="0"/>
    <x v="5"/>
    <x v="0"/>
    <x v="54"/>
    <x v="36"/>
    <x v="27"/>
    <x v="100"/>
    <x v="162"/>
    <x v="514"/>
    <x v="530"/>
    <x v="525"/>
    <x v="530"/>
    <x v="476"/>
    <x v="150"/>
    <x v="147"/>
    <x v="487"/>
    <x v="150"/>
    <x v="2"/>
  </r>
  <r>
    <x v="5"/>
    <x v="0"/>
    <x v="8"/>
    <x v="0"/>
    <x v="1"/>
    <x v="0"/>
    <x v="62"/>
    <x v="19"/>
    <x v="75"/>
    <x v="41"/>
    <x v="296"/>
    <x v="515"/>
    <x v="531"/>
    <x v="526"/>
    <x v="531"/>
    <x v="208"/>
    <x v="33"/>
    <x v="131"/>
    <x v="488"/>
    <x v="33"/>
    <x v="2"/>
  </r>
  <r>
    <x v="29"/>
    <x v="0"/>
    <x v="3"/>
    <x v="2"/>
    <x v="2"/>
    <x v="0"/>
    <x v="5"/>
    <x v="59"/>
    <x v="1"/>
    <x v="61"/>
    <x v="297"/>
    <x v="516"/>
    <x v="532"/>
    <x v="527"/>
    <x v="532"/>
    <x v="477"/>
    <x v="39"/>
    <x v="185"/>
    <x v="489"/>
    <x v="39"/>
    <x v="2"/>
  </r>
  <r>
    <x v="47"/>
    <x v="0"/>
    <x v="1"/>
    <x v="2"/>
    <x v="1"/>
    <x v="0"/>
    <x v="107"/>
    <x v="17"/>
    <x v="41"/>
    <x v="74"/>
    <x v="298"/>
    <x v="517"/>
    <x v="533"/>
    <x v="528"/>
    <x v="533"/>
    <x v="478"/>
    <x v="155"/>
    <x v="37"/>
    <x v="490"/>
    <x v="155"/>
    <x v="0"/>
  </r>
  <r>
    <x v="36"/>
    <x v="1"/>
    <x v="9"/>
    <x v="3"/>
    <x v="2"/>
    <x v="0"/>
    <x v="24"/>
    <x v="33"/>
    <x v="59"/>
    <x v="68"/>
    <x v="291"/>
    <x v="518"/>
    <x v="534"/>
    <x v="529"/>
    <x v="534"/>
    <x v="479"/>
    <x v="143"/>
    <x v="10"/>
    <x v="491"/>
    <x v="143"/>
    <x v="1"/>
  </r>
  <r>
    <x v="1"/>
    <x v="1"/>
    <x v="5"/>
    <x v="3"/>
    <x v="4"/>
    <x v="3"/>
    <x v="35"/>
    <x v="62"/>
    <x v="24"/>
    <x v="56"/>
    <x v="94"/>
    <x v="519"/>
    <x v="535"/>
    <x v="530"/>
    <x v="535"/>
    <x v="413"/>
    <x v="81"/>
    <x v="84"/>
    <x v="492"/>
    <x v="81"/>
    <x v="1"/>
  </r>
  <r>
    <x v="4"/>
    <x v="0"/>
    <x v="8"/>
    <x v="1"/>
    <x v="0"/>
    <x v="2"/>
    <x v="49"/>
    <x v="21"/>
    <x v="18"/>
    <x v="2"/>
    <x v="97"/>
    <x v="192"/>
    <x v="536"/>
    <x v="531"/>
    <x v="536"/>
    <x v="480"/>
    <x v="23"/>
    <x v="111"/>
    <x v="493"/>
    <x v="23"/>
    <x v="1"/>
  </r>
  <r>
    <x v="1"/>
    <x v="0"/>
    <x v="7"/>
    <x v="0"/>
    <x v="0"/>
    <x v="2"/>
    <x v="107"/>
    <x v="77"/>
    <x v="29"/>
    <x v="78"/>
    <x v="208"/>
    <x v="520"/>
    <x v="537"/>
    <x v="532"/>
    <x v="537"/>
    <x v="481"/>
    <x v="28"/>
    <x v="90"/>
    <x v="494"/>
    <x v="28"/>
    <x v="1"/>
  </r>
  <r>
    <x v="56"/>
    <x v="1"/>
    <x v="1"/>
    <x v="2"/>
    <x v="6"/>
    <x v="0"/>
    <x v="78"/>
    <x v="29"/>
    <x v="2"/>
    <x v="4"/>
    <x v="235"/>
    <x v="521"/>
    <x v="538"/>
    <x v="533"/>
    <x v="538"/>
    <x v="482"/>
    <x v="33"/>
    <x v="188"/>
    <x v="495"/>
    <x v="33"/>
    <x v="2"/>
  </r>
  <r>
    <x v="17"/>
    <x v="1"/>
    <x v="4"/>
    <x v="3"/>
    <x v="3"/>
    <x v="3"/>
    <x v="38"/>
    <x v="76"/>
    <x v="60"/>
    <x v="69"/>
    <x v="14"/>
    <x v="522"/>
    <x v="539"/>
    <x v="534"/>
    <x v="539"/>
    <x v="483"/>
    <x v="30"/>
    <x v="189"/>
    <x v="496"/>
    <x v="30"/>
    <x v="1"/>
  </r>
  <r>
    <x v="13"/>
    <x v="1"/>
    <x v="0"/>
    <x v="4"/>
    <x v="5"/>
    <x v="1"/>
    <x v="72"/>
    <x v="79"/>
    <x v="53"/>
    <x v="80"/>
    <x v="98"/>
    <x v="523"/>
    <x v="540"/>
    <x v="535"/>
    <x v="540"/>
    <x v="484"/>
    <x v="43"/>
    <x v="82"/>
    <x v="438"/>
    <x v="43"/>
    <x v="2"/>
  </r>
  <r>
    <x v="22"/>
    <x v="0"/>
    <x v="7"/>
    <x v="0"/>
    <x v="4"/>
    <x v="0"/>
    <x v="50"/>
    <x v="41"/>
    <x v="89"/>
    <x v="77"/>
    <x v="299"/>
    <x v="524"/>
    <x v="541"/>
    <x v="536"/>
    <x v="541"/>
    <x v="485"/>
    <x v="134"/>
    <x v="94"/>
    <x v="497"/>
    <x v="134"/>
    <x v="0"/>
  </r>
  <r>
    <x v="16"/>
    <x v="1"/>
    <x v="3"/>
    <x v="0"/>
    <x v="6"/>
    <x v="1"/>
    <x v="31"/>
    <x v="29"/>
    <x v="61"/>
    <x v="43"/>
    <x v="300"/>
    <x v="525"/>
    <x v="542"/>
    <x v="537"/>
    <x v="542"/>
    <x v="486"/>
    <x v="134"/>
    <x v="39"/>
    <x v="498"/>
    <x v="134"/>
    <x v="0"/>
  </r>
  <r>
    <x v="46"/>
    <x v="1"/>
    <x v="7"/>
    <x v="4"/>
    <x v="1"/>
    <x v="1"/>
    <x v="34"/>
    <x v="67"/>
    <x v="25"/>
    <x v="68"/>
    <x v="301"/>
    <x v="32"/>
    <x v="543"/>
    <x v="538"/>
    <x v="543"/>
    <x v="487"/>
    <x v="170"/>
    <x v="190"/>
    <x v="499"/>
    <x v="170"/>
    <x v="1"/>
  </r>
  <r>
    <x v="7"/>
    <x v="1"/>
    <x v="2"/>
    <x v="4"/>
    <x v="3"/>
    <x v="2"/>
    <x v="68"/>
    <x v="32"/>
    <x v="17"/>
    <x v="97"/>
    <x v="159"/>
    <x v="453"/>
    <x v="544"/>
    <x v="539"/>
    <x v="544"/>
    <x v="488"/>
    <x v="171"/>
    <x v="59"/>
    <x v="500"/>
    <x v="171"/>
    <x v="2"/>
  </r>
  <r>
    <x v="25"/>
    <x v="0"/>
    <x v="4"/>
    <x v="4"/>
    <x v="1"/>
    <x v="1"/>
    <x v="17"/>
    <x v="41"/>
    <x v="61"/>
    <x v="156"/>
    <x v="302"/>
    <x v="526"/>
    <x v="545"/>
    <x v="540"/>
    <x v="545"/>
    <x v="489"/>
    <x v="97"/>
    <x v="8"/>
    <x v="501"/>
    <x v="97"/>
    <x v="0"/>
  </r>
  <r>
    <x v="36"/>
    <x v="1"/>
    <x v="3"/>
    <x v="0"/>
    <x v="6"/>
    <x v="1"/>
    <x v="74"/>
    <x v="53"/>
    <x v="59"/>
    <x v="52"/>
    <x v="303"/>
    <x v="527"/>
    <x v="546"/>
    <x v="541"/>
    <x v="546"/>
    <x v="490"/>
    <x v="119"/>
    <x v="183"/>
    <x v="387"/>
    <x v="119"/>
    <x v="1"/>
  </r>
  <r>
    <x v="11"/>
    <x v="0"/>
    <x v="8"/>
    <x v="2"/>
    <x v="6"/>
    <x v="1"/>
    <x v="22"/>
    <x v="52"/>
    <x v="75"/>
    <x v="51"/>
    <x v="42"/>
    <x v="528"/>
    <x v="547"/>
    <x v="174"/>
    <x v="547"/>
    <x v="491"/>
    <x v="62"/>
    <x v="136"/>
    <x v="502"/>
    <x v="62"/>
    <x v="1"/>
  </r>
  <r>
    <x v="35"/>
    <x v="1"/>
    <x v="9"/>
    <x v="4"/>
    <x v="1"/>
    <x v="2"/>
    <x v="45"/>
    <x v="77"/>
    <x v="69"/>
    <x v="108"/>
    <x v="147"/>
    <x v="529"/>
    <x v="548"/>
    <x v="287"/>
    <x v="548"/>
    <x v="492"/>
    <x v="3"/>
    <x v="133"/>
    <x v="503"/>
    <x v="3"/>
    <x v="2"/>
  </r>
  <r>
    <x v="1"/>
    <x v="1"/>
    <x v="4"/>
    <x v="3"/>
    <x v="2"/>
    <x v="1"/>
    <x v="84"/>
    <x v="5"/>
    <x v="25"/>
    <x v="19"/>
    <x v="46"/>
    <x v="530"/>
    <x v="549"/>
    <x v="542"/>
    <x v="549"/>
    <x v="292"/>
    <x v="61"/>
    <x v="26"/>
    <x v="504"/>
    <x v="61"/>
    <x v="1"/>
  </r>
  <r>
    <x v="19"/>
    <x v="0"/>
    <x v="9"/>
    <x v="1"/>
    <x v="4"/>
    <x v="3"/>
    <x v="69"/>
    <x v="56"/>
    <x v="5"/>
    <x v="57"/>
    <x v="173"/>
    <x v="531"/>
    <x v="550"/>
    <x v="543"/>
    <x v="550"/>
    <x v="493"/>
    <x v="11"/>
    <x v="150"/>
    <x v="505"/>
    <x v="11"/>
    <x v="1"/>
  </r>
  <r>
    <x v="54"/>
    <x v="0"/>
    <x v="2"/>
    <x v="0"/>
    <x v="3"/>
    <x v="3"/>
    <x v="38"/>
    <x v="0"/>
    <x v="30"/>
    <x v="137"/>
    <x v="304"/>
    <x v="532"/>
    <x v="551"/>
    <x v="544"/>
    <x v="551"/>
    <x v="494"/>
    <x v="98"/>
    <x v="191"/>
    <x v="506"/>
    <x v="98"/>
    <x v="0"/>
  </r>
  <r>
    <x v="57"/>
    <x v="1"/>
    <x v="6"/>
    <x v="3"/>
    <x v="2"/>
    <x v="3"/>
    <x v="110"/>
    <x v="34"/>
    <x v="82"/>
    <x v="152"/>
    <x v="147"/>
    <x v="533"/>
    <x v="552"/>
    <x v="545"/>
    <x v="552"/>
    <x v="52"/>
    <x v="156"/>
    <x v="57"/>
    <x v="507"/>
    <x v="156"/>
    <x v="0"/>
  </r>
  <r>
    <x v="6"/>
    <x v="0"/>
    <x v="1"/>
    <x v="2"/>
    <x v="0"/>
    <x v="1"/>
    <x v="74"/>
    <x v="19"/>
    <x v="25"/>
    <x v="100"/>
    <x v="305"/>
    <x v="534"/>
    <x v="553"/>
    <x v="546"/>
    <x v="553"/>
    <x v="495"/>
    <x v="129"/>
    <x v="184"/>
    <x v="508"/>
    <x v="129"/>
    <x v="2"/>
  </r>
  <r>
    <x v="51"/>
    <x v="1"/>
    <x v="8"/>
    <x v="4"/>
    <x v="0"/>
    <x v="1"/>
    <x v="39"/>
    <x v="6"/>
    <x v="3"/>
    <x v="114"/>
    <x v="37"/>
    <x v="535"/>
    <x v="554"/>
    <x v="36"/>
    <x v="554"/>
    <x v="131"/>
    <x v="35"/>
    <x v="118"/>
    <x v="509"/>
    <x v="35"/>
    <x v="2"/>
  </r>
  <r>
    <x v="35"/>
    <x v="1"/>
    <x v="6"/>
    <x v="1"/>
    <x v="2"/>
    <x v="3"/>
    <x v="83"/>
    <x v="19"/>
    <x v="20"/>
    <x v="20"/>
    <x v="51"/>
    <x v="536"/>
    <x v="555"/>
    <x v="547"/>
    <x v="555"/>
    <x v="496"/>
    <x v="83"/>
    <x v="61"/>
    <x v="510"/>
    <x v="83"/>
    <x v="2"/>
  </r>
  <r>
    <x v="9"/>
    <x v="0"/>
    <x v="5"/>
    <x v="3"/>
    <x v="4"/>
    <x v="3"/>
    <x v="101"/>
    <x v="23"/>
    <x v="15"/>
    <x v="89"/>
    <x v="206"/>
    <x v="537"/>
    <x v="556"/>
    <x v="548"/>
    <x v="556"/>
    <x v="420"/>
    <x v="25"/>
    <x v="26"/>
    <x v="511"/>
    <x v="25"/>
    <x v="0"/>
  </r>
  <r>
    <x v="34"/>
    <x v="1"/>
    <x v="7"/>
    <x v="0"/>
    <x v="2"/>
    <x v="1"/>
    <x v="79"/>
    <x v="67"/>
    <x v="59"/>
    <x v="75"/>
    <x v="306"/>
    <x v="538"/>
    <x v="557"/>
    <x v="549"/>
    <x v="557"/>
    <x v="497"/>
    <x v="71"/>
    <x v="129"/>
    <x v="512"/>
    <x v="71"/>
    <x v="2"/>
  </r>
  <r>
    <x v="16"/>
    <x v="0"/>
    <x v="5"/>
    <x v="1"/>
    <x v="6"/>
    <x v="0"/>
    <x v="69"/>
    <x v="19"/>
    <x v="17"/>
    <x v="57"/>
    <x v="307"/>
    <x v="539"/>
    <x v="558"/>
    <x v="550"/>
    <x v="558"/>
    <x v="498"/>
    <x v="74"/>
    <x v="143"/>
    <x v="513"/>
    <x v="74"/>
    <x v="0"/>
  </r>
  <r>
    <x v="57"/>
    <x v="1"/>
    <x v="6"/>
    <x v="4"/>
    <x v="0"/>
    <x v="0"/>
    <x v="66"/>
    <x v="75"/>
    <x v="82"/>
    <x v="10"/>
    <x v="308"/>
    <x v="540"/>
    <x v="559"/>
    <x v="551"/>
    <x v="559"/>
    <x v="499"/>
    <x v="139"/>
    <x v="129"/>
    <x v="514"/>
    <x v="139"/>
    <x v="0"/>
  </r>
  <r>
    <x v="16"/>
    <x v="0"/>
    <x v="3"/>
    <x v="3"/>
    <x v="4"/>
    <x v="2"/>
    <x v="87"/>
    <x v="6"/>
    <x v="9"/>
    <x v="84"/>
    <x v="304"/>
    <x v="541"/>
    <x v="560"/>
    <x v="552"/>
    <x v="560"/>
    <x v="500"/>
    <x v="14"/>
    <x v="125"/>
    <x v="515"/>
    <x v="14"/>
    <x v="0"/>
  </r>
  <r>
    <x v="13"/>
    <x v="0"/>
    <x v="1"/>
    <x v="2"/>
    <x v="0"/>
    <x v="0"/>
    <x v="99"/>
    <x v="60"/>
    <x v="44"/>
    <x v="57"/>
    <x v="309"/>
    <x v="542"/>
    <x v="561"/>
    <x v="553"/>
    <x v="561"/>
    <x v="501"/>
    <x v="133"/>
    <x v="32"/>
    <x v="516"/>
    <x v="133"/>
    <x v="2"/>
  </r>
  <r>
    <x v="55"/>
    <x v="1"/>
    <x v="3"/>
    <x v="3"/>
    <x v="2"/>
    <x v="0"/>
    <x v="63"/>
    <x v="57"/>
    <x v="69"/>
    <x v="154"/>
    <x v="267"/>
    <x v="543"/>
    <x v="562"/>
    <x v="554"/>
    <x v="562"/>
    <x v="455"/>
    <x v="147"/>
    <x v="185"/>
    <x v="517"/>
    <x v="147"/>
    <x v="2"/>
  </r>
  <r>
    <x v="43"/>
    <x v="1"/>
    <x v="4"/>
    <x v="4"/>
    <x v="6"/>
    <x v="1"/>
    <x v="90"/>
    <x v="24"/>
    <x v="64"/>
    <x v="89"/>
    <x v="310"/>
    <x v="544"/>
    <x v="563"/>
    <x v="405"/>
    <x v="563"/>
    <x v="502"/>
    <x v="58"/>
    <x v="87"/>
    <x v="518"/>
    <x v="58"/>
    <x v="2"/>
  </r>
  <r>
    <x v="47"/>
    <x v="0"/>
    <x v="2"/>
    <x v="3"/>
    <x v="2"/>
    <x v="0"/>
    <x v="113"/>
    <x v="43"/>
    <x v="44"/>
    <x v="69"/>
    <x v="199"/>
    <x v="545"/>
    <x v="564"/>
    <x v="555"/>
    <x v="564"/>
    <x v="503"/>
    <x v="134"/>
    <x v="40"/>
    <x v="519"/>
    <x v="134"/>
    <x v="0"/>
  </r>
  <r>
    <x v="19"/>
    <x v="0"/>
    <x v="3"/>
    <x v="3"/>
    <x v="1"/>
    <x v="3"/>
    <x v="18"/>
    <x v="57"/>
    <x v="69"/>
    <x v="127"/>
    <x v="62"/>
    <x v="546"/>
    <x v="565"/>
    <x v="556"/>
    <x v="565"/>
    <x v="504"/>
    <x v="60"/>
    <x v="177"/>
    <x v="520"/>
    <x v="60"/>
    <x v="1"/>
  </r>
  <r>
    <x v="29"/>
    <x v="1"/>
    <x v="1"/>
    <x v="1"/>
    <x v="1"/>
    <x v="1"/>
    <x v="40"/>
    <x v="16"/>
    <x v="62"/>
    <x v="55"/>
    <x v="41"/>
    <x v="547"/>
    <x v="566"/>
    <x v="557"/>
    <x v="566"/>
    <x v="505"/>
    <x v="4"/>
    <x v="34"/>
    <x v="521"/>
    <x v="4"/>
    <x v="2"/>
  </r>
  <r>
    <x v="51"/>
    <x v="0"/>
    <x v="5"/>
    <x v="3"/>
    <x v="0"/>
    <x v="0"/>
    <x v="49"/>
    <x v="39"/>
    <x v="54"/>
    <x v="134"/>
    <x v="159"/>
    <x v="548"/>
    <x v="567"/>
    <x v="558"/>
    <x v="567"/>
    <x v="506"/>
    <x v="11"/>
    <x v="23"/>
    <x v="522"/>
    <x v="11"/>
    <x v="2"/>
  </r>
  <r>
    <x v="52"/>
    <x v="1"/>
    <x v="6"/>
    <x v="2"/>
    <x v="6"/>
    <x v="3"/>
    <x v="17"/>
    <x v="9"/>
    <x v="15"/>
    <x v="2"/>
    <x v="311"/>
    <x v="549"/>
    <x v="568"/>
    <x v="559"/>
    <x v="568"/>
    <x v="428"/>
    <x v="172"/>
    <x v="86"/>
    <x v="523"/>
    <x v="172"/>
    <x v="2"/>
  </r>
  <r>
    <x v="51"/>
    <x v="0"/>
    <x v="4"/>
    <x v="3"/>
    <x v="4"/>
    <x v="0"/>
    <x v="37"/>
    <x v="5"/>
    <x v="65"/>
    <x v="91"/>
    <x v="94"/>
    <x v="550"/>
    <x v="569"/>
    <x v="560"/>
    <x v="569"/>
    <x v="507"/>
    <x v="130"/>
    <x v="8"/>
    <x v="524"/>
    <x v="130"/>
    <x v="2"/>
  </r>
  <r>
    <x v="45"/>
    <x v="1"/>
    <x v="1"/>
    <x v="3"/>
    <x v="6"/>
    <x v="3"/>
    <x v="17"/>
    <x v="41"/>
    <x v="33"/>
    <x v="10"/>
    <x v="200"/>
    <x v="551"/>
    <x v="570"/>
    <x v="561"/>
    <x v="570"/>
    <x v="508"/>
    <x v="97"/>
    <x v="83"/>
    <x v="525"/>
    <x v="97"/>
    <x v="2"/>
  </r>
  <r>
    <x v="36"/>
    <x v="0"/>
    <x v="9"/>
    <x v="2"/>
    <x v="5"/>
    <x v="3"/>
    <x v="106"/>
    <x v="33"/>
    <x v="79"/>
    <x v="142"/>
    <x v="4"/>
    <x v="552"/>
    <x v="571"/>
    <x v="562"/>
    <x v="571"/>
    <x v="509"/>
    <x v="40"/>
    <x v="42"/>
    <x v="526"/>
    <x v="40"/>
    <x v="1"/>
  </r>
  <r>
    <x v="19"/>
    <x v="1"/>
    <x v="3"/>
    <x v="3"/>
    <x v="6"/>
    <x v="1"/>
    <x v="48"/>
    <x v="55"/>
    <x v="29"/>
    <x v="111"/>
    <x v="115"/>
    <x v="553"/>
    <x v="572"/>
    <x v="563"/>
    <x v="572"/>
    <x v="78"/>
    <x v="42"/>
    <x v="44"/>
    <x v="527"/>
    <x v="42"/>
    <x v="1"/>
  </r>
  <r>
    <x v="19"/>
    <x v="0"/>
    <x v="1"/>
    <x v="1"/>
    <x v="4"/>
    <x v="3"/>
    <x v="101"/>
    <x v="37"/>
    <x v="43"/>
    <x v="57"/>
    <x v="312"/>
    <x v="554"/>
    <x v="573"/>
    <x v="564"/>
    <x v="573"/>
    <x v="510"/>
    <x v="47"/>
    <x v="46"/>
    <x v="528"/>
    <x v="47"/>
    <x v="1"/>
  </r>
  <r>
    <x v="29"/>
    <x v="1"/>
    <x v="9"/>
    <x v="4"/>
    <x v="3"/>
    <x v="0"/>
    <x v="53"/>
    <x v="42"/>
    <x v="66"/>
    <x v="147"/>
    <x v="274"/>
    <x v="555"/>
    <x v="574"/>
    <x v="565"/>
    <x v="574"/>
    <x v="511"/>
    <x v="31"/>
    <x v="61"/>
    <x v="529"/>
    <x v="31"/>
    <x v="2"/>
  </r>
  <r>
    <x v="31"/>
    <x v="0"/>
    <x v="7"/>
    <x v="4"/>
    <x v="4"/>
    <x v="1"/>
    <x v="15"/>
    <x v="12"/>
    <x v="48"/>
    <x v="52"/>
    <x v="254"/>
    <x v="556"/>
    <x v="575"/>
    <x v="381"/>
    <x v="575"/>
    <x v="70"/>
    <x v="20"/>
    <x v="0"/>
    <x v="530"/>
    <x v="20"/>
    <x v="2"/>
  </r>
  <r>
    <x v="21"/>
    <x v="1"/>
    <x v="7"/>
    <x v="3"/>
    <x v="5"/>
    <x v="2"/>
    <x v="7"/>
    <x v="61"/>
    <x v="5"/>
    <x v="147"/>
    <x v="182"/>
    <x v="557"/>
    <x v="576"/>
    <x v="566"/>
    <x v="576"/>
    <x v="421"/>
    <x v="102"/>
    <x v="73"/>
    <x v="531"/>
    <x v="102"/>
    <x v="0"/>
  </r>
  <r>
    <x v="3"/>
    <x v="0"/>
    <x v="7"/>
    <x v="3"/>
    <x v="5"/>
    <x v="1"/>
    <x v="105"/>
    <x v="36"/>
    <x v="31"/>
    <x v="28"/>
    <x v="234"/>
    <x v="558"/>
    <x v="158"/>
    <x v="567"/>
    <x v="577"/>
    <x v="512"/>
    <x v="48"/>
    <x v="99"/>
    <x v="532"/>
    <x v="48"/>
    <x v="0"/>
  </r>
  <r>
    <x v="8"/>
    <x v="0"/>
    <x v="4"/>
    <x v="2"/>
    <x v="1"/>
    <x v="0"/>
    <x v="114"/>
    <x v="44"/>
    <x v="68"/>
    <x v="12"/>
    <x v="313"/>
    <x v="559"/>
    <x v="577"/>
    <x v="568"/>
    <x v="578"/>
    <x v="513"/>
    <x v="70"/>
    <x v="2"/>
    <x v="533"/>
    <x v="70"/>
    <x v="2"/>
  </r>
  <r>
    <x v="37"/>
    <x v="0"/>
    <x v="1"/>
    <x v="1"/>
    <x v="0"/>
    <x v="0"/>
    <x v="7"/>
    <x v="31"/>
    <x v="62"/>
    <x v="19"/>
    <x v="314"/>
    <x v="560"/>
    <x v="578"/>
    <x v="569"/>
    <x v="579"/>
    <x v="514"/>
    <x v="4"/>
    <x v="192"/>
    <x v="521"/>
    <x v="4"/>
    <x v="2"/>
  </r>
  <r>
    <x v="31"/>
    <x v="0"/>
    <x v="7"/>
    <x v="3"/>
    <x v="4"/>
    <x v="2"/>
    <x v="47"/>
    <x v="7"/>
    <x v="35"/>
    <x v="125"/>
    <x v="309"/>
    <x v="561"/>
    <x v="579"/>
    <x v="570"/>
    <x v="580"/>
    <x v="136"/>
    <x v="95"/>
    <x v="161"/>
    <x v="534"/>
    <x v="95"/>
    <x v="2"/>
  </r>
  <r>
    <x v="39"/>
    <x v="1"/>
    <x v="8"/>
    <x v="0"/>
    <x v="2"/>
    <x v="3"/>
    <x v="110"/>
    <x v="19"/>
    <x v="48"/>
    <x v="92"/>
    <x v="34"/>
    <x v="193"/>
    <x v="580"/>
    <x v="571"/>
    <x v="581"/>
    <x v="515"/>
    <x v="101"/>
    <x v="134"/>
    <x v="535"/>
    <x v="101"/>
    <x v="2"/>
  </r>
  <r>
    <x v="15"/>
    <x v="1"/>
    <x v="0"/>
    <x v="3"/>
    <x v="5"/>
    <x v="2"/>
    <x v="67"/>
    <x v="13"/>
    <x v="86"/>
    <x v="72"/>
    <x v="200"/>
    <x v="562"/>
    <x v="581"/>
    <x v="572"/>
    <x v="582"/>
    <x v="504"/>
    <x v="33"/>
    <x v="132"/>
    <x v="536"/>
    <x v="33"/>
    <x v="2"/>
  </r>
  <r>
    <x v="59"/>
    <x v="0"/>
    <x v="2"/>
    <x v="3"/>
    <x v="4"/>
    <x v="2"/>
    <x v="51"/>
    <x v="19"/>
    <x v="28"/>
    <x v="23"/>
    <x v="44"/>
    <x v="563"/>
    <x v="582"/>
    <x v="573"/>
    <x v="583"/>
    <x v="516"/>
    <x v="173"/>
    <x v="14"/>
    <x v="537"/>
    <x v="173"/>
    <x v="0"/>
  </r>
  <r>
    <x v="26"/>
    <x v="1"/>
    <x v="2"/>
    <x v="2"/>
    <x v="4"/>
    <x v="1"/>
    <x v="63"/>
    <x v="55"/>
    <x v="44"/>
    <x v="143"/>
    <x v="315"/>
    <x v="564"/>
    <x v="583"/>
    <x v="574"/>
    <x v="584"/>
    <x v="517"/>
    <x v="27"/>
    <x v="111"/>
    <x v="538"/>
    <x v="27"/>
    <x v="2"/>
  </r>
  <r>
    <x v="55"/>
    <x v="0"/>
    <x v="0"/>
    <x v="1"/>
    <x v="3"/>
    <x v="0"/>
    <x v="7"/>
    <x v="22"/>
    <x v="10"/>
    <x v="11"/>
    <x v="156"/>
    <x v="565"/>
    <x v="584"/>
    <x v="575"/>
    <x v="585"/>
    <x v="518"/>
    <x v="34"/>
    <x v="174"/>
    <x v="539"/>
    <x v="34"/>
    <x v="2"/>
  </r>
  <r>
    <x v="6"/>
    <x v="1"/>
    <x v="7"/>
    <x v="3"/>
    <x v="1"/>
    <x v="1"/>
    <x v="91"/>
    <x v="52"/>
    <x v="52"/>
    <x v="33"/>
    <x v="316"/>
    <x v="566"/>
    <x v="585"/>
    <x v="576"/>
    <x v="586"/>
    <x v="519"/>
    <x v="61"/>
    <x v="66"/>
    <x v="540"/>
    <x v="61"/>
    <x v="2"/>
  </r>
  <r>
    <x v="8"/>
    <x v="1"/>
    <x v="2"/>
    <x v="3"/>
    <x v="0"/>
    <x v="0"/>
    <x v="40"/>
    <x v="34"/>
    <x v="60"/>
    <x v="92"/>
    <x v="307"/>
    <x v="329"/>
    <x v="586"/>
    <x v="577"/>
    <x v="587"/>
    <x v="44"/>
    <x v="154"/>
    <x v="112"/>
    <x v="541"/>
    <x v="154"/>
    <x v="2"/>
  </r>
  <r>
    <x v="58"/>
    <x v="1"/>
    <x v="2"/>
    <x v="4"/>
    <x v="2"/>
    <x v="3"/>
    <x v="88"/>
    <x v="24"/>
    <x v="84"/>
    <x v="17"/>
    <x v="260"/>
    <x v="567"/>
    <x v="587"/>
    <x v="578"/>
    <x v="588"/>
    <x v="248"/>
    <x v="106"/>
    <x v="193"/>
    <x v="542"/>
    <x v="106"/>
    <x v="0"/>
  </r>
  <r>
    <x v="20"/>
    <x v="1"/>
    <x v="3"/>
    <x v="2"/>
    <x v="5"/>
    <x v="0"/>
    <x v="71"/>
    <x v="64"/>
    <x v="16"/>
    <x v="31"/>
    <x v="145"/>
    <x v="568"/>
    <x v="588"/>
    <x v="579"/>
    <x v="589"/>
    <x v="400"/>
    <x v="9"/>
    <x v="61"/>
    <x v="543"/>
    <x v="9"/>
    <x v="1"/>
  </r>
  <r>
    <x v="25"/>
    <x v="1"/>
    <x v="2"/>
    <x v="4"/>
    <x v="4"/>
    <x v="1"/>
    <x v="71"/>
    <x v="39"/>
    <x v="10"/>
    <x v="87"/>
    <x v="317"/>
    <x v="569"/>
    <x v="589"/>
    <x v="580"/>
    <x v="590"/>
    <x v="520"/>
    <x v="141"/>
    <x v="146"/>
    <x v="544"/>
    <x v="141"/>
    <x v="0"/>
  </r>
  <r>
    <x v="20"/>
    <x v="1"/>
    <x v="4"/>
    <x v="3"/>
    <x v="2"/>
    <x v="0"/>
    <x v="80"/>
    <x v="62"/>
    <x v="18"/>
    <x v="11"/>
    <x v="135"/>
    <x v="570"/>
    <x v="590"/>
    <x v="40"/>
    <x v="591"/>
    <x v="521"/>
    <x v="63"/>
    <x v="194"/>
    <x v="545"/>
    <x v="63"/>
    <x v="1"/>
  </r>
  <r>
    <x v="27"/>
    <x v="0"/>
    <x v="2"/>
    <x v="1"/>
    <x v="5"/>
    <x v="2"/>
    <x v="69"/>
    <x v="13"/>
    <x v="51"/>
    <x v="83"/>
    <x v="263"/>
    <x v="571"/>
    <x v="591"/>
    <x v="581"/>
    <x v="592"/>
    <x v="64"/>
    <x v="126"/>
    <x v="27"/>
    <x v="546"/>
    <x v="126"/>
    <x v="0"/>
  </r>
  <r>
    <x v="55"/>
    <x v="0"/>
    <x v="6"/>
    <x v="4"/>
    <x v="4"/>
    <x v="0"/>
    <x v="109"/>
    <x v="5"/>
    <x v="73"/>
    <x v="2"/>
    <x v="318"/>
    <x v="572"/>
    <x v="592"/>
    <x v="582"/>
    <x v="593"/>
    <x v="522"/>
    <x v="20"/>
    <x v="70"/>
    <x v="547"/>
    <x v="20"/>
    <x v="2"/>
  </r>
  <r>
    <x v="8"/>
    <x v="0"/>
    <x v="4"/>
    <x v="0"/>
    <x v="1"/>
    <x v="0"/>
    <x v="63"/>
    <x v="67"/>
    <x v="3"/>
    <x v="149"/>
    <x v="257"/>
    <x v="573"/>
    <x v="593"/>
    <x v="583"/>
    <x v="594"/>
    <x v="523"/>
    <x v="58"/>
    <x v="36"/>
    <x v="548"/>
    <x v="58"/>
    <x v="2"/>
  </r>
  <r>
    <x v="40"/>
    <x v="1"/>
    <x v="4"/>
    <x v="0"/>
    <x v="4"/>
    <x v="2"/>
    <x v="7"/>
    <x v="59"/>
    <x v="20"/>
    <x v="50"/>
    <x v="46"/>
    <x v="574"/>
    <x v="594"/>
    <x v="584"/>
    <x v="595"/>
    <x v="132"/>
    <x v="82"/>
    <x v="101"/>
    <x v="549"/>
    <x v="82"/>
    <x v="2"/>
  </r>
  <r>
    <x v="46"/>
    <x v="0"/>
    <x v="9"/>
    <x v="1"/>
    <x v="5"/>
    <x v="3"/>
    <x v="64"/>
    <x v="12"/>
    <x v="70"/>
    <x v="137"/>
    <x v="299"/>
    <x v="575"/>
    <x v="595"/>
    <x v="585"/>
    <x v="596"/>
    <x v="524"/>
    <x v="3"/>
    <x v="41"/>
    <x v="550"/>
    <x v="3"/>
    <x v="1"/>
  </r>
  <r>
    <x v="35"/>
    <x v="0"/>
    <x v="7"/>
    <x v="2"/>
    <x v="5"/>
    <x v="3"/>
    <x v="84"/>
    <x v="46"/>
    <x v="62"/>
    <x v="65"/>
    <x v="263"/>
    <x v="576"/>
    <x v="596"/>
    <x v="586"/>
    <x v="597"/>
    <x v="525"/>
    <x v="110"/>
    <x v="193"/>
    <x v="551"/>
    <x v="110"/>
    <x v="2"/>
  </r>
  <r>
    <x v="7"/>
    <x v="1"/>
    <x v="4"/>
    <x v="3"/>
    <x v="6"/>
    <x v="1"/>
    <x v="102"/>
    <x v="34"/>
    <x v="64"/>
    <x v="137"/>
    <x v="319"/>
    <x v="534"/>
    <x v="597"/>
    <x v="205"/>
    <x v="598"/>
    <x v="88"/>
    <x v="174"/>
    <x v="147"/>
    <x v="552"/>
    <x v="174"/>
    <x v="2"/>
  </r>
  <r>
    <x v="37"/>
    <x v="1"/>
    <x v="9"/>
    <x v="4"/>
    <x v="1"/>
    <x v="0"/>
    <x v="62"/>
    <x v="26"/>
    <x v="40"/>
    <x v="147"/>
    <x v="320"/>
    <x v="577"/>
    <x v="598"/>
    <x v="587"/>
    <x v="599"/>
    <x v="526"/>
    <x v="105"/>
    <x v="119"/>
    <x v="553"/>
    <x v="105"/>
    <x v="2"/>
  </r>
  <r>
    <x v="3"/>
    <x v="0"/>
    <x v="3"/>
    <x v="2"/>
    <x v="6"/>
    <x v="2"/>
    <x v="59"/>
    <x v="60"/>
    <x v="16"/>
    <x v="59"/>
    <x v="171"/>
    <x v="578"/>
    <x v="599"/>
    <x v="588"/>
    <x v="600"/>
    <x v="527"/>
    <x v="88"/>
    <x v="30"/>
    <x v="554"/>
    <x v="88"/>
    <x v="0"/>
  </r>
  <r>
    <x v="13"/>
    <x v="0"/>
    <x v="5"/>
    <x v="2"/>
    <x v="2"/>
    <x v="1"/>
    <x v="49"/>
    <x v="4"/>
    <x v="71"/>
    <x v="24"/>
    <x v="221"/>
    <x v="579"/>
    <x v="600"/>
    <x v="589"/>
    <x v="601"/>
    <x v="310"/>
    <x v="62"/>
    <x v="6"/>
    <x v="555"/>
    <x v="62"/>
    <x v="2"/>
  </r>
  <r>
    <x v="22"/>
    <x v="0"/>
    <x v="7"/>
    <x v="0"/>
    <x v="4"/>
    <x v="2"/>
    <x v="13"/>
    <x v="54"/>
    <x v="11"/>
    <x v="115"/>
    <x v="321"/>
    <x v="580"/>
    <x v="601"/>
    <x v="590"/>
    <x v="602"/>
    <x v="528"/>
    <x v="106"/>
    <x v="2"/>
    <x v="556"/>
    <x v="106"/>
    <x v="0"/>
  </r>
  <r>
    <x v="11"/>
    <x v="0"/>
    <x v="1"/>
    <x v="1"/>
    <x v="6"/>
    <x v="0"/>
    <x v="93"/>
    <x v="12"/>
    <x v="80"/>
    <x v="93"/>
    <x v="273"/>
    <x v="581"/>
    <x v="602"/>
    <x v="591"/>
    <x v="603"/>
    <x v="529"/>
    <x v="132"/>
    <x v="48"/>
    <x v="557"/>
    <x v="132"/>
    <x v="1"/>
  </r>
  <r>
    <x v="15"/>
    <x v="1"/>
    <x v="2"/>
    <x v="4"/>
    <x v="0"/>
    <x v="2"/>
    <x v="102"/>
    <x v="16"/>
    <x v="31"/>
    <x v="58"/>
    <x v="322"/>
    <x v="582"/>
    <x v="603"/>
    <x v="592"/>
    <x v="604"/>
    <x v="438"/>
    <x v="127"/>
    <x v="166"/>
    <x v="38"/>
    <x v="127"/>
    <x v="2"/>
  </r>
  <r>
    <x v="14"/>
    <x v="1"/>
    <x v="8"/>
    <x v="2"/>
    <x v="2"/>
    <x v="3"/>
    <x v="87"/>
    <x v="73"/>
    <x v="47"/>
    <x v="131"/>
    <x v="323"/>
    <x v="583"/>
    <x v="604"/>
    <x v="593"/>
    <x v="605"/>
    <x v="530"/>
    <x v="58"/>
    <x v="158"/>
    <x v="558"/>
    <x v="58"/>
    <x v="2"/>
  </r>
  <r>
    <x v="45"/>
    <x v="0"/>
    <x v="4"/>
    <x v="0"/>
    <x v="4"/>
    <x v="3"/>
    <x v="79"/>
    <x v="20"/>
    <x v="75"/>
    <x v="66"/>
    <x v="101"/>
    <x v="584"/>
    <x v="605"/>
    <x v="594"/>
    <x v="606"/>
    <x v="531"/>
    <x v="147"/>
    <x v="163"/>
    <x v="490"/>
    <x v="147"/>
    <x v="2"/>
  </r>
  <r>
    <x v="33"/>
    <x v="1"/>
    <x v="0"/>
    <x v="2"/>
    <x v="2"/>
    <x v="1"/>
    <x v="53"/>
    <x v="47"/>
    <x v="58"/>
    <x v="107"/>
    <x v="158"/>
    <x v="585"/>
    <x v="606"/>
    <x v="595"/>
    <x v="607"/>
    <x v="532"/>
    <x v="173"/>
    <x v="12"/>
    <x v="91"/>
    <x v="173"/>
    <x v="2"/>
  </r>
  <r>
    <x v="17"/>
    <x v="1"/>
    <x v="7"/>
    <x v="1"/>
    <x v="6"/>
    <x v="3"/>
    <x v="25"/>
    <x v="22"/>
    <x v="14"/>
    <x v="32"/>
    <x v="36"/>
    <x v="586"/>
    <x v="607"/>
    <x v="596"/>
    <x v="608"/>
    <x v="533"/>
    <x v="20"/>
    <x v="52"/>
    <x v="559"/>
    <x v="20"/>
    <x v="1"/>
  </r>
  <r>
    <x v="3"/>
    <x v="0"/>
    <x v="7"/>
    <x v="4"/>
    <x v="5"/>
    <x v="1"/>
    <x v="74"/>
    <x v="31"/>
    <x v="46"/>
    <x v="144"/>
    <x v="324"/>
    <x v="587"/>
    <x v="608"/>
    <x v="597"/>
    <x v="609"/>
    <x v="534"/>
    <x v="110"/>
    <x v="139"/>
    <x v="560"/>
    <x v="110"/>
    <x v="0"/>
  </r>
  <r>
    <x v="25"/>
    <x v="1"/>
    <x v="9"/>
    <x v="2"/>
    <x v="3"/>
    <x v="3"/>
    <x v="38"/>
    <x v="62"/>
    <x v="75"/>
    <x v="49"/>
    <x v="225"/>
    <x v="588"/>
    <x v="609"/>
    <x v="598"/>
    <x v="610"/>
    <x v="535"/>
    <x v="4"/>
    <x v="72"/>
    <x v="561"/>
    <x v="4"/>
    <x v="0"/>
  </r>
  <r>
    <x v="27"/>
    <x v="0"/>
    <x v="5"/>
    <x v="3"/>
    <x v="3"/>
    <x v="2"/>
    <x v="55"/>
    <x v="60"/>
    <x v="28"/>
    <x v="55"/>
    <x v="325"/>
    <x v="589"/>
    <x v="610"/>
    <x v="599"/>
    <x v="611"/>
    <x v="399"/>
    <x v="167"/>
    <x v="166"/>
    <x v="562"/>
    <x v="167"/>
    <x v="0"/>
  </r>
  <r>
    <x v="1"/>
    <x v="0"/>
    <x v="0"/>
    <x v="2"/>
    <x v="5"/>
    <x v="0"/>
    <x v="92"/>
    <x v="4"/>
    <x v="33"/>
    <x v="21"/>
    <x v="202"/>
    <x v="590"/>
    <x v="611"/>
    <x v="600"/>
    <x v="612"/>
    <x v="536"/>
    <x v="88"/>
    <x v="171"/>
    <x v="563"/>
    <x v="88"/>
    <x v="1"/>
  </r>
  <r>
    <x v="12"/>
    <x v="0"/>
    <x v="8"/>
    <x v="4"/>
    <x v="3"/>
    <x v="1"/>
    <x v="74"/>
    <x v="42"/>
    <x v="73"/>
    <x v="73"/>
    <x v="212"/>
    <x v="591"/>
    <x v="612"/>
    <x v="601"/>
    <x v="613"/>
    <x v="537"/>
    <x v="57"/>
    <x v="163"/>
    <x v="564"/>
    <x v="57"/>
    <x v="0"/>
  </r>
  <r>
    <x v="4"/>
    <x v="1"/>
    <x v="1"/>
    <x v="2"/>
    <x v="2"/>
    <x v="3"/>
    <x v="110"/>
    <x v="44"/>
    <x v="5"/>
    <x v="15"/>
    <x v="143"/>
    <x v="592"/>
    <x v="613"/>
    <x v="602"/>
    <x v="614"/>
    <x v="538"/>
    <x v="78"/>
    <x v="43"/>
    <x v="565"/>
    <x v="78"/>
    <x v="1"/>
  </r>
  <r>
    <x v="16"/>
    <x v="1"/>
    <x v="9"/>
    <x v="2"/>
    <x v="6"/>
    <x v="0"/>
    <x v="9"/>
    <x v="79"/>
    <x v="70"/>
    <x v="78"/>
    <x v="76"/>
    <x v="593"/>
    <x v="614"/>
    <x v="603"/>
    <x v="615"/>
    <x v="539"/>
    <x v="0"/>
    <x v="182"/>
    <x v="566"/>
    <x v="0"/>
    <x v="0"/>
  </r>
  <r>
    <x v="6"/>
    <x v="0"/>
    <x v="1"/>
    <x v="2"/>
    <x v="0"/>
    <x v="0"/>
    <x v="100"/>
    <x v="40"/>
    <x v="23"/>
    <x v="133"/>
    <x v="281"/>
    <x v="17"/>
    <x v="615"/>
    <x v="604"/>
    <x v="616"/>
    <x v="540"/>
    <x v="142"/>
    <x v="48"/>
    <x v="567"/>
    <x v="142"/>
    <x v="2"/>
  </r>
  <r>
    <x v="12"/>
    <x v="0"/>
    <x v="9"/>
    <x v="4"/>
    <x v="6"/>
    <x v="2"/>
    <x v="30"/>
    <x v="57"/>
    <x v="70"/>
    <x v="91"/>
    <x v="79"/>
    <x v="18"/>
    <x v="616"/>
    <x v="605"/>
    <x v="617"/>
    <x v="541"/>
    <x v="22"/>
    <x v="13"/>
    <x v="568"/>
    <x v="22"/>
    <x v="0"/>
  </r>
  <r>
    <x v="8"/>
    <x v="0"/>
    <x v="0"/>
    <x v="0"/>
    <x v="3"/>
    <x v="0"/>
    <x v="110"/>
    <x v="54"/>
    <x v="2"/>
    <x v="130"/>
    <x v="326"/>
    <x v="594"/>
    <x v="617"/>
    <x v="606"/>
    <x v="618"/>
    <x v="542"/>
    <x v="95"/>
    <x v="94"/>
    <x v="569"/>
    <x v="95"/>
    <x v="2"/>
  </r>
  <r>
    <x v="18"/>
    <x v="1"/>
    <x v="0"/>
    <x v="0"/>
    <x v="4"/>
    <x v="3"/>
    <x v="90"/>
    <x v="26"/>
    <x v="71"/>
    <x v="114"/>
    <x v="327"/>
    <x v="595"/>
    <x v="618"/>
    <x v="607"/>
    <x v="619"/>
    <x v="80"/>
    <x v="157"/>
    <x v="15"/>
    <x v="570"/>
    <x v="157"/>
    <x v="2"/>
  </r>
  <r>
    <x v="40"/>
    <x v="1"/>
    <x v="4"/>
    <x v="3"/>
    <x v="5"/>
    <x v="3"/>
    <x v="75"/>
    <x v="40"/>
    <x v="43"/>
    <x v="38"/>
    <x v="190"/>
    <x v="596"/>
    <x v="619"/>
    <x v="608"/>
    <x v="620"/>
    <x v="543"/>
    <x v="175"/>
    <x v="131"/>
    <x v="86"/>
    <x v="175"/>
    <x v="2"/>
  </r>
  <r>
    <x v="34"/>
    <x v="1"/>
    <x v="1"/>
    <x v="3"/>
    <x v="6"/>
    <x v="0"/>
    <x v="3"/>
    <x v="15"/>
    <x v="51"/>
    <x v="120"/>
    <x v="78"/>
    <x v="597"/>
    <x v="620"/>
    <x v="609"/>
    <x v="621"/>
    <x v="544"/>
    <x v="159"/>
    <x v="30"/>
    <x v="571"/>
    <x v="159"/>
    <x v="2"/>
  </r>
  <r>
    <x v="16"/>
    <x v="1"/>
    <x v="9"/>
    <x v="0"/>
    <x v="2"/>
    <x v="2"/>
    <x v="4"/>
    <x v="1"/>
    <x v="55"/>
    <x v="97"/>
    <x v="328"/>
    <x v="508"/>
    <x v="621"/>
    <x v="610"/>
    <x v="622"/>
    <x v="106"/>
    <x v="140"/>
    <x v="138"/>
    <x v="572"/>
    <x v="140"/>
    <x v="0"/>
  </r>
  <r>
    <x v="56"/>
    <x v="1"/>
    <x v="3"/>
    <x v="3"/>
    <x v="1"/>
    <x v="3"/>
    <x v="99"/>
    <x v="25"/>
    <x v="86"/>
    <x v="157"/>
    <x v="115"/>
    <x v="598"/>
    <x v="622"/>
    <x v="611"/>
    <x v="623"/>
    <x v="195"/>
    <x v="101"/>
    <x v="163"/>
    <x v="401"/>
    <x v="101"/>
    <x v="2"/>
  </r>
  <r>
    <x v="22"/>
    <x v="1"/>
    <x v="5"/>
    <x v="1"/>
    <x v="1"/>
    <x v="0"/>
    <x v="20"/>
    <x v="65"/>
    <x v="37"/>
    <x v="108"/>
    <x v="329"/>
    <x v="599"/>
    <x v="623"/>
    <x v="612"/>
    <x v="624"/>
    <x v="545"/>
    <x v="97"/>
    <x v="9"/>
    <x v="573"/>
    <x v="97"/>
    <x v="0"/>
  </r>
  <r>
    <x v="39"/>
    <x v="1"/>
    <x v="6"/>
    <x v="1"/>
    <x v="2"/>
    <x v="3"/>
    <x v="49"/>
    <x v="29"/>
    <x v="33"/>
    <x v="35"/>
    <x v="330"/>
    <x v="600"/>
    <x v="624"/>
    <x v="613"/>
    <x v="625"/>
    <x v="546"/>
    <x v="173"/>
    <x v="77"/>
    <x v="574"/>
    <x v="173"/>
    <x v="2"/>
  </r>
  <r>
    <x v="28"/>
    <x v="1"/>
    <x v="9"/>
    <x v="0"/>
    <x v="4"/>
    <x v="0"/>
    <x v="87"/>
    <x v="61"/>
    <x v="51"/>
    <x v="43"/>
    <x v="155"/>
    <x v="601"/>
    <x v="625"/>
    <x v="129"/>
    <x v="626"/>
    <x v="547"/>
    <x v="10"/>
    <x v="93"/>
    <x v="575"/>
    <x v="10"/>
    <x v="0"/>
  </r>
  <r>
    <x v="19"/>
    <x v="1"/>
    <x v="8"/>
    <x v="2"/>
    <x v="2"/>
    <x v="3"/>
    <x v="22"/>
    <x v="49"/>
    <x v="44"/>
    <x v="17"/>
    <x v="212"/>
    <x v="602"/>
    <x v="626"/>
    <x v="614"/>
    <x v="627"/>
    <x v="359"/>
    <x v="8"/>
    <x v="105"/>
    <x v="576"/>
    <x v="8"/>
    <x v="1"/>
  </r>
  <r>
    <x v="8"/>
    <x v="1"/>
    <x v="0"/>
    <x v="3"/>
    <x v="6"/>
    <x v="2"/>
    <x v="35"/>
    <x v="37"/>
    <x v="53"/>
    <x v="71"/>
    <x v="165"/>
    <x v="147"/>
    <x v="627"/>
    <x v="615"/>
    <x v="628"/>
    <x v="171"/>
    <x v="146"/>
    <x v="141"/>
    <x v="476"/>
    <x v="146"/>
    <x v="2"/>
  </r>
  <r>
    <x v="17"/>
    <x v="1"/>
    <x v="2"/>
    <x v="2"/>
    <x v="2"/>
    <x v="1"/>
    <x v="5"/>
    <x v="33"/>
    <x v="7"/>
    <x v="133"/>
    <x v="228"/>
    <x v="603"/>
    <x v="628"/>
    <x v="616"/>
    <x v="629"/>
    <x v="12"/>
    <x v="112"/>
    <x v="21"/>
    <x v="577"/>
    <x v="112"/>
    <x v="1"/>
  </r>
  <r>
    <x v="50"/>
    <x v="0"/>
    <x v="8"/>
    <x v="1"/>
    <x v="2"/>
    <x v="1"/>
    <x v="5"/>
    <x v="56"/>
    <x v="22"/>
    <x v="156"/>
    <x v="331"/>
    <x v="604"/>
    <x v="629"/>
    <x v="617"/>
    <x v="630"/>
    <x v="442"/>
    <x v="84"/>
    <x v="67"/>
    <x v="578"/>
    <x v="84"/>
    <x v="2"/>
  </r>
  <r>
    <x v="14"/>
    <x v="1"/>
    <x v="9"/>
    <x v="1"/>
    <x v="4"/>
    <x v="2"/>
    <x v="21"/>
    <x v="4"/>
    <x v="31"/>
    <x v="37"/>
    <x v="47"/>
    <x v="605"/>
    <x v="630"/>
    <x v="618"/>
    <x v="631"/>
    <x v="548"/>
    <x v="55"/>
    <x v="128"/>
    <x v="579"/>
    <x v="55"/>
    <x v="2"/>
  </r>
  <r>
    <x v="24"/>
    <x v="0"/>
    <x v="9"/>
    <x v="4"/>
    <x v="0"/>
    <x v="1"/>
    <x v="113"/>
    <x v="2"/>
    <x v="80"/>
    <x v="33"/>
    <x v="192"/>
    <x v="606"/>
    <x v="631"/>
    <x v="619"/>
    <x v="632"/>
    <x v="549"/>
    <x v="171"/>
    <x v="64"/>
    <x v="580"/>
    <x v="171"/>
    <x v="1"/>
  </r>
  <r>
    <x v="49"/>
    <x v="1"/>
    <x v="0"/>
    <x v="1"/>
    <x v="6"/>
    <x v="1"/>
    <x v="112"/>
    <x v="73"/>
    <x v="85"/>
    <x v="137"/>
    <x v="332"/>
    <x v="607"/>
    <x v="632"/>
    <x v="620"/>
    <x v="633"/>
    <x v="550"/>
    <x v="103"/>
    <x v="195"/>
    <x v="581"/>
    <x v="103"/>
    <x v="1"/>
  </r>
  <r>
    <x v="32"/>
    <x v="0"/>
    <x v="7"/>
    <x v="0"/>
    <x v="1"/>
    <x v="1"/>
    <x v="99"/>
    <x v="76"/>
    <x v="15"/>
    <x v="25"/>
    <x v="231"/>
    <x v="268"/>
    <x v="633"/>
    <x v="621"/>
    <x v="634"/>
    <x v="191"/>
    <x v="139"/>
    <x v="116"/>
    <x v="582"/>
    <x v="139"/>
    <x v="1"/>
  </r>
  <r>
    <x v="39"/>
    <x v="0"/>
    <x v="5"/>
    <x v="1"/>
    <x v="4"/>
    <x v="3"/>
    <x v="70"/>
    <x v="18"/>
    <x v="38"/>
    <x v="77"/>
    <x v="333"/>
    <x v="608"/>
    <x v="634"/>
    <x v="445"/>
    <x v="635"/>
    <x v="551"/>
    <x v="27"/>
    <x v="41"/>
    <x v="583"/>
    <x v="27"/>
    <x v="2"/>
  </r>
  <r>
    <x v="2"/>
    <x v="0"/>
    <x v="1"/>
    <x v="4"/>
    <x v="4"/>
    <x v="3"/>
    <x v="109"/>
    <x v="54"/>
    <x v="79"/>
    <x v="46"/>
    <x v="334"/>
    <x v="609"/>
    <x v="635"/>
    <x v="622"/>
    <x v="636"/>
    <x v="552"/>
    <x v="79"/>
    <x v="72"/>
    <x v="584"/>
    <x v="79"/>
    <x v="2"/>
  </r>
  <r>
    <x v="54"/>
    <x v="1"/>
    <x v="4"/>
    <x v="0"/>
    <x v="0"/>
    <x v="3"/>
    <x v="117"/>
    <x v="55"/>
    <x v="56"/>
    <x v="62"/>
    <x v="241"/>
    <x v="610"/>
    <x v="636"/>
    <x v="623"/>
    <x v="637"/>
    <x v="507"/>
    <x v="150"/>
    <x v="30"/>
    <x v="585"/>
    <x v="150"/>
    <x v="0"/>
  </r>
  <r>
    <x v="57"/>
    <x v="0"/>
    <x v="3"/>
    <x v="1"/>
    <x v="6"/>
    <x v="2"/>
    <x v="115"/>
    <x v="10"/>
    <x v="50"/>
    <x v="59"/>
    <x v="213"/>
    <x v="611"/>
    <x v="637"/>
    <x v="624"/>
    <x v="638"/>
    <x v="553"/>
    <x v="36"/>
    <x v="141"/>
    <x v="586"/>
    <x v="36"/>
    <x v="0"/>
  </r>
  <r>
    <x v="2"/>
    <x v="0"/>
    <x v="3"/>
    <x v="4"/>
    <x v="3"/>
    <x v="1"/>
    <x v="76"/>
    <x v="73"/>
    <x v="82"/>
    <x v="2"/>
    <x v="60"/>
    <x v="612"/>
    <x v="638"/>
    <x v="625"/>
    <x v="639"/>
    <x v="554"/>
    <x v="100"/>
    <x v="116"/>
    <x v="587"/>
    <x v="100"/>
    <x v="2"/>
  </r>
  <r>
    <x v="3"/>
    <x v="1"/>
    <x v="7"/>
    <x v="3"/>
    <x v="2"/>
    <x v="2"/>
    <x v="69"/>
    <x v="58"/>
    <x v="38"/>
    <x v="49"/>
    <x v="335"/>
    <x v="613"/>
    <x v="639"/>
    <x v="626"/>
    <x v="640"/>
    <x v="555"/>
    <x v="156"/>
    <x v="109"/>
    <x v="139"/>
    <x v="156"/>
    <x v="0"/>
  </r>
  <r>
    <x v="22"/>
    <x v="1"/>
    <x v="5"/>
    <x v="1"/>
    <x v="0"/>
    <x v="1"/>
    <x v="62"/>
    <x v="5"/>
    <x v="0"/>
    <x v="51"/>
    <x v="194"/>
    <x v="614"/>
    <x v="640"/>
    <x v="627"/>
    <x v="641"/>
    <x v="556"/>
    <x v="149"/>
    <x v="172"/>
    <x v="588"/>
    <x v="149"/>
    <x v="0"/>
  </r>
  <r>
    <x v="39"/>
    <x v="0"/>
    <x v="2"/>
    <x v="2"/>
    <x v="5"/>
    <x v="1"/>
    <x v="17"/>
    <x v="28"/>
    <x v="81"/>
    <x v="53"/>
    <x v="225"/>
    <x v="615"/>
    <x v="641"/>
    <x v="628"/>
    <x v="642"/>
    <x v="549"/>
    <x v="65"/>
    <x v="25"/>
    <x v="589"/>
    <x v="65"/>
    <x v="2"/>
  </r>
  <r>
    <x v="15"/>
    <x v="0"/>
    <x v="5"/>
    <x v="2"/>
    <x v="0"/>
    <x v="2"/>
    <x v="112"/>
    <x v="77"/>
    <x v="17"/>
    <x v="128"/>
    <x v="325"/>
    <x v="616"/>
    <x v="642"/>
    <x v="629"/>
    <x v="643"/>
    <x v="557"/>
    <x v="88"/>
    <x v="112"/>
    <x v="590"/>
    <x v="88"/>
    <x v="2"/>
  </r>
  <r>
    <x v="50"/>
    <x v="0"/>
    <x v="4"/>
    <x v="0"/>
    <x v="3"/>
    <x v="0"/>
    <x v="1"/>
    <x v="69"/>
    <x v="48"/>
    <x v="64"/>
    <x v="271"/>
    <x v="617"/>
    <x v="643"/>
    <x v="630"/>
    <x v="644"/>
    <x v="558"/>
    <x v="80"/>
    <x v="36"/>
    <x v="591"/>
    <x v="80"/>
    <x v="2"/>
  </r>
  <r>
    <x v="25"/>
    <x v="0"/>
    <x v="9"/>
    <x v="1"/>
    <x v="5"/>
    <x v="1"/>
    <x v="84"/>
    <x v="16"/>
    <x v="84"/>
    <x v="78"/>
    <x v="336"/>
    <x v="618"/>
    <x v="644"/>
    <x v="631"/>
    <x v="645"/>
    <x v="559"/>
    <x v="92"/>
    <x v="91"/>
    <x v="592"/>
    <x v="92"/>
    <x v="0"/>
  </r>
  <r>
    <x v="44"/>
    <x v="1"/>
    <x v="9"/>
    <x v="0"/>
    <x v="3"/>
    <x v="3"/>
    <x v="55"/>
    <x v="46"/>
    <x v="67"/>
    <x v="127"/>
    <x v="255"/>
    <x v="619"/>
    <x v="645"/>
    <x v="632"/>
    <x v="646"/>
    <x v="560"/>
    <x v="50"/>
    <x v="26"/>
    <x v="593"/>
    <x v="50"/>
    <x v="2"/>
  </r>
  <r>
    <x v="2"/>
    <x v="1"/>
    <x v="8"/>
    <x v="1"/>
    <x v="2"/>
    <x v="3"/>
    <x v="81"/>
    <x v="61"/>
    <x v="24"/>
    <x v="94"/>
    <x v="6"/>
    <x v="620"/>
    <x v="646"/>
    <x v="633"/>
    <x v="647"/>
    <x v="411"/>
    <x v="100"/>
    <x v="96"/>
    <x v="594"/>
    <x v="100"/>
    <x v="2"/>
  </r>
  <r>
    <x v="1"/>
    <x v="1"/>
    <x v="7"/>
    <x v="3"/>
    <x v="2"/>
    <x v="1"/>
    <x v="63"/>
    <x v="7"/>
    <x v="25"/>
    <x v="79"/>
    <x v="100"/>
    <x v="621"/>
    <x v="647"/>
    <x v="634"/>
    <x v="648"/>
    <x v="561"/>
    <x v="117"/>
    <x v="118"/>
    <x v="595"/>
    <x v="117"/>
    <x v="1"/>
  </r>
  <r>
    <x v="35"/>
    <x v="0"/>
    <x v="5"/>
    <x v="1"/>
    <x v="4"/>
    <x v="1"/>
    <x v="95"/>
    <x v="53"/>
    <x v="11"/>
    <x v="135"/>
    <x v="276"/>
    <x v="622"/>
    <x v="648"/>
    <x v="635"/>
    <x v="649"/>
    <x v="562"/>
    <x v="162"/>
    <x v="28"/>
    <x v="269"/>
    <x v="162"/>
    <x v="2"/>
  </r>
  <r>
    <x v="55"/>
    <x v="1"/>
    <x v="1"/>
    <x v="1"/>
    <x v="4"/>
    <x v="0"/>
    <x v="79"/>
    <x v="16"/>
    <x v="76"/>
    <x v="156"/>
    <x v="337"/>
    <x v="623"/>
    <x v="649"/>
    <x v="636"/>
    <x v="650"/>
    <x v="563"/>
    <x v="43"/>
    <x v="137"/>
    <x v="596"/>
    <x v="43"/>
    <x v="2"/>
  </r>
  <r>
    <x v="38"/>
    <x v="1"/>
    <x v="7"/>
    <x v="1"/>
    <x v="5"/>
    <x v="2"/>
    <x v="104"/>
    <x v="35"/>
    <x v="89"/>
    <x v="125"/>
    <x v="117"/>
    <x v="451"/>
    <x v="650"/>
    <x v="637"/>
    <x v="651"/>
    <x v="564"/>
    <x v="43"/>
    <x v="10"/>
    <x v="102"/>
    <x v="43"/>
    <x v="2"/>
  </r>
  <r>
    <x v="55"/>
    <x v="1"/>
    <x v="3"/>
    <x v="2"/>
    <x v="5"/>
    <x v="0"/>
    <x v="22"/>
    <x v="19"/>
    <x v="49"/>
    <x v="83"/>
    <x v="338"/>
    <x v="624"/>
    <x v="651"/>
    <x v="638"/>
    <x v="652"/>
    <x v="565"/>
    <x v="80"/>
    <x v="150"/>
    <x v="543"/>
    <x v="80"/>
    <x v="2"/>
  </r>
  <r>
    <x v="29"/>
    <x v="0"/>
    <x v="8"/>
    <x v="0"/>
    <x v="0"/>
    <x v="1"/>
    <x v="19"/>
    <x v="56"/>
    <x v="26"/>
    <x v="58"/>
    <x v="119"/>
    <x v="625"/>
    <x v="652"/>
    <x v="639"/>
    <x v="653"/>
    <x v="566"/>
    <x v="41"/>
    <x v="185"/>
    <x v="597"/>
    <x v="41"/>
    <x v="2"/>
  </r>
  <r>
    <x v="36"/>
    <x v="0"/>
    <x v="4"/>
    <x v="1"/>
    <x v="3"/>
    <x v="2"/>
    <x v="12"/>
    <x v="5"/>
    <x v="58"/>
    <x v="78"/>
    <x v="40"/>
    <x v="626"/>
    <x v="653"/>
    <x v="640"/>
    <x v="654"/>
    <x v="567"/>
    <x v="175"/>
    <x v="135"/>
    <x v="91"/>
    <x v="175"/>
    <x v="1"/>
  </r>
  <r>
    <x v="53"/>
    <x v="1"/>
    <x v="4"/>
    <x v="4"/>
    <x v="6"/>
    <x v="1"/>
    <x v="33"/>
    <x v="13"/>
    <x v="79"/>
    <x v="94"/>
    <x v="339"/>
    <x v="627"/>
    <x v="654"/>
    <x v="641"/>
    <x v="655"/>
    <x v="568"/>
    <x v="105"/>
    <x v="178"/>
    <x v="598"/>
    <x v="105"/>
    <x v="1"/>
  </r>
  <r>
    <x v="31"/>
    <x v="1"/>
    <x v="3"/>
    <x v="2"/>
    <x v="4"/>
    <x v="0"/>
    <x v="2"/>
    <x v="76"/>
    <x v="76"/>
    <x v="74"/>
    <x v="73"/>
    <x v="628"/>
    <x v="655"/>
    <x v="642"/>
    <x v="656"/>
    <x v="53"/>
    <x v="53"/>
    <x v="91"/>
    <x v="24"/>
    <x v="53"/>
    <x v="2"/>
  </r>
  <r>
    <x v="41"/>
    <x v="0"/>
    <x v="9"/>
    <x v="1"/>
    <x v="3"/>
    <x v="1"/>
    <x v="6"/>
    <x v="67"/>
    <x v="37"/>
    <x v="97"/>
    <x v="161"/>
    <x v="629"/>
    <x v="656"/>
    <x v="643"/>
    <x v="657"/>
    <x v="569"/>
    <x v="38"/>
    <x v="13"/>
    <x v="599"/>
    <x v="38"/>
    <x v="2"/>
  </r>
  <r>
    <x v="15"/>
    <x v="0"/>
    <x v="0"/>
    <x v="0"/>
    <x v="3"/>
    <x v="2"/>
    <x v="49"/>
    <x v="47"/>
    <x v="22"/>
    <x v="90"/>
    <x v="279"/>
    <x v="630"/>
    <x v="657"/>
    <x v="644"/>
    <x v="658"/>
    <x v="570"/>
    <x v="157"/>
    <x v="51"/>
    <x v="600"/>
    <x v="157"/>
    <x v="2"/>
  </r>
  <r>
    <x v="7"/>
    <x v="0"/>
    <x v="1"/>
    <x v="2"/>
    <x v="2"/>
    <x v="1"/>
    <x v="111"/>
    <x v="71"/>
    <x v="66"/>
    <x v="5"/>
    <x v="340"/>
    <x v="631"/>
    <x v="658"/>
    <x v="645"/>
    <x v="659"/>
    <x v="571"/>
    <x v="49"/>
    <x v="196"/>
    <x v="601"/>
    <x v="49"/>
    <x v="2"/>
  </r>
  <r>
    <x v="16"/>
    <x v="0"/>
    <x v="9"/>
    <x v="4"/>
    <x v="2"/>
    <x v="3"/>
    <x v="19"/>
    <x v="57"/>
    <x v="36"/>
    <x v="107"/>
    <x v="66"/>
    <x v="632"/>
    <x v="659"/>
    <x v="646"/>
    <x v="660"/>
    <x v="572"/>
    <x v="50"/>
    <x v="83"/>
    <x v="602"/>
    <x v="50"/>
    <x v="0"/>
  </r>
  <r>
    <x v="33"/>
    <x v="0"/>
    <x v="3"/>
    <x v="1"/>
    <x v="0"/>
    <x v="1"/>
    <x v="72"/>
    <x v="33"/>
    <x v="38"/>
    <x v="57"/>
    <x v="107"/>
    <x v="633"/>
    <x v="660"/>
    <x v="647"/>
    <x v="661"/>
    <x v="573"/>
    <x v="103"/>
    <x v="99"/>
    <x v="603"/>
    <x v="103"/>
    <x v="2"/>
  </r>
  <r>
    <x v="1"/>
    <x v="1"/>
    <x v="7"/>
    <x v="2"/>
    <x v="2"/>
    <x v="2"/>
    <x v="26"/>
    <x v="23"/>
    <x v="4"/>
    <x v="65"/>
    <x v="341"/>
    <x v="345"/>
    <x v="661"/>
    <x v="648"/>
    <x v="662"/>
    <x v="574"/>
    <x v="12"/>
    <x v="128"/>
    <x v="604"/>
    <x v="12"/>
    <x v="1"/>
  </r>
  <r>
    <x v="6"/>
    <x v="1"/>
    <x v="1"/>
    <x v="2"/>
    <x v="2"/>
    <x v="0"/>
    <x v="1"/>
    <x v="9"/>
    <x v="86"/>
    <x v="87"/>
    <x v="13"/>
    <x v="634"/>
    <x v="662"/>
    <x v="649"/>
    <x v="663"/>
    <x v="575"/>
    <x v="129"/>
    <x v="178"/>
    <x v="605"/>
    <x v="129"/>
    <x v="2"/>
  </r>
  <r>
    <x v="19"/>
    <x v="1"/>
    <x v="2"/>
    <x v="3"/>
    <x v="5"/>
    <x v="0"/>
    <x v="108"/>
    <x v="32"/>
    <x v="48"/>
    <x v="78"/>
    <x v="342"/>
    <x v="635"/>
    <x v="663"/>
    <x v="650"/>
    <x v="664"/>
    <x v="576"/>
    <x v="76"/>
    <x v="0"/>
    <x v="606"/>
    <x v="76"/>
    <x v="1"/>
  </r>
  <r>
    <x v="48"/>
    <x v="1"/>
    <x v="5"/>
    <x v="3"/>
    <x v="1"/>
    <x v="0"/>
    <x v="102"/>
    <x v="11"/>
    <x v="73"/>
    <x v="91"/>
    <x v="178"/>
    <x v="636"/>
    <x v="664"/>
    <x v="651"/>
    <x v="665"/>
    <x v="577"/>
    <x v="104"/>
    <x v="189"/>
    <x v="607"/>
    <x v="104"/>
    <x v="2"/>
  </r>
  <r>
    <x v="30"/>
    <x v="1"/>
    <x v="8"/>
    <x v="3"/>
    <x v="5"/>
    <x v="3"/>
    <x v="27"/>
    <x v="51"/>
    <x v="6"/>
    <x v="115"/>
    <x v="308"/>
    <x v="637"/>
    <x v="665"/>
    <x v="652"/>
    <x v="666"/>
    <x v="578"/>
    <x v="104"/>
    <x v="57"/>
    <x v="608"/>
    <x v="104"/>
    <x v="1"/>
  </r>
  <r>
    <x v="23"/>
    <x v="1"/>
    <x v="8"/>
    <x v="1"/>
    <x v="5"/>
    <x v="3"/>
    <x v="26"/>
    <x v="25"/>
    <x v="33"/>
    <x v="70"/>
    <x v="176"/>
    <x v="638"/>
    <x v="666"/>
    <x v="519"/>
    <x v="667"/>
    <x v="579"/>
    <x v="112"/>
    <x v="185"/>
    <x v="609"/>
    <x v="112"/>
    <x v="1"/>
  </r>
  <r>
    <x v="45"/>
    <x v="1"/>
    <x v="3"/>
    <x v="3"/>
    <x v="6"/>
    <x v="2"/>
    <x v="21"/>
    <x v="35"/>
    <x v="39"/>
    <x v="59"/>
    <x v="256"/>
    <x v="376"/>
    <x v="667"/>
    <x v="653"/>
    <x v="668"/>
    <x v="197"/>
    <x v="22"/>
    <x v="129"/>
    <x v="610"/>
    <x v="22"/>
    <x v="2"/>
  </r>
  <r>
    <x v="46"/>
    <x v="1"/>
    <x v="5"/>
    <x v="1"/>
    <x v="6"/>
    <x v="1"/>
    <x v="115"/>
    <x v="78"/>
    <x v="36"/>
    <x v="123"/>
    <x v="249"/>
    <x v="639"/>
    <x v="668"/>
    <x v="654"/>
    <x v="669"/>
    <x v="320"/>
    <x v="112"/>
    <x v="21"/>
    <x v="611"/>
    <x v="112"/>
    <x v="1"/>
  </r>
  <r>
    <x v="10"/>
    <x v="0"/>
    <x v="5"/>
    <x v="2"/>
    <x v="3"/>
    <x v="1"/>
    <x v="23"/>
    <x v="9"/>
    <x v="46"/>
    <x v="78"/>
    <x v="79"/>
    <x v="191"/>
    <x v="669"/>
    <x v="655"/>
    <x v="670"/>
    <x v="580"/>
    <x v="15"/>
    <x v="40"/>
    <x v="612"/>
    <x v="15"/>
    <x v="2"/>
  </r>
  <r>
    <x v="12"/>
    <x v="0"/>
    <x v="3"/>
    <x v="4"/>
    <x v="4"/>
    <x v="0"/>
    <x v="78"/>
    <x v="32"/>
    <x v="84"/>
    <x v="100"/>
    <x v="146"/>
    <x v="640"/>
    <x v="670"/>
    <x v="656"/>
    <x v="671"/>
    <x v="481"/>
    <x v="51"/>
    <x v="117"/>
    <x v="613"/>
    <x v="51"/>
    <x v="0"/>
  </r>
  <r>
    <x v="46"/>
    <x v="1"/>
    <x v="8"/>
    <x v="0"/>
    <x v="6"/>
    <x v="3"/>
    <x v="83"/>
    <x v="76"/>
    <x v="3"/>
    <x v="69"/>
    <x v="72"/>
    <x v="641"/>
    <x v="671"/>
    <x v="657"/>
    <x v="672"/>
    <x v="581"/>
    <x v="120"/>
    <x v="189"/>
    <x v="614"/>
    <x v="120"/>
    <x v="1"/>
  </r>
  <r>
    <x v="34"/>
    <x v="0"/>
    <x v="8"/>
    <x v="3"/>
    <x v="0"/>
    <x v="1"/>
    <x v="11"/>
    <x v="75"/>
    <x v="5"/>
    <x v="21"/>
    <x v="306"/>
    <x v="642"/>
    <x v="672"/>
    <x v="658"/>
    <x v="673"/>
    <x v="582"/>
    <x v="64"/>
    <x v="11"/>
    <x v="615"/>
    <x v="64"/>
    <x v="2"/>
  </r>
  <r>
    <x v="11"/>
    <x v="0"/>
    <x v="3"/>
    <x v="4"/>
    <x v="5"/>
    <x v="2"/>
    <x v="84"/>
    <x v="21"/>
    <x v="80"/>
    <x v="132"/>
    <x v="343"/>
    <x v="643"/>
    <x v="673"/>
    <x v="659"/>
    <x v="674"/>
    <x v="583"/>
    <x v="6"/>
    <x v="23"/>
    <x v="616"/>
    <x v="6"/>
    <x v="1"/>
  </r>
  <r>
    <x v="53"/>
    <x v="1"/>
    <x v="4"/>
    <x v="4"/>
    <x v="6"/>
    <x v="1"/>
    <x v="55"/>
    <x v="59"/>
    <x v="33"/>
    <x v="23"/>
    <x v="279"/>
    <x v="644"/>
    <x v="674"/>
    <x v="660"/>
    <x v="675"/>
    <x v="259"/>
    <x v="120"/>
    <x v="94"/>
    <x v="617"/>
    <x v="120"/>
    <x v="1"/>
  </r>
  <r>
    <x v="8"/>
    <x v="1"/>
    <x v="2"/>
    <x v="1"/>
    <x v="0"/>
    <x v="0"/>
    <x v="15"/>
    <x v="29"/>
    <x v="60"/>
    <x v="146"/>
    <x v="344"/>
    <x v="645"/>
    <x v="675"/>
    <x v="661"/>
    <x v="676"/>
    <x v="584"/>
    <x v="151"/>
    <x v="27"/>
    <x v="618"/>
    <x v="151"/>
    <x v="2"/>
  </r>
  <r>
    <x v="37"/>
    <x v="0"/>
    <x v="6"/>
    <x v="0"/>
    <x v="2"/>
    <x v="0"/>
    <x v="115"/>
    <x v="51"/>
    <x v="81"/>
    <x v="29"/>
    <x v="150"/>
    <x v="646"/>
    <x v="676"/>
    <x v="662"/>
    <x v="677"/>
    <x v="261"/>
    <x v="35"/>
    <x v="76"/>
    <x v="486"/>
    <x v="35"/>
    <x v="2"/>
  </r>
  <r>
    <x v="14"/>
    <x v="1"/>
    <x v="1"/>
    <x v="4"/>
    <x v="2"/>
    <x v="3"/>
    <x v="97"/>
    <x v="41"/>
    <x v="85"/>
    <x v="6"/>
    <x v="297"/>
    <x v="647"/>
    <x v="677"/>
    <x v="663"/>
    <x v="678"/>
    <x v="454"/>
    <x v="78"/>
    <x v="61"/>
    <x v="619"/>
    <x v="78"/>
    <x v="2"/>
  </r>
  <r>
    <x v="7"/>
    <x v="1"/>
    <x v="4"/>
    <x v="1"/>
    <x v="0"/>
    <x v="0"/>
    <x v="39"/>
    <x v="16"/>
    <x v="1"/>
    <x v="11"/>
    <x v="8"/>
    <x v="648"/>
    <x v="678"/>
    <x v="664"/>
    <x v="679"/>
    <x v="585"/>
    <x v="104"/>
    <x v="173"/>
    <x v="156"/>
    <x v="104"/>
    <x v="2"/>
  </r>
  <r>
    <x v="48"/>
    <x v="1"/>
    <x v="6"/>
    <x v="4"/>
    <x v="2"/>
    <x v="0"/>
    <x v="86"/>
    <x v="58"/>
    <x v="73"/>
    <x v="50"/>
    <x v="76"/>
    <x v="190"/>
    <x v="679"/>
    <x v="665"/>
    <x v="680"/>
    <x v="586"/>
    <x v="60"/>
    <x v="197"/>
    <x v="620"/>
    <x v="60"/>
    <x v="2"/>
  </r>
  <r>
    <x v="51"/>
    <x v="1"/>
    <x v="3"/>
    <x v="4"/>
    <x v="1"/>
    <x v="1"/>
    <x v="11"/>
    <x v="66"/>
    <x v="31"/>
    <x v="101"/>
    <x v="81"/>
    <x v="484"/>
    <x v="680"/>
    <x v="441"/>
    <x v="681"/>
    <x v="587"/>
    <x v="171"/>
    <x v="66"/>
    <x v="621"/>
    <x v="171"/>
    <x v="2"/>
  </r>
  <r>
    <x v="6"/>
    <x v="0"/>
    <x v="1"/>
    <x v="4"/>
    <x v="3"/>
    <x v="1"/>
    <x v="11"/>
    <x v="10"/>
    <x v="37"/>
    <x v="31"/>
    <x v="247"/>
    <x v="649"/>
    <x v="681"/>
    <x v="666"/>
    <x v="682"/>
    <x v="47"/>
    <x v="124"/>
    <x v="82"/>
    <x v="622"/>
    <x v="124"/>
    <x v="2"/>
  </r>
  <r>
    <x v="21"/>
    <x v="1"/>
    <x v="6"/>
    <x v="1"/>
    <x v="4"/>
    <x v="2"/>
    <x v="54"/>
    <x v="19"/>
    <x v="76"/>
    <x v="32"/>
    <x v="248"/>
    <x v="650"/>
    <x v="682"/>
    <x v="667"/>
    <x v="683"/>
    <x v="588"/>
    <x v="162"/>
    <x v="84"/>
    <x v="623"/>
    <x v="162"/>
    <x v="0"/>
  </r>
  <r>
    <x v="8"/>
    <x v="0"/>
    <x v="8"/>
    <x v="2"/>
    <x v="5"/>
    <x v="3"/>
    <x v="83"/>
    <x v="69"/>
    <x v="6"/>
    <x v="92"/>
    <x v="22"/>
    <x v="651"/>
    <x v="683"/>
    <x v="668"/>
    <x v="684"/>
    <x v="192"/>
    <x v="104"/>
    <x v="109"/>
    <x v="608"/>
    <x v="104"/>
    <x v="2"/>
  </r>
  <r>
    <x v="8"/>
    <x v="0"/>
    <x v="3"/>
    <x v="0"/>
    <x v="6"/>
    <x v="3"/>
    <x v="118"/>
    <x v="8"/>
    <x v="32"/>
    <x v="29"/>
    <x v="9"/>
    <x v="652"/>
    <x v="684"/>
    <x v="89"/>
    <x v="685"/>
    <x v="589"/>
    <x v="68"/>
    <x v="41"/>
    <x v="624"/>
    <x v="68"/>
    <x v="2"/>
  </r>
  <r>
    <x v="28"/>
    <x v="1"/>
    <x v="5"/>
    <x v="1"/>
    <x v="4"/>
    <x v="2"/>
    <x v="67"/>
    <x v="55"/>
    <x v="46"/>
    <x v="45"/>
    <x v="345"/>
    <x v="653"/>
    <x v="685"/>
    <x v="669"/>
    <x v="686"/>
    <x v="452"/>
    <x v="75"/>
    <x v="153"/>
    <x v="625"/>
    <x v="75"/>
    <x v="0"/>
  </r>
  <r>
    <x v="9"/>
    <x v="1"/>
    <x v="7"/>
    <x v="2"/>
    <x v="2"/>
    <x v="1"/>
    <x v="31"/>
    <x v="27"/>
    <x v="80"/>
    <x v="99"/>
    <x v="346"/>
    <x v="654"/>
    <x v="686"/>
    <x v="670"/>
    <x v="687"/>
    <x v="590"/>
    <x v="176"/>
    <x v="32"/>
    <x v="626"/>
    <x v="176"/>
    <x v="0"/>
  </r>
  <r>
    <x v="52"/>
    <x v="0"/>
    <x v="3"/>
    <x v="2"/>
    <x v="3"/>
    <x v="3"/>
    <x v="40"/>
    <x v="57"/>
    <x v="83"/>
    <x v="152"/>
    <x v="1"/>
    <x v="655"/>
    <x v="687"/>
    <x v="671"/>
    <x v="688"/>
    <x v="591"/>
    <x v="115"/>
    <x v="198"/>
    <x v="533"/>
    <x v="115"/>
    <x v="2"/>
  </r>
  <r>
    <x v="59"/>
    <x v="1"/>
    <x v="6"/>
    <x v="0"/>
    <x v="6"/>
    <x v="3"/>
    <x v="85"/>
    <x v="0"/>
    <x v="62"/>
    <x v="62"/>
    <x v="233"/>
    <x v="656"/>
    <x v="688"/>
    <x v="672"/>
    <x v="689"/>
    <x v="592"/>
    <x v="52"/>
    <x v="8"/>
    <x v="627"/>
    <x v="52"/>
    <x v="0"/>
  </r>
  <r>
    <x v="41"/>
    <x v="0"/>
    <x v="3"/>
    <x v="0"/>
    <x v="3"/>
    <x v="1"/>
    <x v="24"/>
    <x v="53"/>
    <x v="17"/>
    <x v="149"/>
    <x v="40"/>
    <x v="657"/>
    <x v="689"/>
    <x v="673"/>
    <x v="690"/>
    <x v="453"/>
    <x v="139"/>
    <x v="57"/>
    <x v="628"/>
    <x v="139"/>
    <x v="2"/>
  </r>
  <r>
    <x v="19"/>
    <x v="1"/>
    <x v="6"/>
    <x v="1"/>
    <x v="4"/>
    <x v="1"/>
    <x v="85"/>
    <x v="33"/>
    <x v="38"/>
    <x v="102"/>
    <x v="178"/>
    <x v="658"/>
    <x v="690"/>
    <x v="674"/>
    <x v="691"/>
    <x v="510"/>
    <x v="177"/>
    <x v="141"/>
    <x v="370"/>
    <x v="177"/>
    <x v="1"/>
  </r>
  <r>
    <x v="32"/>
    <x v="1"/>
    <x v="8"/>
    <x v="1"/>
    <x v="6"/>
    <x v="2"/>
    <x v="66"/>
    <x v="51"/>
    <x v="77"/>
    <x v="143"/>
    <x v="347"/>
    <x v="659"/>
    <x v="691"/>
    <x v="675"/>
    <x v="692"/>
    <x v="593"/>
    <x v="15"/>
    <x v="15"/>
    <x v="629"/>
    <x v="15"/>
    <x v="1"/>
  </r>
  <r>
    <x v="26"/>
    <x v="1"/>
    <x v="4"/>
    <x v="1"/>
    <x v="3"/>
    <x v="1"/>
    <x v="32"/>
    <x v="28"/>
    <x v="50"/>
    <x v="102"/>
    <x v="293"/>
    <x v="660"/>
    <x v="692"/>
    <x v="343"/>
    <x v="693"/>
    <x v="594"/>
    <x v="71"/>
    <x v="27"/>
    <x v="630"/>
    <x v="71"/>
    <x v="2"/>
  </r>
  <r>
    <x v="7"/>
    <x v="0"/>
    <x v="5"/>
    <x v="2"/>
    <x v="3"/>
    <x v="1"/>
    <x v="95"/>
    <x v="29"/>
    <x v="8"/>
    <x v="55"/>
    <x v="40"/>
    <x v="661"/>
    <x v="693"/>
    <x v="676"/>
    <x v="694"/>
    <x v="399"/>
    <x v="48"/>
    <x v="79"/>
    <x v="631"/>
    <x v="48"/>
    <x v="2"/>
  </r>
  <r>
    <x v="22"/>
    <x v="1"/>
    <x v="0"/>
    <x v="2"/>
    <x v="1"/>
    <x v="3"/>
    <x v="47"/>
    <x v="47"/>
    <x v="60"/>
    <x v="97"/>
    <x v="44"/>
    <x v="662"/>
    <x v="694"/>
    <x v="677"/>
    <x v="695"/>
    <x v="595"/>
    <x v="31"/>
    <x v="76"/>
    <x v="632"/>
    <x v="31"/>
    <x v="0"/>
  </r>
  <r>
    <x v="40"/>
    <x v="0"/>
    <x v="5"/>
    <x v="4"/>
    <x v="0"/>
    <x v="3"/>
    <x v="7"/>
    <x v="40"/>
    <x v="14"/>
    <x v="78"/>
    <x v="110"/>
    <x v="75"/>
    <x v="695"/>
    <x v="678"/>
    <x v="696"/>
    <x v="58"/>
    <x v="177"/>
    <x v="136"/>
    <x v="633"/>
    <x v="177"/>
    <x v="2"/>
  </r>
  <r>
    <x v="13"/>
    <x v="0"/>
    <x v="1"/>
    <x v="1"/>
    <x v="6"/>
    <x v="2"/>
    <x v="22"/>
    <x v="10"/>
    <x v="24"/>
    <x v="141"/>
    <x v="172"/>
    <x v="663"/>
    <x v="696"/>
    <x v="679"/>
    <x v="697"/>
    <x v="596"/>
    <x v="100"/>
    <x v="144"/>
    <x v="594"/>
    <x v="100"/>
    <x v="2"/>
  </r>
  <r>
    <x v="0"/>
    <x v="0"/>
    <x v="7"/>
    <x v="2"/>
    <x v="3"/>
    <x v="3"/>
    <x v="97"/>
    <x v="20"/>
    <x v="11"/>
    <x v="77"/>
    <x v="348"/>
    <x v="664"/>
    <x v="697"/>
    <x v="680"/>
    <x v="698"/>
    <x v="597"/>
    <x v="123"/>
    <x v="21"/>
    <x v="634"/>
    <x v="123"/>
    <x v="0"/>
  </r>
  <r>
    <x v="55"/>
    <x v="0"/>
    <x v="2"/>
    <x v="3"/>
    <x v="4"/>
    <x v="1"/>
    <x v="34"/>
    <x v="73"/>
    <x v="54"/>
    <x v="153"/>
    <x v="349"/>
    <x v="92"/>
    <x v="17"/>
    <x v="681"/>
    <x v="699"/>
    <x v="598"/>
    <x v="69"/>
    <x v="63"/>
    <x v="635"/>
    <x v="69"/>
    <x v="2"/>
  </r>
  <r>
    <x v="50"/>
    <x v="0"/>
    <x v="4"/>
    <x v="2"/>
    <x v="1"/>
    <x v="1"/>
    <x v="29"/>
    <x v="47"/>
    <x v="60"/>
    <x v="76"/>
    <x v="267"/>
    <x v="665"/>
    <x v="698"/>
    <x v="682"/>
    <x v="700"/>
    <x v="599"/>
    <x v="97"/>
    <x v="163"/>
    <x v="636"/>
    <x v="97"/>
    <x v="2"/>
  </r>
  <r>
    <x v="32"/>
    <x v="0"/>
    <x v="8"/>
    <x v="1"/>
    <x v="3"/>
    <x v="3"/>
    <x v="61"/>
    <x v="10"/>
    <x v="51"/>
    <x v="134"/>
    <x v="350"/>
    <x v="666"/>
    <x v="699"/>
    <x v="683"/>
    <x v="701"/>
    <x v="533"/>
    <x v="69"/>
    <x v="190"/>
    <x v="637"/>
    <x v="69"/>
    <x v="1"/>
  </r>
  <r>
    <x v="51"/>
    <x v="1"/>
    <x v="3"/>
    <x v="4"/>
    <x v="1"/>
    <x v="3"/>
    <x v="102"/>
    <x v="29"/>
    <x v="35"/>
    <x v="109"/>
    <x v="313"/>
    <x v="667"/>
    <x v="700"/>
    <x v="684"/>
    <x v="702"/>
    <x v="600"/>
    <x v="72"/>
    <x v="153"/>
    <x v="638"/>
    <x v="72"/>
    <x v="2"/>
  </r>
  <r>
    <x v="11"/>
    <x v="1"/>
    <x v="6"/>
    <x v="3"/>
    <x v="6"/>
    <x v="0"/>
    <x v="84"/>
    <x v="39"/>
    <x v="45"/>
    <x v="83"/>
    <x v="351"/>
    <x v="668"/>
    <x v="701"/>
    <x v="685"/>
    <x v="703"/>
    <x v="601"/>
    <x v="5"/>
    <x v="145"/>
    <x v="639"/>
    <x v="5"/>
    <x v="1"/>
  </r>
  <r>
    <x v="6"/>
    <x v="0"/>
    <x v="8"/>
    <x v="4"/>
    <x v="5"/>
    <x v="3"/>
    <x v="108"/>
    <x v="73"/>
    <x v="69"/>
    <x v="100"/>
    <x v="147"/>
    <x v="669"/>
    <x v="172"/>
    <x v="686"/>
    <x v="704"/>
    <x v="13"/>
    <x v="55"/>
    <x v="126"/>
    <x v="640"/>
    <x v="55"/>
    <x v="2"/>
  </r>
  <r>
    <x v="12"/>
    <x v="0"/>
    <x v="0"/>
    <x v="0"/>
    <x v="3"/>
    <x v="0"/>
    <x v="38"/>
    <x v="27"/>
    <x v="13"/>
    <x v="14"/>
    <x v="52"/>
    <x v="670"/>
    <x v="702"/>
    <x v="687"/>
    <x v="705"/>
    <x v="602"/>
    <x v="13"/>
    <x v="83"/>
    <x v="641"/>
    <x v="13"/>
    <x v="0"/>
  </r>
  <r>
    <x v="58"/>
    <x v="0"/>
    <x v="2"/>
    <x v="0"/>
    <x v="3"/>
    <x v="0"/>
    <x v="110"/>
    <x v="65"/>
    <x v="78"/>
    <x v="100"/>
    <x v="59"/>
    <x v="671"/>
    <x v="703"/>
    <x v="688"/>
    <x v="706"/>
    <x v="603"/>
    <x v="63"/>
    <x v="42"/>
    <x v="642"/>
    <x v="63"/>
    <x v="0"/>
  </r>
  <r>
    <x v="42"/>
    <x v="0"/>
    <x v="8"/>
    <x v="1"/>
    <x v="1"/>
    <x v="3"/>
    <x v="98"/>
    <x v="61"/>
    <x v="52"/>
    <x v="40"/>
    <x v="352"/>
    <x v="672"/>
    <x v="704"/>
    <x v="689"/>
    <x v="707"/>
    <x v="604"/>
    <x v="96"/>
    <x v="101"/>
    <x v="643"/>
    <x v="96"/>
    <x v="2"/>
  </r>
  <r>
    <x v="31"/>
    <x v="1"/>
    <x v="3"/>
    <x v="4"/>
    <x v="3"/>
    <x v="0"/>
    <x v="3"/>
    <x v="78"/>
    <x v="2"/>
    <x v="142"/>
    <x v="353"/>
    <x v="673"/>
    <x v="705"/>
    <x v="690"/>
    <x v="708"/>
    <x v="371"/>
    <x v="44"/>
    <x v="86"/>
    <x v="644"/>
    <x v="44"/>
    <x v="2"/>
  </r>
  <r>
    <x v="10"/>
    <x v="1"/>
    <x v="2"/>
    <x v="1"/>
    <x v="3"/>
    <x v="2"/>
    <x v="95"/>
    <x v="5"/>
    <x v="60"/>
    <x v="62"/>
    <x v="351"/>
    <x v="674"/>
    <x v="706"/>
    <x v="691"/>
    <x v="709"/>
    <x v="605"/>
    <x v="112"/>
    <x v="97"/>
    <x v="645"/>
    <x v="112"/>
    <x v="2"/>
  </r>
  <r>
    <x v="55"/>
    <x v="0"/>
    <x v="9"/>
    <x v="2"/>
    <x v="4"/>
    <x v="3"/>
    <x v="38"/>
    <x v="53"/>
    <x v="72"/>
    <x v="37"/>
    <x v="354"/>
    <x v="675"/>
    <x v="707"/>
    <x v="331"/>
    <x v="710"/>
    <x v="606"/>
    <x v="118"/>
    <x v="156"/>
    <x v="646"/>
    <x v="118"/>
    <x v="2"/>
  </r>
  <r>
    <x v="54"/>
    <x v="1"/>
    <x v="3"/>
    <x v="1"/>
    <x v="2"/>
    <x v="0"/>
    <x v="34"/>
    <x v="11"/>
    <x v="54"/>
    <x v="25"/>
    <x v="69"/>
    <x v="676"/>
    <x v="708"/>
    <x v="692"/>
    <x v="711"/>
    <x v="67"/>
    <x v="178"/>
    <x v="85"/>
    <x v="647"/>
    <x v="178"/>
    <x v="0"/>
  </r>
  <r>
    <x v="2"/>
    <x v="1"/>
    <x v="7"/>
    <x v="3"/>
    <x v="4"/>
    <x v="3"/>
    <x v="62"/>
    <x v="21"/>
    <x v="7"/>
    <x v="35"/>
    <x v="251"/>
    <x v="677"/>
    <x v="149"/>
    <x v="693"/>
    <x v="712"/>
    <x v="607"/>
    <x v="15"/>
    <x v="145"/>
    <x v="648"/>
    <x v="15"/>
    <x v="2"/>
  </r>
  <r>
    <x v="27"/>
    <x v="1"/>
    <x v="0"/>
    <x v="0"/>
    <x v="2"/>
    <x v="2"/>
    <x v="10"/>
    <x v="14"/>
    <x v="40"/>
    <x v="69"/>
    <x v="15"/>
    <x v="678"/>
    <x v="709"/>
    <x v="694"/>
    <x v="713"/>
    <x v="608"/>
    <x v="19"/>
    <x v="36"/>
    <x v="649"/>
    <x v="19"/>
    <x v="0"/>
  </r>
  <r>
    <x v="21"/>
    <x v="0"/>
    <x v="7"/>
    <x v="1"/>
    <x v="4"/>
    <x v="3"/>
    <x v="109"/>
    <x v="37"/>
    <x v="45"/>
    <x v="11"/>
    <x v="355"/>
    <x v="679"/>
    <x v="710"/>
    <x v="695"/>
    <x v="714"/>
    <x v="609"/>
    <x v="10"/>
    <x v="149"/>
    <x v="650"/>
    <x v="10"/>
    <x v="0"/>
  </r>
  <r>
    <x v="2"/>
    <x v="1"/>
    <x v="7"/>
    <x v="1"/>
    <x v="2"/>
    <x v="2"/>
    <x v="99"/>
    <x v="24"/>
    <x v="5"/>
    <x v="0"/>
    <x v="276"/>
    <x v="680"/>
    <x v="711"/>
    <x v="696"/>
    <x v="715"/>
    <x v="82"/>
    <x v="51"/>
    <x v="34"/>
    <x v="651"/>
    <x v="51"/>
    <x v="2"/>
  </r>
  <r>
    <x v="12"/>
    <x v="0"/>
    <x v="5"/>
    <x v="3"/>
    <x v="5"/>
    <x v="0"/>
    <x v="2"/>
    <x v="0"/>
    <x v="34"/>
    <x v="101"/>
    <x v="6"/>
    <x v="681"/>
    <x v="712"/>
    <x v="697"/>
    <x v="716"/>
    <x v="610"/>
    <x v="51"/>
    <x v="12"/>
    <x v="652"/>
    <x v="51"/>
    <x v="0"/>
  </r>
  <r>
    <x v="43"/>
    <x v="0"/>
    <x v="9"/>
    <x v="0"/>
    <x v="5"/>
    <x v="1"/>
    <x v="17"/>
    <x v="36"/>
    <x v="78"/>
    <x v="25"/>
    <x v="312"/>
    <x v="682"/>
    <x v="713"/>
    <x v="698"/>
    <x v="717"/>
    <x v="548"/>
    <x v="178"/>
    <x v="124"/>
    <x v="653"/>
    <x v="178"/>
    <x v="2"/>
  </r>
  <r>
    <x v="13"/>
    <x v="1"/>
    <x v="9"/>
    <x v="0"/>
    <x v="3"/>
    <x v="2"/>
    <x v="33"/>
    <x v="29"/>
    <x v="42"/>
    <x v="15"/>
    <x v="356"/>
    <x v="683"/>
    <x v="714"/>
    <x v="699"/>
    <x v="718"/>
    <x v="611"/>
    <x v="178"/>
    <x v="86"/>
    <x v="654"/>
    <x v="178"/>
    <x v="2"/>
  </r>
  <r>
    <x v="49"/>
    <x v="0"/>
    <x v="9"/>
    <x v="2"/>
    <x v="6"/>
    <x v="3"/>
    <x v="55"/>
    <x v="2"/>
    <x v="7"/>
    <x v="104"/>
    <x v="175"/>
    <x v="684"/>
    <x v="715"/>
    <x v="700"/>
    <x v="719"/>
    <x v="612"/>
    <x v="13"/>
    <x v="109"/>
    <x v="655"/>
    <x v="13"/>
    <x v="1"/>
  </r>
  <r>
    <x v="9"/>
    <x v="0"/>
    <x v="7"/>
    <x v="3"/>
    <x v="1"/>
    <x v="0"/>
    <x v="28"/>
    <x v="28"/>
    <x v="1"/>
    <x v="136"/>
    <x v="232"/>
    <x v="685"/>
    <x v="716"/>
    <x v="701"/>
    <x v="720"/>
    <x v="613"/>
    <x v="111"/>
    <x v="111"/>
    <x v="0"/>
    <x v="111"/>
    <x v="0"/>
  </r>
  <r>
    <x v="12"/>
    <x v="1"/>
    <x v="1"/>
    <x v="2"/>
    <x v="2"/>
    <x v="0"/>
    <x v="115"/>
    <x v="73"/>
    <x v="41"/>
    <x v="64"/>
    <x v="357"/>
    <x v="686"/>
    <x v="717"/>
    <x v="702"/>
    <x v="721"/>
    <x v="451"/>
    <x v="14"/>
    <x v="183"/>
    <x v="656"/>
    <x v="14"/>
    <x v="0"/>
  </r>
  <r>
    <x v="59"/>
    <x v="0"/>
    <x v="9"/>
    <x v="0"/>
    <x v="4"/>
    <x v="1"/>
    <x v="57"/>
    <x v="4"/>
    <x v="14"/>
    <x v="65"/>
    <x v="223"/>
    <x v="687"/>
    <x v="718"/>
    <x v="703"/>
    <x v="722"/>
    <x v="276"/>
    <x v="90"/>
    <x v="132"/>
    <x v="657"/>
    <x v="90"/>
    <x v="0"/>
  </r>
  <r>
    <x v="6"/>
    <x v="0"/>
    <x v="5"/>
    <x v="1"/>
    <x v="4"/>
    <x v="0"/>
    <x v="111"/>
    <x v="29"/>
    <x v="59"/>
    <x v="147"/>
    <x v="258"/>
    <x v="688"/>
    <x v="719"/>
    <x v="704"/>
    <x v="723"/>
    <x v="187"/>
    <x v="9"/>
    <x v="91"/>
    <x v="390"/>
    <x v="9"/>
    <x v="2"/>
  </r>
  <r>
    <x v="15"/>
    <x v="0"/>
    <x v="9"/>
    <x v="4"/>
    <x v="6"/>
    <x v="2"/>
    <x v="84"/>
    <x v="22"/>
    <x v="14"/>
    <x v="21"/>
    <x v="358"/>
    <x v="278"/>
    <x v="720"/>
    <x v="705"/>
    <x v="724"/>
    <x v="614"/>
    <x v="27"/>
    <x v="19"/>
    <x v="658"/>
    <x v="27"/>
    <x v="2"/>
  </r>
  <r>
    <x v="9"/>
    <x v="0"/>
    <x v="3"/>
    <x v="3"/>
    <x v="6"/>
    <x v="2"/>
    <x v="5"/>
    <x v="68"/>
    <x v="43"/>
    <x v="133"/>
    <x v="359"/>
    <x v="689"/>
    <x v="721"/>
    <x v="706"/>
    <x v="725"/>
    <x v="615"/>
    <x v="12"/>
    <x v="26"/>
    <x v="659"/>
    <x v="12"/>
    <x v="0"/>
  </r>
  <r>
    <x v="25"/>
    <x v="0"/>
    <x v="3"/>
    <x v="1"/>
    <x v="6"/>
    <x v="3"/>
    <x v="110"/>
    <x v="78"/>
    <x v="40"/>
    <x v="21"/>
    <x v="285"/>
    <x v="209"/>
    <x v="722"/>
    <x v="707"/>
    <x v="726"/>
    <x v="616"/>
    <x v="3"/>
    <x v="138"/>
    <x v="148"/>
    <x v="3"/>
    <x v="0"/>
  </r>
  <r>
    <x v="28"/>
    <x v="1"/>
    <x v="1"/>
    <x v="3"/>
    <x v="4"/>
    <x v="1"/>
    <x v="35"/>
    <x v="4"/>
    <x v="69"/>
    <x v="62"/>
    <x v="260"/>
    <x v="147"/>
    <x v="723"/>
    <x v="708"/>
    <x v="727"/>
    <x v="617"/>
    <x v="76"/>
    <x v="193"/>
    <x v="660"/>
    <x v="76"/>
    <x v="0"/>
  </r>
  <r>
    <x v="26"/>
    <x v="1"/>
    <x v="4"/>
    <x v="0"/>
    <x v="1"/>
    <x v="2"/>
    <x v="52"/>
    <x v="47"/>
    <x v="53"/>
    <x v="5"/>
    <x v="360"/>
    <x v="690"/>
    <x v="724"/>
    <x v="709"/>
    <x v="728"/>
    <x v="618"/>
    <x v="122"/>
    <x v="31"/>
    <x v="661"/>
    <x v="122"/>
    <x v="2"/>
  </r>
  <r>
    <x v="55"/>
    <x v="0"/>
    <x v="0"/>
    <x v="3"/>
    <x v="6"/>
    <x v="2"/>
    <x v="6"/>
    <x v="70"/>
    <x v="68"/>
    <x v="91"/>
    <x v="225"/>
    <x v="691"/>
    <x v="725"/>
    <x v="710"/>
    <x v="729"/>
    <x v="619"/>
    <x v="44"/>
    <x v="135"/>
    <x v="662"/>
    <x v="44"/>
    <x v="2"/>
  </r>
  <r>
    <x v="42"/>
    <x v="0"/>
    <x v="0"/>
    <x v="0"/>
    <x v="3"/>
    <x v="3"/>
    <x v="97"/>
    <x v="58"/>
    <x v="40"/>
    <x v="40"/>
    <x v="30"/>
    <x v="692"/>
    <x v="726"/>
    <x v="711"/>
    <x v="730"/>
    <x v="620"/>
    <x v="11"/>
    <x v="194"/>
    <x v="663"/>
    <x v="11"/>
    <x v="2"/>
  </r>
  <r>
    <x v="46"/>
    <x v="1"/>
    <x v="8"/>
    <x v="0"/>
    <x v="4"/>
    <x v="0"/>
    <x v="78"/>
    <x v="15"/>
    <x v="88"/>
    <x v="121"/>
    <x v="361"/>
    <x v="693"/>
    <x v="727"/>
    <x v="712"/>
    <x v="731"/>
    <x v="570"/>
    <x v="42"/>
    <x v="199"/>
    <x v="664"/>
    <x v="42"/>
    <x v="1"/>
  </r>
  <r>
    <x v="47"/>
    <x v="0"/>
    <x v="8"/>
    <x v="2"/>
    <x v="4"/>
    <x v="1"/>
    <x v="108"/>
    <x v="11"/>
    <x v="68"/>
    <x v="14"/>
    <x v="189"/>
    <x v="694"/>
    <x v="728"/>
    <x v="713"/>
    <x v="732"/>
    <x v="526"/>
    <x v="125"/>
    <x v="111"/>
    <x v="665"/>
    <x v="125"/>
    <x v="0"/>
  </r>
  <r>
    <x v="48"/>
    <x v="1"/>
    <x v="5"/>
    <x v="0"/>
    <x v="4"/>
    <x v="2"/>
    <x v="38"/>
    <x v="38"/>
    <x v="17"/>
    <x v="152"/>
    <x v="39"/>
    <x v="695"/>
    <x v="729"/>
    <x v="714"/>
    <x v="733"/>
    <x v="426"/>
    <x v="59"/>
    <x v="145"/>
    <x v="666"/>
    <x v="59"/>
    <x v="2"/>
  </r>
  <r>
    <x v="50"/>
    <x v="0"/>
    <x v="6"/>
    <x v="4"/>
    <x v="4"/>
    <x v="2"/>
    <x v="19"/>
    <x v="49"/>
    <x v="67"/>
    <x v="88"/>
    <x v="22"/>
    <x v="696"/>
    <x v="730"/>
    <x v="304"/>
    <x v="734"/>
    <x v="621"/>
    <x v="30"/>
    <x v="143"/>
    <x v="667"/>
    <x v="30"/>
    <x v="2"/>
  </r>
  <r>
    <x v="44"/>
    <x v="0"/>
    <x v="6"/>
    <x v="1"/>
    <x v="3"/>
    <x v="1"/>
    <x v="50"/>
    <x v="27"/>
    <x v="66"/>
    <x v="140"/>
    <x v="362"/>
    <x v="697"/>
    <x v="731"/>
    <x v="715"/>
    <x v="735"/>
    <x v="622"/>
    <x v="79"/>
    <x v="180"/>
    <x v="668"/>
    <x v="79"/>
    <x v="2"/>
  </r>
  <r>
    <x v="45"/>
    <x v="1"/>
    <x v="0"/>
    <x v="3"/>
    <x v="2"/>
    <x v="2"/>
    <x v="79"/>
    <x v="2"/>
    <x v="65"/>
    <x v="125"/>
    <x v="327"/>
    <x v="698"/>
    <x v="732"/>
    <x v="283"/>
    <x v="736"/>
    <x v="515"/>
    <x v="15"/>
    <x v="111"/>
    <x v="669"/>
    <x v="15"/>
    <x v="2"/>
  </r>
  <r>
    <x v="54"/>
    <x v="1"/>
    <x v="4"/>
    <x v="0"/>
    <x v="3"/>
    <x v="2"/>
    <x v="54"/>
    <x v="38"/>
    <x v="5"/>
    <x v="47"/>
    <x v="197"/>
    <x v="699"/>
    <x v="733"/>
    <x v="716"/>
    <x v="737"/>
    <x v="623"/>
    <x v="86"/>
    <x v="180"/>
    <x v="670"/>
    <x v="86"/>
    <x v="0"/>
  </r>
  <r>
    <x v="45"/>
    <x v="0"/>
    <x v="8"/>
    <x v="4"/>
    <x v="6"/>
    <x v="1"/>
    <x v="41"/>
    <x v="2"/>
    <x v="38"/>
    <x v="129"/>
    <x v="140"/>
    <x v="700"/>
    <x v="734"/>
    <x v="717"/>
    <x v="738"/>
    <x v="624"/>
    <x v="117"/>
    <x v="32"/>
    <x v="671"/>
    <x v="117"/>
    <x v="2"/>
  </r>
  <r>
    <x v="1"/>
    <x v="0"/>
    <x v="9"/>
    <x v="4"/>
    <x v="2"/>
    <x v="1"/>
    <x v="79"/>
    <x v="46"/>
    <x v="7"/>
    <x v="79"/>
    <x v="15"/>
    <x v="701"/>
    <x v="735"/>
    <x v="718"/>
    <x v="739"/>
    <x v="625"/>
    <x v="0"/>
    <x v="23"/>
    <x v="672"/>
    <x v="0"/>
    <x v="1"/>
  </r>
  <r>
    <x v="2"/>
    <x v="0"/>
    <x v="0"/>
    <x v="4"/>
    <x v="6"/>
    <x v="1"/>
    <x v="26"/>
    <x v="74"/>
    <x v="50"/>
    <x v="146"/>
    <x v="302"/>
    <x v="702"/>
    <x v="736"/>
    <x v="719"/>
    <x v="740"/>
    <x v="554"/>
    <x v="38"/>
    <x v="198"/>
    <x v="673"/>
    <x v="38"/>
    <x v="2"/>
  </r>
  <r>
    <x v="35"/>
    <x v="1"/>
    <x v="9"/>
    <x v="4"/>
    <x v="4"/>
    <x v="0"/>
    <x v="87"/>
    <x v="26"/>
    <x v="44"/>
    <x v="158"/>
    <x v="262"/>
    <x v="703"/>
    <x v="737"/>
    <x v="116"/>
    <x v="741"/>
    <x v="626"/>
    <x v="86"/>
    <x v="70"/>
    <x v="674"/>
    <x v="86"/>
    <x v="2"/>
  </r>
  <r>
    <x v="20"/>
    <x v="0"/>
    <x v="6"/>
    <x v="0"/>
    <x v="6"/>
    <x v="0"/>
    <x v="108"/>
    <x v="73"/>
    <x v="68"/>
    <x v="132"/>
    <x v="146"/>
    <x v="704"/>
    <x v="738"/>
    <x v="720"/>
    <x v="742"/>
    <x v="627"/>
    <x v="55"/>
    <x v="68"/>
    <x v="675"/>
    <x v="55"/>
    <x v="1"/>
  </r>
  <r>
    <x v="44"/>
    <x v="1"/>
    <x v="4"/>
    <x v="3"/>
    <x v="3"/>
    <x v="1"/>
    <x v="55"/>
    <x v="63"/>
    <x v="57"/>
    <x v="32"/>
    <x v="355"/>
    <x v="705"/>
    <x v="739"/>
    <x v="721"/>
    <x v="743"/>
    <x v="628"/>
    <x v="25"/>
    <x v="7"/>
    <x v="676"/>
    <x v="25"/>
    <x v="2"/>
  </r>
  <r>
    <x v="34"/>
    <x v="0"/>
    <x v="0"/>
    <x v="0"/>
    <x v="4"/>
    <x v="1"/>
    <x v="40"/>
    <x v="77"/>
    <x v="54"/>
    <x v="47"/>
    <x v="1"/>
    <x v="706"/>
    <x v="740"/>
    <x v="722"/>
    <x v="744"/>
    <x v="629"/>
    <x v="50"/>
    <x v="138"/>
    <x v="677"/>
    <x v="50"/>
    <x v="2"/>
  </r>
  <r>
    <x v="22"/>
    <x v="1"/>
    <x v="8"/>
    <x v="2"/>
    <x v="1"/>
    <x v="2"/>
    <x v="103"/>
    <x v="27"/>
    <x v="51"/>
    <x v="55"/>
    <x v="91"/>
    <x v="707"/>
    <x v="741"/>
    <x v="723"/>
    <x v="745"/>
    <x v="343"/>
    <x v="0"/>
    <x v="121"/>
    <x v="389"/>
    <x v="0"/>
    <x v="0"/>
  </r>
  <r>
    <x v="4"/>
    <x v="0"/>
    <x v="1"/>
    <x v="1"/>
    <x v="6"/>
    <x v="0"/>
    <x v="96"/>
    <x v="22"/>
    <x v="30"/>
    <x v="103"/>
    <x v="202"/>
    <x v="708"/>
    <x v="742"/>
    <x v="724"/>
    <x v="746"/>
    <x v="630"/>
    <x v="68"/>
    <x v="198"/>
    <x v="678"/>
    <x v="68"/>
    <x v="1"/>
  </r>
  <r>
    <x v="43"/>
    <x v="1"/>
    <x v="0"/>
    <x v="1"/>
    <x v="1"/>
    <x v="2"/>
    <x v="68"/>
    <x v="73"/>
    <x v="73"/>
    <x v="154"/>
    <x v="124"/>
    <x v="709"/>
    <x v="743"/>
    <x v="725"/>
    <x v="747"/>
    <x v="265"/>
    <x v="51"/>
    <x v="117"/>
    <x v="679"/>
    <x v="51"/>
    <x v="2"/>
  </r>
  <r>
    <x v="53"/>
    <x v="0"/>
    <x v="1"/>
    <x v="4"/>
    <x v="3"/>
    <x v="2"/>
    <x v="66"/>
    <x v="39"/>
    <x v="29"/>
    <x v="31"/>
    <x v="319"/>
    <x v="710"/>
    <x v="744"/>
    <x v="726"/>
    <x v="748"/>
    <x v="606"/>
    <x v="81"/>
    <x v="62"/>
    <x v="680"/>
    <x v="81"/>
    <x v="1"/>
  </r>
  <r>
    <x v="24"/>
    <x v="0"/>
    <x v="1"/>
    <x v="2"/>
    <x v="0"/>
    <x v="0"/>
    <x v="42"/>
    <x v="10"/>
    <x v="8"/>
    <x v="7"/>
    <x v="202"/>
    <x v="236"/>
    <x v="745"/>
    <x v="727"/>
    <x v="749"/>
    <x v="631"/>
    <x v="179"/>
    <x v="33"/>
    <x v="416"/>
    <x v="179"/>
    <x v="1"/>
  </r>
  <r>
    <x v="25"/>
    <x v="1"/>
    <x v="2"/>
    <x v="1"/>
    <x v="3"/>
    <x v="0"/>
    <x v="75"/>
    <x v="41"/>
    <x v="49"/>
    <x v="117"/>
    <x v="89"/>
    <x v="711"/>
    <x v="746"/>
    <x v="728"/>
    <x v="750"/>
    <x v="632"/>
    <x v="154"/>
    <x v="67"/>
    <x v="681"/>
    <x v="154"/>
    <x v="0"/>
  </r>
  <r>
    <x v="7"/>
    <x v="1"/>
    <x v="9"/>
    <x v="4"/>
    <x v="1"/>
    <x v="0"/>
    <x v="62"/>
    <x v="58"/>
    <x v="38"/>
    <x v="138"/>
    <x v="318"/>
    <x v="712"/>
    <x v="747"/>
    <x v="729"/>
    <x v="751"/>
    <x v="633"/>
    <x v="79"/>
    <x v="55"/>
    <x v="682"/>
    <x v="79"/>
    <x v="2"/>
  </r>
  <r>
    <x v="19"/>
    <x v="1"/>
    <x v="4"/>
    <x v="3"/>
    <x v="6"/>
    <x v="3"/>
    <x v="69"/>
    <x v="40"/>
    <x v="1"/>
    <x v="1"/>
    <x v="243"/>
    <x v="153"/>
    <x v="748"/>
    <x v="730"/>
    <x v="752"/>
    <x v="634"/>
    <x v="45"/>
    <x v="0"/>
    <x v="683"/>
    <x v="45"/>
    <x v="1"/>
  </r>
  <r>
    <x v="13"/>
    <x v="1"/>
    <x v="6"/>
    <x v="1"/>
    <x v="5"/>
    <x v="0"/>
    <x v="29"/>
    <x v="73"/>
    <x v="7"/>
    <x v="17"/>
    <x v="9"/>
    <x v="713"/>
    <x v="749"/>
    <x v="731"/>
    <x v="753"/>
    <x v="635"/>
    <x v="61"/>
    <x v="20"/>
    <x v="684"/>
    <x v="61"/>
    <x v="2"/>
  </r>
  <r>
    <x v="18"/>
    <x v="0"/>
    <x v="6"/>
    <x v="1"/>
    <x v="1"/>
    <x v="1"/>
    <x v="28"/>
    <x v="78"/>
    <x v="19"/>
    <x v="17"/>
    <x v="54"/>
    <x v="714"/>
    <x v="750"/>
    <x v="732"/>
    <x v="754"/>
    <x v="164"/>
    <x v="53"/>
    <x v="29"/>
    <x v="685"/>
    <x v="53"/>
    <x v="2"/>
  </r>
  <r>
    <x v="25"/>
    <x v="0"/>
    <x v="1"/>
    <x v="0"/>
    <x v="3"/>
    <x v="2"/>
    <x v="69"/>
    <x v="35"/>
    <x v="52"/>
    <x v="157"/>
    <x v="18"/>
    <x v="715"/>
    <x v="751"/>
    <x v="733"/>
    <x v="755"/>
    <x v="572"/>
    <x v="176"/>
    <x v="136"/>
    <x v="686"/>
    <x v="176"/>
    <x v="0"/>
  </r>
  <r>
    <x v="52"/>
    <x v="1"/>
    <x v="0"/>
    <x v="1"/>
    <x v="0"/>
    <x v="1"/>
    <x v="60"/>
    <x v="16"/>
    <x v="22"/>
    <x v="18"/>
    <x v="363"/>
    <x v="716"/>
    <x v="752"/>
    <x v="734"/>
    <x v="756"/>
    <x v="636"/>
    <x v="118"/>
    <x v="175"/>
    <x v="687"/>
    <x v="118"/>
    <x v="2"/>
  </r>
  <r>
    <x v="27"/>
    <x v="1"/>
    <x v="0"/>
    <x v="4"/>
    <x v="2"/>
    <x v="2"/>
    <x v="60"/>
    <x v="9"/>
    <x v="44"/>
    <x v="149"/>
    <x v="364"/>
    <x v="717"/>
    <x v="753"/>
    <x v="735"/>
    <x v="757"/>
    <x v="637"/>
    <x v="108"/>
    <x v="90"/>
    <x v="688"/>
    <x v="108"/>
    <x v="0"/>
  </r>
  <r>
    <x v="40"/>
    <x v="0"/>
    <x v="2"/>
    <x v="0"/>
    <x v="0"/>
    <x v="3"/>
    <x v="0"/>
    <x v="35"/>
    <x v="28"/>
    <x v="159"/>
    <x v="328"/>
    <x v="718"/>
    <x v="754"/>
    <x v="736"/>
    <x v="758"/>
    <x v="638"/>
    <x v="123"/>
    <x v="199"/>
    <x v="689"/>
    <x v="123"/>
    <x v="2"/>
  </r>
  <r>
    <x v="18"/>
    <x v="1"/>
    <x v="7"/>
    <x v="3"/>
    <x v="2"/>
    <x v="3"/>
    <x v="97"/>
    <x v="14"/>
    <x v="19"/>
    <x v="23"/>
    <x v="365"/>
    <x v="719"/>
    <x v="755"/>
    <x v="737"/>
    <x v="759"/>
    <x v="639"/>
    <x v="111"/>
    <x v="145"/>
    <x v="690"/>
    <x v="111"/>
    <x v="2"/>
  </r>
  <r>
    <x v="53"/>
    <x v="1"/>
    <x v="8"/>
    <x v="2"/>
    <x v="0"/>
    <x v="0"/>
    <x v="23"/>
    <x v="39"/>
    <x v="37"/>
    <x v="47"/>
    <x v="347"/>
    <x v="720"/>
    <x v="756"/>
    <x v="738"/>
    <x v="760"/>
    <x v="640"/>
    <x v="176"/>
    <x v="47"/>
    <x v="691"/>
    <x v="176"/>
    <x v="1"/>
  </r>
  <r>
    <x v="38"/>
    <x v="1"/>
    <x v="5"/>
    <x v="4"/>
    <x v="1"/>
    <x v="1"/>
    <x v="59"/>
    <x v="11"/>
    <x v="86"/>
    <x v="128"/>
    <x v="169"/>
    <x v="721"/>
    <x v="757"/>
    <x v="739"/>
    <x v="761"/>
    <x v="641"/>
    <x v="113"/>
    <x v="200"/>
    <x v="692"/>
    <x v="113"/>
    <x v="2"/>
  </r>
  <r>
    <x v="54"/>
    <x v="1"/>
    <x v="1"/>
    <x v="3"/>
    <x v="3"/>
    <x v="3"/>
    <x v="67"/>
    <x v="58"/>
    <x v="89"/>
    <x v="56"/>
    <x v="185"/>
    <x v="638"/>
    <x v="758"/>
    <x v="740"/>
    <x v="762"/>
    <x v="515"/>
    <x v="62"/>
    <x v="61"/>
    <x v="693"/>
    <x v="62"/>
    <x v="0"/>
  </r>
  <r>
    <x v="21"/>
    <x v="0"/>
    <x v="6"/>
    <x v="0"/>
    <x v="6"/>
    <x v="2"/>
    <x v="78"/>
    <x v="22"/>
    <x v="38"/>
    <x v="43"/>
    <x v="69"/>
    <x v="722"/>
    <x v="759"/>
    <x v="741"/>
    <x v="763"/>
    <x v="642"/>
    <x v="139"/>
    <x v="20"/>
    <x v="694"/>
    <x v="139"/>
    <x v="0"/>
  </r>
  <r>
    <x v="22"/>
    <x v="0"/>
    <x v="9"/>
    <x v="0"/>
    <x v="3"/>
    <x v="2"/>
    <x v="25"/>
    <x v="1"/>
    <x v="54"/>
    <x v="17"/>
    <x v="215"/>
    <x v="723"/>
    <x v="760"/>
    <x v="742"/>
    <x v="764"/>
    <x v="643"/>
    <x v="24"/>
    <x v="120"/>
    <x v="695"/>
    <x v="24"/>
    <x v="0"/>
  </r>
  <r>
    <x v="38"/>
    <x v="1"/>
    <x v="5"/>
    <x v="1"/>
    <x v="6"/>
    <x v="2"/>
    <x v="55"/>
    <x v="37"/>
    <x v="68"/>
    <x v="99"/>
    <x v="72"/>
    <x v="724"/>
    <x v="761"/>
    <x v="743"/>
    <x v="765"/>
    <x v="644"/>
    <x v="59"/>
    <x v="40"/>
    <x v="696"/>
    <x v="59"/>
    <x v="2"/>
  </r>
  <r>
    <x v="3"/>
    <x v="1"/>
    <x v="9"/>
    <x v="4"/>
    <x v="2"/>
    <x v="3"/>
    <x v="47"/>
    <x v="73"/>
    <x v="87"/>
    <x v="41"/>
    <x v="164"/>
    <x v="725"/>
    <x v="762"/>
    <x v="706"/>
    <x v="766"/>
    <x v="645"/>
    <x v="38"/>
    <x v="6"/>
    <x v="697"/>
    <x v="38"/>
    <x v="0"/>
  </r>
  <r>
    <x v="20"/>
    <x v="1"/>
    <x v="2"/>
    <x v="0"/>
    <x v="0"/>
    <x v="0"/>
    <x v="9"/>
    <x v="47"/>
    <x v="12"/>
    <x v="66"/>
    <x v="215"/>
    <x v="726"/>
    <x v="763"/>
    <x v="744"/>
    <x v="767"/>
    <x v="646"/>
    <x v="21"/>
    <x v="43"/>
    <x v="698"/>
    <x v="21"/>
    <x v="1"/>
  </r>
  <r>
    <x v="50"/>
    <x v="0"/>
    <x v="2"/>
    <x v="4"/>
    <x v="2"/>
    <x v="0"/>
    <x v="20"/>
    <x v="64"/>
    <x v="81"/>
    <x v="153"/>
    <x v="365"/>
    <x v="727"/>
    <x v="764"/>
    <x v="656"/>
    <x v="768"/>
    <x v="442"/>
    <x v="57"/>
    <x v="59"/>
    <x v="699"/>
    <x v="57"/>
    <x v="2"/>
  </r>
  <r>
    <x v="32"/>
    <x v="0"/>
    <x v="7"/>
    <x v="3"/>
    <x v="2"/>
    <x v="3"/>
    <x v="115"/>
    <x v="43"/>
    <x v="56"/>
    <x v="32"/>
    <x v="5"/>
    <x v="728"/>
    <x v="765"/>
    <x v="745"/>
    <x v="769"/>
    <x v="647"/>
    <x v="43"/>
    <x v="8"/>
    <x v="700"/>
    <x v="43"/>
    <x v="1"/>
  </r>
  <r>
    <x v="38"/>
    <x v="1"/>
    <x v="1"/>
    <x v="1"/>
    <x v="5"/>
    <x v="2"/>
    <x v="51"/>
    <x v="24"/>
    <x v="40"/>
    <x v="65"/>
    <x v="366"/>
    <x v="729"/>
    <x v="766"/>
    <x v="746"/>
    <x v="770"/>
    <x v="648"/>
    <x v="110"/>
    <x v="119"/>
    <x v="701"/>
    <x v="110"/>
    <x v="2"/>
  </r>
  <r>
    <x v="7"/>
    <x v="0"/>
    <x v="0"/>
    <x v="2"/>
    <x v="3"/>
    <x v="2"/>
    <x v="74"/>
    <x v="62"/>
    <x v="68"/>
    <x v="77"/>
    <x v="233"/>
    <x v="730"/>
    <x v="767"/>
    <x v="747"/>
    <x v="771"/>
    <x v="649"/>
    <x v="141"/>
    <x v="48"/>
    <x v="702"/>
    <x v="141"/>
    <x v="2"/>
  </r>
  <r>
    <x v="23"/>
    <x v="0"/>
    <x v="3"/>
    <x v="4"/>
    <x v="5"/>
    <x v="3"/>
    <x v="56"/>
    <x v="36"/>
    <x v="0"/>
    <x v="157"/>
    <x v="367"/>
    <x v="731"/>
    <x v="768"/>
    <x v="748"/>
    <x v="772"/>
    <x v="526"/>
    <x v="8"/>
    <x v="160"/>
    <x v="703"/>
    <x v="8"/>
    <x v="1"/>
  </r>
  <r>
    <x v="16"/>
    <x v="1"/>
    <x v="0"/>
    <x v="0"/>
    <x v="4"/>
    <x v="0"/>
    <x v="96"/>
    <x v="5"/>
    <x v="62"/>
    <x v="69"/>
    <x v="368"/>
    <x v="732"/>
    <x v="769"/>
    <x v="749"/>
    <x v="773"/>
    <x v="650"/>
    <x v="35"/>
    <x v="15"/>
    <x v="704"/>
    <x v="35"/>
    <x v="0"/>
  </r>
  <r>
    <x v="4"/>
    <x v="0"/>
    <x v="2"/>
    <x v="4"/>
    <x v="1"/>
    <x v="3"/>
    <x v="40"/>
    <x v="28"/>
    <x v="11"/>
    <x v="22"/>
    <x v="161"/>
    <x v="733"/>
    <x v="770"/>
    <x v="337"/>
    <x v="774"/>
    <x v="651"/>
    <x v="117"/>
    <x v="2"/>
    <x v="705"/>
    <x v="117"/>
    <x v="1"/>
  </r>
  <r>
    <x v="15"/>
    <x v="0"/>
    <x v="1"/>
    <x v="3"/>
    <x v="2"/>
    <x v="1"/>
    <x v="82"/>
    <x v="39"/>
    <x v="13"/>
    <x v="50"/>
    <x v="169"/>
    <x v="510"/>
    <x v="771"/>
    <x v="750"/>
    <x v="775"/>
    <x v="652"/>
    <x v="180"/>
    <x v="201"/>
    <x v="706"/>
    <x v="180"/>
    <x v="2"/>
  </r>
  <r>
    <x v="21"/>
    <x v="0"/>
    <x v="8"/>
    <x v="0"/>
    <x v="3"/>
    <x v="3"/>
    <x v="111"/>
    <x v="75"/>
    <x v="39"/>
    <x v="61"/>
    <x v="251"/>
    <x v="734"/>
    <x v="772"/>
    <x v="751"/>
    <x v="776"/>
    <x v="358"/>
    <x v="15"/>
    <x v="165"/>
    <x v="707"/>
    <x v="15"/>
    <x v="0"/>
  </r>
  <r>
    <x v="43"/>
    <x v="1"/>
    <x v="9"/>
    <x v="4"/>
    <x v="4"/>
    <x v="2"/>
    <x v="68"/>
    <x v="9"/>
    <x v="52"/>
    <x v="130"/>
    <x v="232"/>
    <x v="735"/>
    <x v="773"/>
    <x v="752"/>
    <x v="777"/>
    <x v="425"/>
    <x v="111"/>
    <x v="127"/>
    <x v="708"/>
    <x v="111"/>
    <x v="2"/>
  </r>
  <r>
    <x v="1"/>
    <x v="1"/>
    <x v="5"/>
    <x v="4"/>
    <x v="0"/>
    <x v="0"/>
    <x v="85"/>
    <x v="23"/>
    <x v="56"/>
    <x v="61"/>
    <x v="90"/>
    <x v="416"/>
    <x v="774"/>
    <x v="753"/>
    <x v="778"/>
    <x v="375"/>
    <x v="104"/>
    <x v="8"/>
    <x v="709"/>
    <x v="104"/>
    <x v="1"/>
  </r>
  <r>
    <x v="42"/>
    <x v="0"/>
    <x v="2"/>
    <x v="3"/>
    <x v="0"/>
    <x v="2"/>
    <x v="4"/>
    <x v="45"/>
    <x v="87"/>
    <x v="156"/>
    <x v="369"/>
    <x v="736"/>
    <x v="775"/>
    <x v="754"/>
    <x v="779"/>
    <x v="653"/>
    <x v="102"/>
    <x v="119"/>
    <x v="156"/>
    <x v="102"/>
    <x v="2"/>
  </r>
  <r>
    <x v="56"/>
    <x v="0"/>
    <x v="9"/>
    <x v="0"/>
    <x v="0"/>
    <x v="3"/>
    <x v="43"/>
    <x v="11"/>
    <x v="22"/>
    <x v="80"/>
    <x v="370"/>
    <x v="737"/>
    <x v="776"/>
    <x v="755"/>
    <x v="780"/>
    <x v="654"/>
    <x v="111"/>
    <x v="10"/>
    <x v="710"/>
    <x v="111"/>
    <x v="2"/>
  </r>
  <r>
    <x v="43"/>
    <x v="0"/>
    <x v="8"/>
    <x v="2"/>
    <x v="5"/>
    <x v="2"/>
    <x v="64"/>
    <x v="76"/>
    <x v="25"/>
    <x v="11"/>
    <x v="301"/>
    <x v="738"/>
    <x v="777"/>
    <x v="756"/>
    <x v="781"/>
    <x v="389"/>
    <x v="76"/>
    <x v="105"/>
    <x v="711"/>
    <x v="76"/>
    <x v="2"/>
  </r>
  <r>
    <x v="14"/>
    <x v="0"/>
    <x v="9"/>
    <x v="2"/>
    <x v="3"/>
    <x v="3"/>
    <x v="31"/>
    <x v="29"/>
    <x v="26"/>
    <x v="46"/>
    <x v="220"/>
    <x v="739"/>
    <x v="778"/>
    <x v="757"/>
    <x v="782"/>
    <x v="655"/>
    <x v="134"/>
    <x v="104"/>
    <x v="712"/>
    <x v="134"/>
    <x v="2"/>
  </r>
  <r>
    <x v="12"/>
    <x v="1"/>
    <x v="3"/>
    <x v="3"/>
    <x v="2"/>
    <x v="0"/>
    <x v="19"/>
    <x v="52"/>
    <x v="32"/>
    <x v="87"/>
    <x v="310"/>
    <x v="740"/>
    <x v="779"/>
    <x v="758"/>
    <x v="783"/>
    <x v="656"/>
    <x v="124"/>
    <x v="32"/>
    <x v="713"/>
    <x v="124"/>
    <x v="0"/>
  </r>
  <r>
    <x v="21"/>
    <x v="1"/>
    <x v="6"/>
    <x v="4"/>
    <x v="1"/>
    <x v="3"/>
    <x v="12"/>
    <x v="13"/>
    <x v="26"/>
    <x v="144"/>
    <x v="342"/>
    <x v="741"/>
    <x v="780"/>
    <x v="759"/>
    <x v="784"/>
    <x v="657"/>
    <x v="133"/>
    <x v="99"/>
    <x v="714"/>
    <x v="133"/>
    <x v="0"/>
  </r>
  <r>
    <x v="37"/>
    <x v="0"/>
    <x v="3"/>
    <x v="2"/>
    <x v="0"/>
    <x v="3"/>
    <x v="61"/>
    <x v="5"/>
    <x v="64"/>
    <x v="151"/>
    <x v="278"/>
    <x v="742"/>
    <x v="781"/>
    <x v="760"/>
    <x v="785"/>
    <x v="658"/>
    <x v="86"/>
    <x v="202"/>
    <x v="715"/>
    <x v="86"/>
    <x v="2"/>
  </r>
  <r>
    <x v="3"/>
    <x v="1"/>
    <x v="1"/>
    <x v="0"/>
    <x v="4"/>
    <x v="2"/>
    <x v="59"/>
    <x v="76"/>
    <x v="12"/>
    <x v="147"/>
    <x v="139"/>
    <x v="743"/>
    <x v="70"/>
    <x v="761"/>
    <x v="786"/>
    <x v="431"/>
    <x v="108"/>
    <x v="95"/>
    <x v="716"/>
    <x v="108"/>
    <x v="0"/>
  </r>
  <r>
    <x v="58"/>
    <x v="1"/>
    <x v="5"/>
    <x v="3"/>
    <x v="0"/>
    <x v="2"/>
    <x v="61"/>
    <x v="18"/>
    <x v="44"/>
    <x v="137"/>
    <x v="339"/>
    <x v="744"/>
    <x v="782"/>
    <x v="762"/>
    <x v="787"/>
    <x v="451"/>
    <x v="84"/>
    <x v="153"/>
    <x v="717"/>
    <x v="84"/>
    <x v="0"/>
  </r>
  <r>
    <x v="14"/>
    <x v="0"/>
    <x v="3"/>
    <x v="3"/>
    <x v="0"/>
    <x v="1"/>
    <x v="60"/>
    <x v="2"/>
    <x v="57"/>
    <x v="136"/>
    <x v="163"/>
    <x v="745"/>
    <x v="783"/>
    <x v="763"/>
    <x v="788"/>
    <x v="659"/>
    <x v="72"/>
    <x v="93"/>
    <x v="718"/>
    <x v="72"/>
    <x v="2"/>
  </r>
  <r>
    <x v="42"/>
    <x v="1"/>
    <x v="3"/>
    <x v="3"/>
    <x v="1"/>
    <x v="3"/>
    <x v="68"/>
    <x v="68"/>
    <x v="8"/>
    <x v="141"/>
    <x v="230"/>
    <x v="746"/>
    <x v="784"/>
    <x v="764"/>
    <x v="789"/>
    <x v="660"/>
    <x v="135"/>
    <x v="154"/>
    <x v="719"/>
    <x v="135"/>
    <x v="2"/>
  </r>
  <r>
    <x v="2"/>
    <x v="0"/>
    <x v="8"/>
    <x v="3"/>
    <x v="1"/>
    <x v="2"/>
    <x v="53"/>
    <x v="35"/>
    <x v="30"/>
    <x v="4"/>
    <x v="371"/>
    <x v="747"/>
    <x v="785"/>
    <x v="765"/>
    <x v="790"/>
    <x v="661"/>
    <x v="30"/>
    <x v="88"/>
    <x v="463"/>
    <x v="30"/>
    <x v="2"/>
  </r>
  <r>
    <x v="46"/>
    <x v="1"/>
    <x v="8"/>
    <x v="4"/>
    <x v="0"/>
    <x v="2"/>
    <x v="47"/>
    <x v="72"/>
    <x v="15"/>
    <x v="47"/>
    <x v="4"/>
    <x v="748"/>
    <x v="786"/>
    <x v="766"/>
    <x v="791"/>
    <x v="662"/>
    <x v="25"/>
    <x v="19"/>
    <x v="511"/>
    <x v="25"/>
    <x v="1"/>
  </r>
  <r>
    <x v="39"/>
    <x v="1"/>
    <x v="1"/>
    <x v="0"/>
    <x v="0"/>
    <x v="3"/>
    <x v="65"/>
    <x v="9"/>
    <x v="24"/>
    <x v="108"/>
    <x v="79"/>
    <x v="749"/>
    <x v="787"/>
    <x v="767"/>
    <x v="792"/>
    <x v="663"/>
    <x v="84"/>
    <x v="141"/>
    <x v="720"/>
    <x v="84"/>
    <x v="2"/>
  </r>
  <r>
    <x v="18"/>
    <x v="0"/>
    <x v="2"/>
    <x v="0"/>
    <x v="1"/>
    <x v="3"/>
    <x v="35"/>
    <x v="28"/>
    <x v="89"/>
    <x v="23"/>
    <x v="237"/>
    <x v="750"/>
    <x v="788"/>
    <x v="768"/>
    <x v="793"/>
    <x v="664"/>
    <x v="62"/>
    <x v="154"/>
    <x v="693"/>
    <x v="62"/>
    <x v="2"/>
  </r>
  <r>
    <x v="51"/>
    <x v="1"/>
    <x v="6"/>
    <x v="0"/>
    <x v="6"/>
    <x v="3"/>
    <x v="39"/>
    <x v="2"/>
    <x v="47"/>
    <x v="101"/>
    <x v="13"/>
    <x v="30"/>
    <x v="789"/>
    <x v="769"/>
    <x v="794"/>
    <x v="629"/>
    <x v="127"/>
    <x v="73"/>
    <x v="721"/>
    <x v="127"/>
    <x v="2"/>
  </r>
  <r>
    <x v="36"/>
    <x v="1"/>
    <x v="1"/>
    <x v="3"/>
    <x v="2"/>
    <x v="0"/>
    <x v="105"/>
    <x v="77"/>
    <x v="81"/>
    <x v="138"/>
    <x v="372"/>
    <x v="751"/>
    <x v="790"/>
    <x v="770"/>
    <x v="795"/>
    <x v="665"/>
    <x v="144"/>
    <x v="26"/>
    <x v="722"/>
    <x v="144"/>
    <x v="1"/>
  </r>
  <r>
    <x v="57"/>
    <x v="1"/>
    <x v="9"/>
    <x v="4"/>
    <x v="5"/>
    <x v="3"/>
    <x v="109"/>
    <x v="8"/>
    <x v="4"/>
    <x v="25"/>
    <x v="302"/>
    <x v="752"/>
    <x v="791"/>
    <x v="771"/>
    <x v="796"/>
    <x v="666"/>
    <x v="160"/>
    <x v="27"/>
    <x v="723"/>
    <x v="160"/>
    <x v="0"/>
  </r>
  <r>
    <x v="41"/>
    <x v="1"/>
    <x v="7"/>
    <x v="2"/>
    <x v="6"/>
    <x v="2"/>
    <x v="39"/>
    <x v="77"/>
    <x v="12"/>
    <x v="78"/>
    <x v="140"/>
    <x v="753"/>
    <x v="792"/>
    <x v="653"/>
    <x v="797"/>
    <x v="667"/>
    <x v="24"/>
    <x v="90"/>
    <x v="724"/>
    <x v="24"/>
    <x v="2"/>
  </r>
  <r>
    <x v="44"/>
    <x v="0"/>
    <x v="6"/>
    <x v="0"/>
    <x v="4"/>
    <x v="1"/>
    <x v="31"/>
    <x v="35"/>
    <x v="9"/>
    <x v="54"/>
    <x v="123"/>
    <x v="231"/>
    <x v="793"/>
    <x v="772"/>
    <x v="798"/>
    <x v="668"/>
    <x v="135"/>
    <x v="67"/>
    <x v="725"/>
    <x v="135"/>
    <x v="2"/>
  </r>
  <r>
    <x v="18"/>
    <x v="0"/>
    <x v="8"/>
    <x v="3"/>
    <x v="6"/>
    <x v="3"/>
    <x v="30"/>
    <x v="17"/>
    <x v="59"/>
    <x v="4"/>
    <x v="105"/>
    <x v="754"/>
    <x v="794"/>
    <x v="773"/>
    <x v="799"/>
    <x v="669"/>
    <x v="106"/>
    <x v="155"/>
    <x v="726"/>
    <x v="106"/>
    <x v="2"/>
  </r>
  <r>
    <x v="57"/>
    <x v="1"/>
    <x v="6"/>
    <x v="1"/>
    <x v="5"/>
    <x v="2"/>
    <x v="74"/>
    <x v="68"/>
    <x v="80"/>
    <x v="78"/>
    <x v="365"/>
    <x v="755"/>
    <x v="795"/>
    <x v="774"/>
    <x v="800"/>
    <x v="225"/>
    <x v="1"/>
    <x v="119"/>
    <x v="727"/>
    <x v="1"/>
    <x v="0"/>
  </r>
  <r>
    <x v="48"/>
    <x v="1"/>
    <x v="0"/>
    <x v="2"/>
    <x v="5"/>
    <x v="3"/>
    <x v="46"/>
    <x v="14"/>
    <x v="28"/>
    <x v="127"/>
    <x v="158"/>
    <x v="170"/>
    <x v="796"/>
    <x v="775"/>
    <x v="801"/>
    <x v="670"/>
    <x v="18"/>
    <x v="14"/>
    <x v="728"/>
    <x v="18"/>
    <x v="2"/>
  </r>
  <r>
    <x v="59"/>
    <x v="0"/>
    <x v="2"/>
    <x v="4"/>
    <x v="2"/>
    <x v="3"/>
    <x v="62"/>
    <x v="53"/>
    <x v="84"/>
    <x v="124"/>
    <x v="318"/>
    <x v="756"/>
    <x v="797"/>
    <x v="776"/>
    <x v="802"/>
    <x v="671"/>
    <x v="128"/>
    <x v="8"/>
    <x v="729"/>
    <x v="128"/>
    <x v="0"/>
  </r>
  <r>
    <x v="45"/>
    <x v="0"/>
    <x v="0"/>
    <x v="1"/>
    <x v="2"/>
    <x v="1"/>
    <x v="113"/>
    <x v="75"/>
    <x v="67"/>
    <x v="17"/>
    <x v="373"/>
    <x v="757"/>
    <x v="798"/>
    <x v="777"/>
    <x v="803"/>
    <x v="517"/>
    <x v="13"/>
    <x v="101"/>
    <x v="256"/>
    <x v="13"/>
    <x v="2"/>
  </r>
  <r>
    <x v="21"/>
    <x v="0"/>
    <x v="4"/>
    <x v="2"/>
    <x v="3"/>
    <x v="0"/>
    <x v="26"/>
    <x v="34"/>
    <x v="43"/>
    <x v="94"/>
    <x v="280"/>
    <x v="758"/>
    <x v="799"/>
    <x v="778"/>
    <x v="804"/>
    <x v="672"/>
    <x v="72"/>
    <x v="23"/>
    <x v="730"/>
    <x v="72"/>
    <x v="0"/>
  </r>
  <r>
    <x v="12"/>
    <x v="1"/>
    <x v="6"/>
    <x v="4"/>
    <x v="5"/>
    <x v="2"/>
    <x v="104"/>
    <x v="42"/>
    <x v="29"/>
    <x v="86"/>
    <x v="106"/>
    <x v="759"/>
    <x v="800"/>
    <x v="779"/>
    <x v="805"/>
    <x v="673"/>
    <x v="106"/>
    <x v="119"/>
    <x v="731"/>
    <x v="106"/>
    <x v="0"/>
  </r>
  <r>
    <x v="45"/>
    <x v="0"/>
    <x v="7"/>
    <x v="2"/>
    <x v="0"/>
    <x v="1"/>
    <x v="38"/>
    <x v="58"/>
    <x v="58"/>
    <x v="73"/>
    <x v="359"/>
    <x v="760"/>
    <x v="312"/>
    <x v="780"/>
    <x v="806"/>
    <x v="674"/>
    <x v="155"/>
    <x v="29"/>
    <x v="91"/>
    <x v="155"/>
    <x v="2"/>
  </r>
  <r>
    <x v="29"/>
    <x v="1"/>
    <x v="9"/>
    <x v="3"/>
    <x v="4"/>
    <x v="2"/>
    <x v="90"/>
    <x v="60"/>
    <x v="24"/>
    <x v="88"/>
    <x v="269"/>
    <x v="761"/>
    <x v="801"/>
    <x v="447"/>
    <x v="807"/>
    <x v="135"/>
    <x v="116"/>
    <x v="46"/>
    <x v="732"/>
    <x v="116"/>
    <x v="2"/>
  </r>
  <r>
    <x v="11"/>
    <x v="0"/>
    <x v="6"/>
    <x v="1"/>
    <x v="5"/>
    <x v="2"/>
    <x v="12"/>
    <x v="48"/>
    <x v="75"/>
    <x v="116"/>
    <x v="266"/>
    <x v="762"/>
    <x v="802"/>
    <x v="781"/>
    <x v="808"/>
    <x v="675"/>
    <x v="81"/>
    <x v="203"/>
    <x v="733"/>
    <x v="81"/>
    <x v="1"/>
  </r>
  <r>
    <x v="3"/>
    <x v="0"/>
    <x v="7"/>
    <x v="1"/>
    <x v="1"/>
    <x v="1"/>
    <x v="1"/>
    <x v="51"/>
    <x v="7"/>
    <x v="107"/>
    <x v="374"/>
    <x v="609"/>
    <x v="803"/>
    <x v="782"/>
    <x v="809"/>
    <x v="676"/>
    <x v="61"/>
    <x v="171"/>
    <x v="684"/>
    <x v="61"/>
    <x v="0"/>
  </r>
  <r>
    <x v="53"/>
    <x v="0"/>
    <x v="9"/>
    <x v="3"/>
    <x v="0"/>
    <x v="1"/>
    <x v="86"/>
    <x v="61"/>
    <x v="27"/>
    <x v="46"/>
    <x v="294"/>
    <x v="763"/>
    <x v="804"/>
    <x v="783"/>
    <x v="810"/>
    <x v="557"/>
    <x v="24"/>
    <x v="177"/>
    <x v="321"/>
    <x v="24"/>
    <x v="1"/>
  </r>
  <r>
    <x v="0"/>
    <x v="1"/>
    <x v="4"/>
    <x v="1"/>
    <x v="6"/>
    <x v="3"/>
    <x v="92"/>
    <x v="69"/>
    <x v="76"/>
    <x v="108"/>
    <x v="252"/>
    <x v="764"/>
    <x v="805"/>
    <x v="784"/>
    <x v="811"/>
    <x v="179"/>
    <x v="72"/>
    <x v="137"/>
    <x v="734"/>
    <x v="72"/>
    <x v="0"/>
  </r>
  <r>
    <x v="24"/>
    <x v="1"/>
    <x v="4"/>
    <x v="2"/>
    <x v="2"/>
    <x v="0"/>
    <x v="56"/>
    <x v="52"/>
    <x v="47"/>
    <x v="153"/>
    <x v="349"/>
    <x v="308"/>
    <x v="806"/>
    <x v="632"/>
    <x v="812"/>
    <x v="677"/>
    <x v="112"/>
    <x v="60"/>
    <x v="735"/>
    <x v="112"/>
    <x v="1"/>
  </r>
  <r>
    <x v="55"/>
    <x v="0"/>
    <x v="3"/>
    <x v="0"/>
    <x v="1"/>
    <x v="3"/>
    <x v="54"/>
    <x v="42"/>
    <x v="8"/>
    <x v="101"/>
    <x v="53"/>
    <x v="765"/>
    <x v="807"/>
    <x v="785"/>
    <x v="813"/>
    <x v="678"/>
    <x v="119"/>
    <x v="37"/>
    <x v="736"/>
    <x v="119"/>
    <x v="2"/>
  </r>
  <r>
    <x v="56"/>
    <x v="1"/>
    <x v="9"/>
    <x v="0"/>
    <x v="5"/>
    <x v="0"/>
    <x v="28"/>
    <x v="7"/>
    <x v="45"/>
    <x v="79"/>
    <x v="375"/>
    <x v="766"/>
    <x v="808"/>
    <x v="786"/>
    <x v="814"/>
    <x v="679"/>
    <x v="127"/>
    <x v="118"/>
    <x v="737"/>
    <x v="127"/>
    <x v="2"/>
  </r>
  <r>
    <x v="58"/>
    <x v="0"/>
    <x v="0"/>
    <x v="4"/>
    <x v="1"/>
    <x v="3"/>
    <x v="3"/>
    <x v="76"/>
    <x v="82"/>
    <x v="46"/>
    <x v="180"/>
    <x v="767"/>
    <x v="809"/>
    <x v="787"/>
    <x v="815"/>
    <x v="289"/>
    <x v="117"/>
    <x v="77"/>
    <x v="738"/>
    <x v="117"/>
    <x v="0"/>
  </r>
  <r>
    <x v="48"/>
    <x v="0"/>
    <x v="2"/>
    <x v="0"/>
    <x v="6"/>
    <x v="0"/>
    <x v="10"/>
    <x v="48"/>
    <x v="3"/>
    <x v="151"/>
    <x v="63"/>
    <x v="768"/>
    <x v="810"/>
    <x v="788"/>
    <x v="816"/>
    <x v="680"/>
    <x v="120"/>
    <x v="119"/>
    <x v="614"/>
    <x v="120"/>
    <x v="2"/>
  </r>
  <r>
    <x v="32"/>
    <x v="1"/>
    <x v="0"/>
    <x v="4"/>
    <x v="5"/>
    <x v="3"/>
    <x v="114"/>
    <x v="58"/>
    <x v="32"/>
    <x v="123"/>
    <x v="355"/>
    <x v="601"/>
    <x v="811"/>
    <x v="789"/>
    <x v="817"/>
    <x v="310"/>
    <x v="66"/>
    <x v="24"/>
    <x v="739"/>
    <x v="66"/>
    <x v="1"/>
  </r>
  <r>
    <x v="59"/>
    <x v="0"/>
    <x v="3"/>
    <x v="2"/>
    <x v="2"/>
    <x v="1"/>
    <x v="89"/>
    <x v="23"/>
    <x v="86"/>
    <x v="58"/>
    <x v="217"/>
    <x v="769"/>
    <x v="812"/>
    <x v="790"/>
    <x v="818"/>
    <x v="271"/>
    <x v="117"/>
    <x v="11"/>
    <x v="740"/>
    <x v="117"/>
    <x v="0"/>
  </r>
  <r>
    <x v="27"/>
    <x v="1"/>
    <x v="0"/>
    <x v="2"/>
    <x v="6"/>
    <x v="1"/>
    <x v="26"/>
    <x v="35"/>
    <x v="11"/>
    <x v="155"/>
    <x v="376"/>
    <x v="770"/>
    <x v="813"/>
    <x v="791"/>
    <x v="819"/>
    <x v="681"/>
    <x v="139"/>
    <x v="0"/>
    <x v="741"/>
    <x v="139"/>
    <x v="0"/>
  </r>
  <r>
    <x v="38"/>
    <x v="1"/>
    <x v="4"/>
    <x v="4"/>
    <x v="1"/>
    <x v="1"/>
    <x v="39"/>
    <x v="43"/>
    <x v="6"/>
    <x v="7"/>
    <x v="189"/>
    <x v="771"/>
    <x v="814"/>
    <x v="792"/>
    <x v="820"/>
    <x v="319"/>
    <x v="41"/>
    <x v="13"/>
    <x v="574"/>
    <x v="41"/>
    <x v="2"/>
  </r>
  <r>
    <x v="54"/>
    <x v="1"/>
    <x v="0"/>
    <x v="0"/>
    <x v="1"/>
    <x v="0"/>
    <x v="94"/>
    <x v="14"/>
    <x v="50"/>
    <x v="158"/>
    <x v="374"/>
    <x v="772"/>
    <x v="815"/>
    <x v="793"/>
    <x v="821"/>
    <x v="682"/>
    <x v="83"/>
    <x v="8"/>
    <x v="742"/>
    <x v="83"/>
    <x v="0"/>
  </r>
  <r>
    <x v="58"/>
    <x v="1"/>
    <x v="3"/>
    <x v="1"/>
    <x v="4"/>
    <x v="1"/>
    <x v="71"/>
    <x v="20"/>
    <x v="17"/>
    <x v="82"/>
    <x v="332"/>
    <x v="773"/>
    <x v="816"/>
    <x v="794"/>
    <x v="822"/>
    <x v="683"/>
    <x v="93"/>
    <x v="129"/>
    <x v="743"/>
    <x v="93"/>
    <x v="0"/>
  </r>
  <r>
    <x v="17"/>
    <x v="1"/>
    <x v="5"/>
    <x v="1"/>
    <x v="6"/>
    <x v="2"/>
    <x v="8"/>
    <x v="40"/>
    <x v="53"/>
    <x v="93"/>
    <x v="366"/>
    <x v="774"/>
    <x v="817"/>
    <x v="795"/>
    <x v="823"/>
    <x v="485"/>
    <x v="3"/>
    <x v="90"/>
    <x v="744"/>
    <x v="3"/>
    <x v="1"/>
  </r>
  <r>
    <x v="1"/>
    <x v="0"/>
    <x v="4"/>
    <x v="3"/>
    <x v="4"/>
    <x v="0"/>
    <x v="68"/>
    <x v="3"/>
    <x v="29"/>
    <x v="102"/>
    <x v="375"/>
    <x v="775"/>
    <x v="818"/>
    <x v="796"/>
    <x v="824"/>
    <x v="684"/>
    <x v="25"/>
    <x v="81"/>
    <x v="745"/>
    <x v="25"/>
    <x v="1"/>
  </r>
  <r>
    <x v="35"/>
    <x v="1"/>
    <x v="6"/>
    <x v="1"/>
    <x v="4"/>
    <x v="0"/>
    <x v="113"/>
    <x v="3"/>
    <x v="10"/>
    <x v="150"/>
    <x v="54"/>
    <x v="776"/>
    <x v="819"/>
    <x v="797"/>
    <x v="825"/>
    <x v="116"/>
    <x v="20"/>
    <x v="15"/>
    <x v="746"/>
    <x v="20"/>
    <x v="2"/>
  </r>
  <r>
    <x v="49"/>
    <x v="1"/>
    <x v="8"/>
    <x v="4"/>
    <x v="4"/>
    <x v="2"/>
    <x v="47"/>
    <x v="39"/>
    <x v="86"/>
    <x v="26"/>
    <x v="377"/>
    <x v="777"/>
    <x v="820"/>
    <x v="798"/>
    <x v="826"/>
    <x v="292"/>
    <x v="171"/>
    <x v="59"/>
    <x v="747"/>
    <x v="171"/>
    <x v="1"/>
  </r>
  <r>
    <x v="40"/>
    <x v="0"/>
    <x v="0"/>
    <x v="0"/>
    <x v="6"/>
    <x v="2"/>
    <x v="118"/>
    <x v="33"/>
    <x v="24"/>
    <x v="82"/>
    <x v="337"/>
    <x v="778"/>
    <x v="821"/>
    <x v="799"/>
    <x v="827"/>
    <x v="489"/>
    <x v="155"/>
    <x v="84"/>
    <x v="748"/>
    <x v="155"/>
    <x v="2"/>
  </r>
  <r>
    <x v="19"/>
    <x v="1"/>
    <x v="2"/>
    <x v="2"/>
    <x v="0"/>
    <x v="2"/>
    <x v="19"/>
    <x v="12"/>
    <x v="87"/>
    <x v="59"/>
    <x v="179"/>
    <x v="779"/>
    <x v="822"/>
    <x v="800"/>
    <x v="828"/>
    <x v="685"/>
    <x v="164"/>
    <x v="34"/>
    <x v="459"/>
    <x v="164"/>
    <x v="1"/>
  </r>
  <r>
    <x v="44"/>
    <x v="0"/>
    <x v="1"/>
    <x v="1"/>
    <x v="3"/>
    <x v="1"/>
    <x v="61"/>
    <x v="42"/>
    <x v="6"/>
    <x v="131"/>
    <x v="323"/>
    <x v="780"/>
    <x v="823"/>
    <x v="801"/>
    <x v="829"/>
    <x v="686"/>
    <x v="148"/>
    <x v="35"/>
    <x v="749"/>
    <x v="148"/>
    <x v="2"/>
  </r>
  <r>
    <x v="46"/>
    <x v="1"/>
    <x v="3"/>
    <x v="0"/>
    <x v="5"/>
    <x v="3"/>
    <x v="94"/>
    <x v="69"/>
    <x v="14"/>
    <x v="31"/>
    <x v="378"/>
    <x v="781"/>
    <x v="824"/>
    <x v="802"/>
    <x v="830"/>
    <x v="687"/>
    <x v="66"/>
    <x v="140"/>
    <x v="750"/>
    <x v="66"/>
    <x v="1"/>
  </r>
  <r>
    <x v="0"/>
    <x v="0"/>
    <x v="6"/>
    <x v="2"/>
    <x v="1"/>
    <x v="3"/>
    <x v="28"/>
    <x v="68"/>
    <x v="51"/>
    <x v="33"/>
    <x v="379"/>
    <x v="782"/>
    <x v="825"/>
    <x v="803"/>
    <x v="831"/>
    <x v="688"/>
    <x v="126"/>
    <x v="17"/>
    <x v="546"/>
    <x v="126"/>
    <x v="0"/>
  </r>
  <r>
    <x v="39"/>
    <x v="0"/>
    <x v="8"/>
    <x v="0"/>
    <x v="6"/>
    <x v="0"/>
    <x v="76"/>
    <x v="51"/>
    <x v="80"/>
    <x v="101"/>
    <x v="153"/>
    <x v="783"/>
    <x v="826"/>
    <x v="804"/>
    <x v="832"/>
    <x v="582"/>
    <x v="132"/>
    <x v="20"/>
    <x v="557"/>
    <x v="132"/>
    <x v="2"/>
  </r>
  <r>
    <x v="55"/>
    <x v="1"/>
    <x v="3"/>
    <x v="1"/>
    <x v="2"/>
    <x v="0"/>
    <x v="97"/>
    <x v="47"/>
    <x v="85"/>
    <x v="90"/>
    <x v="133"/>
    <x v="166"/>
    <x v="827"/>
    <x v="805"/>
    <x v="833"/>
    <x v="689"/>
    <x v="110"/>
    <x v="51"/>
    <x v="751"/>
    <x v="110"/>
    <x v="2"/>
  </r>
  <r>
    <x v="30"/>
    <x v="1"/>
    <x v="5"/>
    <x v="1"/>
    <x v="4"/>
    <x v="2"/>
    <x v="113"/>
    <x v="53"/>
    <x v="19"/>
    <x v="63"/>
    <x v="116"/>
    <x v="784"/>
    <x v="828"/>
    <x v="806"/>
    <x v="834"/>
    <x v="690"/>
    <x v="132"/>
    <x v="203"/>
    <x v="430"/>
    <x v="132"/>
    <x v="1"/>
  </r>
  <r>
    <x v="43"/>
    <x v="0"/>
    <x v="4"/>
    <x v="1"/>
    <x v="1"/>
    <x v="3"/>
    <x v="82"/>
    <x v="14"/>
    <x v="65"/>
    <x v="108"/>
    <x v="200"/>
    <x v="785"/>
    <x v="829"/>
    <x v="807"/>
    <x v="835"/>
    <x v="504"/>
    <x v="16"/>
    <x v="182"/>
    <x v="752"/>
    <x v="16"/>
    <x v="2"/>
  </r>
  <r>
    <x v="55"/>
    <x v="0"/>
    <x v="4"/>
    <x v="0"/>
    <x v="0"/>
    <x v="0"/>
    <x v="10"/>
    <x v="29"/>
    <x v="59"/>
    <x v="152"/>
    <x v="380"/>
    <x v="786"/>
    <x v="830"/>
    <x v="808"/>
    <x v="836"/>
    <x v="688"/>
    <x v="41"/>
    <x v="115"/>
    <x v="753"/>
    <x v="41"/>
    <x v="2"/>
  </r>
  <r>
    <x v="21"/>
    <x v="0"/>
    <x v="3"/>
    <x v="4"/>
    <x v="5"/>
    <x v="2"/>
    <x v="76"/>
    <x v="34"/>
    <x v="60"/>
    <x v="109"/>
    <x v="381"/>
    <x v="787"/>
    <x v="831"/>
    <x v="809"/>
    <x v="837"/>
    <x v="691"/>
    <x v="28"/>
    <x v="39"/>
    <x v="754"/>
    <x v="28"/>
    <x v="0"/>
  </r>
  <r>
    <x v="27"/>
    <x v="1"/>
    <x v="0"/>
    <x v="2"/>
    <x v="1"/>
    <x v="1"/>
    <x v="34"/>
    <x v="9"/>
    <x v="88"/>
    <x v="131"/>
    <x v="367"/>
    <x v="788"/>
    <x v="832"/>
    <x v="810"/>
    <x v="838"/>
    <x v="660"/>
    <x v="114"/>
    <x v="162"/>
    <x v="755"/>
    <x v="114"/>
    <x v="0"/>
  </r>
  <r>
    <x v="6"/>
    <x v="0"/>
    <x v="1"/>
    <x v="3"/>
    <x v="3"/>
    <x v="0"/>
    <x v="45"/>
    <x v="75"/>
    <x v="61"/>
    <x v="71"/>
    <x v="102"/>
    <x v="789"/>
    <x v="833"/>
    <x v="811"/>
    <x v="839"/>
    <x v="692"/>
    <x v="176"/>
    <x v="46"/>
    <x v="48"/>
    <x v="176"/>
    <x v="2"/>
  </r>
  <r>
    <x v="50"/>
    <x v="1"/>
    <x v="5"/>
    <x v="1"/>
    <x v="2"/>
    <x v="2"/>
    <x v="77"/>
    <x v="41"/>
    <x v="59"/>
    <x v="152"/>
    <x v="179"/>
    <x v="719"/>
    <x v="834"/>
    <x v="418"/>
    <x v="840"/>
    <x v="693"/>
    <x v="50"/>
    <x v="39"/>
    <x v="756"/>
    <x v="50"/>
    <x v="2"/>
  </r>
  <r>
    <x v="54"/>
    <x v="1"/>
    <x v="6"/>
    <x v="2"/>
    <x v="0"/>
    <x v="2"/>
    <x v="90"/>
    <x v="78"/>
    <x v="79"/>
    <x v="111"/>
    <x v="15"/>
    <x v="446"/>
    <x v="835"/>
    <x v="812"/>
    <x v="841"/>
    <x v="592"/>
    <x v="99"/>
    <x v="152"/>
    <x v="757"/>
    <x v="99"/>
    <x v="0"/>
  </r>
  <r>
    <x v="36"/>
    <x v="0"/>
    <x v="4"/>
    <x v="0"/>
    <x v="1"/>
    <x v="3"/>
    <x v="91"/>
    <x v="32"/>
    <x v="41"/>
    <x v="47"/>
    <x v="293"/>
    <x v="790"/>
    <x v="836"/>
    <x v="813"/>
    <x v="842"/>
    <x v="694"/>
    <x v="49"/>
    <x v="89"/>
    <x v="114"/>
    <x v="49"/>
    <x v="1"/>
  </r>
  <r>
    <x v="11"/>
    <x v="0"/>
    <x v="5"/>
    <x v="1"/>
    <x v="4"/>
    <x v="1"/>
    <x v="72"/>
    <x v="24"/>
    <x v="12"/>
    <x v="34"/>
    <x v="256"/>
    <x v="791"/>
    <x v="837"/>
    <x v="814"/>
    <x v="843"/>
    <x v="695"/>
    <x v="21"/>
    <x v="0"/>
    <x v="698"/>
    <x v="21"/>
    <x v="1"/>
  </r>
  <r>
    <x v="20"/>
    <x v="0"/>
    <x v="3"/>
    <x v="0"/>
    <x v="1"/>
    <x v="3"/>
    <x v="33"/>
    <x v="8"/>
    <x v="42"/>
    <x v="59"/>
    <x v="106"/>
    <x v="792"/>
    <x v="838"/>
    <x v="815"/>
    <x v="844"/>
    <x v="696"/>
    <x v="150"/>
    <x v="131"/>
    <x v="758"/>
    <x v="150"/>
    <x v="1"/>
  </r>
  <r>
    <x v="21"/>
    <x v="1"/>
    <x v="8"/>
    <x v="0"/>
    <x v="3"/>
    <x v="2"/>
    <x v="58"/>
    <x v="54"/>
    <x v="30"/>
    <x v="58"/>
    <x v="382"/>
    <x v="188"/>
    <x v="839"/>
    <x v="816"/>
    <x v="845"/>
    <x v="697"/>
    <x v="62"/>
    <x v="174"/>
    <x v="759"/>
    <x v="62"/>
    <x v="0"/>
  </r>
  <r>
    <x v="7"/>
    <x v="1"/>
    <x v="4"/>
    <x v="3"/>
    <x v="3"/>
    <x v="1"/>
    <x v="63"/>
    <x v="45"/>
    <x v="22"/>
    <x v="9"/>
    <x v="123"/>
    <x v="793"/>
    <x v="840"/>
    <x v="817"/>
    <x v="846"/>
    <x v="698"/>
    <x v="149"/>
    <x v="151"/>
    <x v="760"/>
    <x v="149"/>
    <x v="2"/>
  </r>
  <r>
    <x v="25"/>
    <x v="0"/>
    <x v="7"/>
    <x v="0"/>
    <x v="6"/>
    <x v="2"/>
    <x v="104"/>
    <x v="42"/>
    <x v="65"/>
    <x v="73"/>
    <x v="292"/>
    <x v="794"/>
    <x v="841"/>
    <x v="818"/>
    <x v="847"/>
    <x v="699"/>
    <x v="106"/>
    <x v="163"/>
    <x v="761"/>
    <x v="106"/>
    <x v="0"/>
  </r>
  <r>
    <x v="4"/>
    <x v="1"/>
    <x v="7"/>
    <x v="1"/>
    <x v="5"/>
    <x v="0"/>
    <x v="66"/>
    <x v="63"/>
    <x v="45"/>
    <x v="16"/>
    <x v="226"/>
    <x v="795"/>
    <x v="842"/>
    <x v="101"/>
    <x v="848"/>
    <x v="700"/>
    <x v="30"/>
    <x v="105"/>
    <x v="762"/>
    <x v="30"/>
    <x v="1"/>
  </r>
  <r>
    <x v="0"/>
    <x v="0"/>
    <x v="3"/>
    <x v="2"/>
    <x v="6"/>
    <x v="1"/>
    <x v="113"/>
    <x v="0"/>
    <x v="70"/>
    <x v="100"/>
    <x v="383"/>
    <x v="796"/>
    <x v="843"/>
    <x v="801"/>
    <x v="849"/>
    <x v="701"/>
    <x v="147"/>
    <x v="114"/>
    <x v="298"/>
    <x v="147"/>
    <x v="0"/>
  </r>
  <r>
    <x v="58"/>
    <x v="0"/>
    <x v="8"/>
    <x v="0"/>
    <x v="1"/>
    <x v="2"/>
    <x v="111"/>
    <x v="38"/>
    <x v="10"/>
    <x v="16"/>
    <x v="172"/>
    <x v="392"/>
    <x v="844"/>
    <x v="819"/>
    <x v="850"/>
    <x v="702"/>
    <x v="85"/>
    <x v="185"/>
    <x v="763"/>
    <x v="85"/>
    <x v="0"/>
  </r>
  <r>
    <x v="17"/>
    <x v="1"/>
    <x v="6"/>
    <x v="2"/>
    <x v="2"/>
    <x v="0"/>
    <x v="12"/>
    <x v="21"/>
    <x v="35"/>
    <x v="11"/>
    <x v="220"/>
    <x v="797"/>
    <x v="845"/>
    <x v="820"/>
    <x v="851"/>
    <x v="263"/>
    <x v="67"/>
    <x v="120"/>
    <x v="764"/>
    <x v="67"/>
    <x v="1"/>
  </r>
  <r>
    <x v="16"/>
    <x v="1"/>
    <x v="2"/>
    <x v="1"/>
    <x v="2"/>
    <x v="1"/>
    <x v="86"/>
    <x v="63"/>
    <x v="43"/>
    <x v="72"/>
    <x v="200"/>
    <x v="798"/>
    <x v="846"/>
    <x v="821"/>
    <x v="852"/>
    <x v="349"/>
    <x v="23"/>
    <x v="59"/>
    <x v="765"/>
    <x v="23"/>
    <x v="0"/>
  </r>
  <r>
    <x v="33"/>
    <x v="0"/>
    <x v="8"/>
    <x v="3"/>
    <x v="1"/>
    <x v="1"/>
    <x v="49"/>
    <x v="79"/>
    <x v="10"/>
    <x v="149"/>
    <x v="117"/>
    <x v="799"/>
    <x v="847"/>
    <x v="822"/>
    <x v="853"/>
    <x v="703"/>
    <x v="134"/>
    <x v="8"/>
    <x v="766"/>
    <x v="134"/>
    <x v="2"/>
  </r>
  <r>
    <x v="23"/>
    <x v="0"/>
    <x v="4"/>
    <x v="0"/>
    <x v="6"/>
    <x v="2"/>
    <x v="109"/>
    <x v="34"/>
    <x v="36"/>
    <x v="74"/>
    <x v="384"/>
    <x v="524"/>
    <x v="848"/>
    <x v="823"/>
    <x v="854"/>
    <x v="704"/>
    <x v="24"/>
    <x v="73"/>
    <x v="767"/>
    <x v="24"/>
    <x v="1"/>
  </r>
  <r>
    <x v="17"/>
    <x v="0"/>
    <x v="4"/>
    <x v="4"/>
    <x v="6"/>
    <x v="2"/>
    <x v="62"/>
    <x v="51"/>
    <x v="67"/>
    <x v="70"/>
    <x v="338"/>
    <x v="800"/>
    <x v="849"/>
    <x v="824"/>
    <x v="855"/>
    <x v="705"/>
    <x v="8"/>
    <x v="199"/>
    <x v="768"/>
    <x v="8"/>
    <x v="1"/>
  </r>
  <r>
    <x v="53"/>
    <x v="1"/>
    <x v="1"/>
    <x v="4"/>
    <x v="3"/>
    <x v="1"/>
    <x v="70"/>
    <x v="34"/>
    <x v="77"/>
    <x v="61"/>
    <x v="6"/>
    <x v="801"/>
    <x v="850"/>
    <x v="825"/>
    <x v="856"/>
    <x v="346"/>
    <x v="116"/>
    <x v="204"/>
    <x v="769"/>
    <x v="116"/>
    <x v="1"/>
  </r>
  <r>
    <x v="33"/>
    <x v="0"/>
    <x v="1"/>
    <x v="3"/>
    <x v="2"/>
    <x v="0"/>
    <x v="53"/>
    <x v="25"/>
    <x v="50"/>
    <x v="135"/>
    <x v="385"/>
    <x v="325"/>
    <x v="851"/>
    <x v="826"/>
    <x v="857"/>
    <x v="71"/>
    <x v="1"/>
    <x v="181"/>
    <x v="770"/>
    <x v="1"/>
    <x v="2"/>
  </r>
  <r>
    <x v="46"/>
    <x v="1"/>
    <x v="0"/>
    <x v="1"/>
    <x v="1"/>
    <x v="3"/>
    <x v="17"/>
    <x v="26"/>
    <x v="53"/>
    <x v="66"/>
    <x v="83"/>
    <x v="802"/>
    <x v="852"/>
    <x v="827"/>
    <x v="858"/>
    <x v="19"/>
    <x v="55"/>
    <x v="38"/>
    <x v="771"/>
    <x v="55"/>
    <x v="1"/>
  </r>
  <r>
    <x v="7"/>
    <x v="0"/>
    <x v="9"/>
    <x v="0"/>
    <x v="5"/>
    <x v="3"/>
    <x v="113"/>
    <x v="71"/>
    <x v="14"/>
    <x v="101"/>
    <x v="386"/>
    <x v="803"/>
    <x v="853"/>
    <x v="828"/>
    <x v="859"/>
    <x v="706"/>
    <x v="34"/>
    <x v="205"/>
    <x v="772"/>
    <x v="34"/>
    <x v="2"/>
  </r>
  <r>
    <x v="1"/>
    <x v="1"/>
    <x v="4"/>
    <x v="4"/>
    <x v="1"/>
    <x v="0"/>
    <x v="76"/>
    <x v="44"/>
    <x v="25"/>
    <x v="138"/>
    <x v="255"/>
    <x v="804"/>
    <x v="854"/>
    <x v="829"/>
    <x v="860"/>
    <x v="145"/>
    <x v="31"/>
    <x v="69"/>
    <x v="773"/>
    <x v="31"/>
    <x v="1"/>
  </r>
  <r>
    <x v="46"/>
    <x v="0"/>
    <x v="9"/>
    <x v="1"/>
    <x v="1"/>
    <x v="0"/>
    <x v="69"/>
    <x v="45"/>
    <x v="25"/>
    <x v="116"/>
    <x v="207"/>
    <x v="805"/>
    <x v="855"/>
    <x v="830"/>
    <x v="861"/>
    <x v="707"/>
    <x v="54"/>
    <x v="162"/>
    <x v="774"/>
    <x v="54"/>
    <x v="1"/>
  </r>
  <r>
    <x v="35"/>
    <x v="0"/>
    <x v="5"/>
    <x v="3"/>
    <x v="1"/>
    <x v="0"/>
    <x v="2"/>
    <x v="51"/>
    <x v="12"/>
    <x v="154"/>
    <x v="133"/>
    <x v="806"/>
    <x v="856"/>
    <x v="831"/>
    <x v="862"/>
    <x v="114"/>
    <x v="59"/>
    <x v="66"/>
    <x v="775"/>
    <x v="59"/>
    <x v="2"/>
  </r>
  <r>
    <x v="44"/>
    <x v="1"/>
    <x v="9"/>
    <x v="2"/>
    <x v="6"/>
    <x v="0"/>
    <x v="56"/>
    <x v="17"/>
    <x v="5"/>
    <x v="5"/>
    <x v="131"/>
    <x v="807"/>
    <x v="857"/>
    <x v="832"/>
    <x v="863"/>
    <x v="708"/>
    <x v="66"/>
    <x v="179"/>
    <x v="776"/>
    <x v="66"/>
    <x v="2"/>
  </r>
  <r>
    <x v="53"/>
    <x v="1"/>
    <x v="7"/>
    <x v="0"/>
    <x v="0"/>
    <x v="2"/>
    <x v="112"/>
    <x v="16"/>
    <x v="64"/>
    <x v="144"/>
    <x v="119"/>
    <x v="163"/>
    <x v="858"/>
    <x v="833"/>
    <x v="864"/>
    <x v="709"/>
    <x v="81"/>
    <x v="200"/>
    <x v="777"/>
    <x v="81"/>
    <x v="1"/>
  </r>
  <r>
    <x v="26"/>
    <x v="1"/>
    <x v="7"/>
    <x v="1"/>
    <x v="4"/>
    <x v="1"/>
    <x v="90"/>
    <x v="56"/>
    <x v="70"/>
    <x v="61"/>
    <x v="244"/>
    <x v="808"/>
    <x v="859"/>
    <x v="834"/>
    <x v="865"/>
    <x v="506"/>
    <x v="36"/>
    <x v="37"/>
    <x v="778"/>
    <x v="36"/>
    <x v="2"/>
  </r>
  <r>
    <x v="19"/>
    <x v="0"/>
    <x v="9"/>
    <x v="4"/>
    <x v="6"/>
    <x v="2"/>
    <x v="60"/>
    <x v="20"/>
    <x v="47"/>
    <x v="92"/>
    <x v="226"/>
    <x v="809"/>
    <x v="860"/>
    <x v="835"/>
    <x v="866"/>
    <x v="710"/>
    <x v="74"/>
    <x v="48"/>
    <x v="779"/>
    <x v="74"/>
    <x v="1"/>
  </r>
  <r>
    <x v="39"/>
    <x v="0"/>
    <x v="3"/>
    <x v="0"/>
    <x v="4"/>
    <x v="0"/>
    <x v="79"/>
    <x v="10"/>
    <x v="37"/>
    <x v="84"/>
    <x v="32"/>
    <x v="113"/>
    <x v="861"/>
    <x v="836"/>
    <x v="867"/>
    <x v="711"/>
    <x v="55"/>
    <x v="143"/>
    <x v="596"/>
    <x v="55"/>
    <x v="2"/>
  </r>
  <r>
    <x v="31"/>
    <x v="1"/>
    <x v="8"/>
    <x v="2"/>
    <x v="0"/>
    <x v="3"/>
    <x v="80"/>
    <x v="19"/>
    <x v="8"/>
    <x v="125"/>
    <x v="223"/>
    <x v="810"/>
    <x v="862"/>
    <x v="837"/>
    <x v="868"/>
    <x v="712"/>
    <x v="93"/>
    <x v="178"/>
    <x v="780"/>
    <x v="93"/>
    <x v="2"/>
  </r>
  <r>
    <x v="50"/>
    <x v="1"/>
    <x v="6"/>
    <x v="4"/>
    <x v="0"/>
    <x v="1"/>
    <x v="59"/>
    <x v="13"/>
    <x v="22"/>
    <x v="123"/>
    <x v="378"/>
    <x v="811"/>
    <x v="863"/>
    <x v="838"/>
    <x v="869"/>
    <x v="200"/>
    <x v="80"/>
    <x v="200"/>
    <x v="781"/>
    <x v="80"/>
    <x v="2"/>
  </r>
  <r>
    <x v="0"/>
    <x v="0"/>
    <x v="4"/>
    <x v="0"/>
    <x v="5"/>
    <x v="2"/>
    <x v="83"/>
    <x v="20"/>
    <x v="21"/>
    <x v="144"/>
    <x v="68"/>
    <x v="812"/>
    <x v="864"/>
    <x v="839"/>
    <x v="870"/>
    <x v="713"/>
    <x v="180"/>
    <x v="70"/>
    <x v="782"/>
    <x v="180"/>
    <x v="0"/>
  </r>
  <r>
    <x v="14"/>
    <x v="0"/>
    <x v="3"/>
    <x v="2"/>
    <x v="5"/>
    <x v="2"/>
    <x v="85"/>
    <x v="52"/>
    <x v="42"/>
    <x v="134"/>
    <x v="158"/>
    <x v="813"/>
    <x v="865"/>
    <x v="840"/>
    <x v="871"/>
    <x v="714"/>
    <x v="123"/>
    <x v="158"/>
    <x v="783"/>
    <x v="123"/>
    <x v="2"/>
  </r>
  <r>
    <x v="35"/>
    <x v="1"/>
    <x v="6"/>
    <x v="4"/>
    <x v="4"/>
    <x v="3"/>
    <x v="9"/>
    <x v="36"/>
    <x v="47"/>
    <x v="8"/>
    <x v="1"/>
    <x v="543"/>
    <x v="866"/>
    <x v="739"/>
    <x v="872"/>
    <x v="715"/>
    <x v="71"/>
    <x v="136"/>
    <x v="784"/>
    <x v="71"/>
    <x v="2"/>
  </r>
  <r>
    <x v="52"/>
    <x v="0"/>
    <x v="9"/>
    <x v="3"/>
    <x v="2"/>
    <x v="1"/>
    <x v="31"/>
    <x v="66"/>
    <x v="74"/>
    <x v="146"/>
    <x v="206"/>
    <x v="814"/>
    <x v="867"/>
    <x v="841"/>
    <x v="873"/>
    <x v="716"/>
    <x v="82"/>
    <x v="141"/>
    <x v="48"/>
    <x v="82"/>
    <x v="2"/>
  </r>
  <r>
    <x v="1"/>
    <x v="0"/>
    <x v="3"/>
    <x v="2"/>
    <x v="1"/>
    <x v="3"/>
    <x v="102"/>
    <x v="44"/>
    <x v="16"/>
    <x v="27"/>
    <x v="203"/>
    <x v="815"/>
    <x v="868"/>
    <x v="842"/>
    <x v="874"/>
    <x v="717"/>
    <x v="126"/>
    <x v="154"/>
    <x v="785"/>
    <x v="126"/>
    <x v="1"/>
  </r>
  <r>
    <x v="39"/>
    <x v="1"/>
    <x v="3"/>
    <x v="4"/>
    <x v="6"/>
    <x v="2"/>
    <x v="53"/>
    <x v="1"/>
    <x v="46"/>
    <x v="58"/>
    <x v="164"/>
    <x v="181"/>
    <x v="869"/>
    <x v="843"/>
    <x v="875"/>
    <x v="718"/>
    <x v="132"/>
    <x v="17"/>
    <x v="786"/>
    <x v="132"/>
    <x v="2"/>
  </r>
  <r>
    <x v="12"/>
    <x v="1"/>
    <x v="2"/>
    <x v="2"/>
    <x v="0"/>
    <x v="3"/>
    <x v="7"/>
    <x v="11"/>
    <x v="54"/>
    <x v="154"/>
    <x v="387"/>
    <x v="816"/>
    <x v="870"/>
    <x v="844"/>
    <x v="876"/>
    <x v="719"/>
    <x v="16"/>
    <x v="128"/>
    <x v="787"/>
    <x v="16"/>
    <x v="0"/>
  </r>
  <r>
    <x v="42"/>
    <x v="1"/>
    <x v="5"/>
    <x v="0"/>
    <x v="5"/>
    <x v="0"/>
    <x v="27"/>
    <x v="40"/>
    <x v="33"/>
    <x v="24"/>
    <x v="232"/>
    <x v="598"/>
    <x v="871"/>
    <x v="845"/>
    <x v="877"/>
    <x v="720"/>
    <x v="54"/>
    <x v="55"/>
    <x v="788"/>
    <x v="54"/>
    <x v="2"/>
  </r>
  <r>
    <x v="18"/>
    <x v="1"/>
    <x v="1"/>
    <x v="3"/>
    <x v="4"/>
    <x v="0"/>
    <x v="102"/>
    <x v="39"/>
    <x v="26"/>
    <x v="120"/>
    <x v="272"/>
    <x v="817"/>
    <x v="872"/>
    <x v="234"/>
    <x v="878"/>
    <x v="721"/>
    <x v="181"/>
    <x v="60"/>
    <x v="789"/>
    <x v="181"/>
    <x v="2"/>
  </r>
  <r>
    <x v="25"/>
    <x v="0"/>
    <x v="1"/>
    <x v="4"/>
    <x v="4"/>
    <x v="2"/>
    <x v="92"/>
    <x v="61"/>
    <x v="9"/>
    <x v="24"/>
    <x v="155"/>
    <x v="818"/>
    <x v="873"/>
    <x v="846"/>
    <x v="879"/>
    <x v="662"/>
    <x v="3"/>
    <x v="133"/>
    <x v="790"/>
    <x v="3"/>
    <x v="0"/>
  </r>
  <r>
    <x v="36"/>
    <x v="0"/>
    <x v="2"/>
    <x v="0"/>
    <x v="4"/>
    <x v="2"/>
    <x v="46"/>
    <x v="49"/>
    <x v="13"/>
    <x v="42"/>
    <x v="343"/>
    <x v="819"/>
    <x v="874"/>
    <x v="847"/>
    <x v="880"/>
    <x v="722"/>
    <x v="10"/>
    <x v="206"/>
    <x v="791"/>
    <x v="10"/>
    <x v="1"/>
  </r>
  <r>
    <x v="42"/>
    <x v="0"/>
    <x v="1"/>
    <x v="4"/>
    <x v="5"/>
    <x v="0"/>
    <x v="111"/>
    <x v="77"/>
    <x v="22"/>
    <x v="149"/>
    <x v="210"/>
    <x v="820"/>
    <x v="875"/>
    <x v="848"/>
    <x v="881"/>
    <x v="723"/>
    <x v="8"/>
    <x v="137"/>
    <x v="225"/>
    <x v="8"/>
    <x v="2"/>
  </r>
  <r>
    <x v="19"/>
    <x v="1"/>
    <x v="6"/>
    <x v="4"/>
    <x v="5"/>
    <x v="3"/>
    <x v="32"/>
    <x v="4"/>
    <x v="77"/>
    <x v="92"/>
    <x v="56"/>
    <x v="821"/>
    <x v="876"/>
    <x v="849"/>
    <x v="882"/>
    <x v="696"/>
    <x v="92"/>
    <x v="53"/>
    <x v="792"/>
    <x v="92"/>
    <x v="1"/>
  </r>
  <r>
    <x v="39"/>
    <x v="0"/>
    <x v="3"/>
    <x v="4"/>
    <x v="5"/>
    <x v="2"/>
    <x v="64"/>
    <x v="23"/>
    <x v="73"/>
    <x v="149"/>
    <x v="214"/>
    <x v="822"/>
    <x v="877"/>
    <x v="850"/>
    <x v="883"/>
    <x v="724"/>
    <x v="35"/>
    <x v="1"/>
    <x v="793"/>
    <x v="35"/>
    <x v="2"/>
  </r>
  <r>
    <x v="2"/>
    <x v="0"/>
    <x v="3"/>
    <x v="1"/>
    <x v="2"/>
    <x v="1"/>
    <x v="17"/>
    <x v="30"/>
    <x v="33"/>
    <x v="135"/>
    <x v="358"/>
    <x v="823"/>
    <x v="878"/>
    <x v="851"/>
    <x v="884"/>
    <x v="725"/>
    <x v="92"/>
    <x v="207"/>
    <x v="794"/>
    <x v="92"/>
    <x v="2"/>
  </r>
  <r>
    <x v="59"/>
    <x v="1"/>
    <x v="8"/>
    <x v="0"/>
    <x v="5"/>
    <x v="3"/>
    <x v="108"/>
    <x v="20"/>
    <x v="18"/>
    <x v="68"/>
    <x v="117"/>
    <x v="824"/>
    <x v="879"/>
    <x v="852"/>
    <x v="885"/>
    <x v="726"/>
    <x v="118"/>
    <x v="131"/>
    <x v="795"/>
    <x v="118"/>
    <x v="0"/>
  </r>
  <r>
    <x v="4"/>
    <x v="1"/>
    <x v="8"/>
    <x v="2"/>
    <x v="6"/>
    <x v="0"/>
    <x v="75"/>
    <x v="0"/>
    <x v="60"/>
    <x v="116"/>
    <x v="59"/>
    <x v="825"/>
    <x v="880"/>
    <x v="853"/>
    <x v="886"/>
    <x v="727"/>
    <x v="49"/>
    <x v="208"/>
    <x v="796"/>
    <x v="49"/>
    <x v="1"/>
  </r>
  <r>
    <x v="24"/>
    <x v="1"/>
    <x v="7"/>
    <x v="2"/>
    <x v="6"/>
    <x v="3"/>
    <x v="3"/>
    <x v="2"/>
    <x v="7"/>
    <x v="115"/>
    <x v="179"/>
    <x v="826"/>
    <x v="881"/>
    <x v="854"/>
    <x v="887"/>
    <x v="627"/>
    <x v="145"/>
    <x v="146"/>
    <x v="797"/>
    <x v="145"/>
    <x v="1"/>
  </r>
  <r>
    <x v="19"/>
    <x v="1"/>
    <x v="7"/>
    <x v="2"/>
    <x v="4"/>
    <x v="0"/>
    <x v="40"/>
    <x v="76"/>
    <x v="88"/>
    <x v="41"/>
    <x v="388"/>
    <x v="827"/>
    <x v="882"/>
    <x v="855"/>
    <x v="888"/>
    <x v="117"/>
    <x v="74"/>
    <x v="200"/>
    <x v="798"/>
    <x v="74"/>
    <x v="1"/>
  </r>
  <r>
    <x v="59"/>
    <x v="0"/>
    <x v="6"/>
    <x v="1"/>
    <x v="1"/>
    <x v="0"/>
    <x v="79"/>
    <x v="1"/>
    <x v="5"/>
    <x v="26"/>
    <x v="389"/>
    <x v="828"/>
    <x v="883"/>
    <x v="856"/>
    <x v="889"/>
    <x v="728"/>
    <x v="31"/>
    <x v="37"/>
    <x v="799"/>
    <x v="31"/>
    <x v="0"/>
  </r>
  <r>
    <x v="45"/>
    <x v="0"/>
    <x v="8"/>
    <x v="4"/>
    <x v="4"/>
    <x v="2"/>
    <x v="37"/>
    <x v="41"/>
    <x v="87"/>
    <x v="42"/>
    <x v="67"/>
    <x v="741"/>
    <x v="884"/>
    <x v="857"/>
    <x v="890"/>
    <x v="621"/>
    <x v="54"/>
    <x v="53"/>
    <x v="509"/>
    <x v="54"/>
    <x v="2"/>
  </r>
  <r>
    <x v="36"/>
    <x v="1"/>
    <x v="8"/>
    <x v="4"/>
    <x v="1"/>
    <x v="3"/>
    <x v="44"/>
    <x v="50"/>
    <x v="14"/>
    <x v="155"/>
    <x v="29"/>
    <x v="829"/>
    <x v="885"/>
    <x v="858"/>
    <x v="891"/>
    <x v="425"/>
    <x v="147"/>
    <x v="182"/>
    <x v="800"/>
    <x v="147"/>
    <x v="1"/>
  </r>
  <r>
    <x v="7"/>
    <x v="1"/>
    <x v="9"/>
    <x v="2"/>
    <x v="0"/>
    <x v="1"/>
    <x v="8"/>
    <x v="20"/>
    <x v="82"/>
    <x v="35"/>
    <x v="390"/>
    <x v="830"/>
    <x v="886"/>
    <x v="859"/>
    <x v="892"/>
    <x v="729"/>
    <x v="13"/>
    <x v="42"/>
    <x v="362"/>
    <x v="13"/>
    <x v="2"/>
  </r>
  <r>
    <x v="6"/>
    <x v="1"/>
    <x v="8"/>
    <x v="1"/>
    <x v="0"/>
    <x v="3"/>
    <x v="67"/>
    <x v="60"/>
    <x v="8"/>
    <x v="74"/>
    <x v="109"/>
    <x v="831"/>
    <x v="887"/>
    <x v="860"/>
    <x v="893"/>
    <x v="730"/>
    <x v="94"/>
    <x v="199"/>
    <x v="801"/>
    <x v="94"/>
    <x v="2"/>
  </r>
  <r>
    <x v="7"/>
    <x v="0"/>
    <x v="3"/>
    <x v="3"/>
    <x v="2"/>
    <x v="0"/>
    <x v="99"/>
    <x v="37"/>
    <x v="64"/>
    <x v="66"/>
    <x v="31"/>
    <x v="832"/>
    <x v="888"/>
    <x v="861"/>
    <x v="894"/>
    <x v="731"/>
    <x v="63"/>
    <x v="31"/>
    <x v="802"/>
    <x v="63"/>
    <x v="2"/>
  </r>
  <r>
    <x v="46"/>
    <x v="1"/>
    <x v="0"/>
    <x v="2"/>
    <x v="4"/>
    <x v="3"/>
    <x v="53"/>
    <x v="49"/>
    <x v="2"/>
    <x v="142"/>
    <x v="314"/>
    <x v="833"/>
    <x v="889"/>
    <x v="862"/>
    <x v="895"/>
    <x v="617"/>
    <x v="36"/>
    <x v="115"/>
    <x v="803"/>
    <x v="36"/>
    <x v="1"/>
  </r>
  <r>
    <x v="5"/>
    <x v="0"/>
    <x v="2"/>
    <x v="3"/>
    <x v="3"/>
    <x v="2"/>
    <x v="55"/>
    <x v="31"/>
    <x v="39"/>
    <x v="145"/>
    <x v="391"/>
    <x v="834"/>
    <x v="890"/>
    <x v="863"/>
    <x v="896"/>
    <x v="732"/>
    <x v="116"/>
    <x v="179"/>
    <x v="804"/>
    <x v="116"/>
    <x v="2"/>
  </r>
  <r>
    <x v="55"/>
    <x v="0"/>
    <x v="4"/>
    <x v="4"/>
    <x v="2"/>
    <x v="0"/>
    <x v="74"/>
    <x v="3"/>
    <x v="2"/>
    <x v="42"/>
    <x v="21"/>
    <x v="835"/>
    <x v="891"/>
    <x v="864"/>
    <x v="897"/>
    <x v="619"/>
    <x v="58"/>
    <x v="142"/>
    <x v="805"/>
    <x v="58"/>
    <x v="2"/>
  </r>
  <r>
    <x v="49"/>
    <x v="0"/>
    <x v="8"/>
    <x v="4"/>
    <x v="5"/>
    <x v="1"/>
    <x v="64"/>
    <x v="19"/>
    <x v="49"/>
    <x v="134"/>
    <x v="98"/>
    <x v="836"/>
    <x v="892"/>
    <x v="865"/>
    <x v="898"/>
    <x v="733"/>
    <x v="62"/>
    <x v="88"/>
    <x v="806"/>
    <x v="62"/>
    <x v="1"/>
  </r>
  <r>
    <x v="54"/>
    <x v="0"/>
    <x v="9"/>
    <x v="1"/>
    <x v="5"/>
    <x v="2"/>
    <x v="101"/>
    <x v="46"/>
    <x v="15"/>
    <x v="80"/>
    <x v="178"/>
    <x v="837"/>
    <x v="893"/>
    <x v="866"/>
    <x v="899"/>
    <x v="734"/>
    <x v="127"/>
    <x v="31"/>
    <x v="807"/>
    <x v="127"/>
    <x v="0"/>
  </r>
  <r>
    <x v="26"/>
    <x v="1"/>
    <x v="1"/>
    <x v="3"/>
    <x v="1"/>
    <x v="3"/>
    <x v="56"/>
    <x v="75"/>
    <x v="8"/>
    <x v="122"/>
    <x v="154"/>
    <x v="838"/>
    <x v="894"/>
    <x v="867"/>
    <x v="900"/>
    <x v="735"/>
    <x v="88"/>
    <x v="22"/>
    <x v="808"/>
    <x v="88"/>
    <x v="2"/>
  </r>
  <r>
    <x v="46"/>
    <x v="1"/>
    <x v="9"/>
    <x v="0"/>
    <x v="6"/>
    <x v="0"/>
    <x v="63"/>
    <x v="5"/>
    <x v="19"/>
    <x v="23"/>
    <x v="392"/>
    <x v="150"/>
    <x v="895"/>
    <x v="868"/>
    <x v="901"/>
    <x v="736"/>
    <x v="24"/>
    <x v="161"/>
    <x v="482"/>
    <x v="24"/>
    <x v="1"/>
  </r>
  <r>
    <x v="17"/>
    <x v="0"/>
    <x v="6"/>
    <x v="0"/>
    <x v="5"/>
    <x v="3"/>
    <x v="83"/>
    <x v="1"/>
    <x v="10"/>
    <x v="22"/>
    <x v="316"/>
    <x v="573"/>
    <x v="896"/>
    <x v="869"/>
    <x v="902"/>
    <x v="737"/>
    <x v="171"/>
    <x v="136"/>
    <x v="809"/>
    <x v="171"/>
    <x v="1"/>
  </r>
  <r>
    <x v="8"/>
    <x v="0"/>
    <x v="3"/>
    <x v="2"/>
    <x v="4"/>
    <x v="0"/>
    <x v="10"/>
    <x v="55"/>
    <x v="24"/>
    <x v="42"/>
    <x v="49"/>
    <x v="839"/>
    <x v="897"/>
    <x v="870"/>
    <x v="903"/>
    <x v="738"/>
    <x v="49"/>
    <x v="203"/>
    <x v="810"/>
    <x v="49"/>
    <x v="2"/>
  </r>
  <r>
    <x v="44"/>
    <x v="0"/>
    <x v="8"/>
    <x v="4"/>
    <x v="0"/>
    <x v="0"/>
    <x v="32"/>
    <x v="75"/>
    <x v="0"/>
    <x v="51"/>
    <x v="151"/>
    <x v="840"/>
    <x v="898"/>
    <x v="871"/>
    <x v="904"/>
    <x v="493"/>
    <x v="57"/>
    <x v="73"/>
    <x v="811"/>
    <x v="57"/>
    <x v="2"/>
  </r>
  <r>
    <x v="17"/>
    <x v="1"/>
    <x v="1"/>
    <x v="4"/>
    <x v="4"/>
    <x v="0"/>
    <x v="71"/>
    <x v="24"/>
    <x v="13"/>
    <x v="129"/>
    <x v="393"/>
    <x v="841"/>
    <x v="899"/>
    <x v="872"/>
    <x v="905"/>
    <x v="151"/>
    <x v="129"/>
    <x v="169"/>
    <x v="812"/>
    <x v="129"/>
    <x v="1"/>
  </r>
  <r>
    <x v="28"/>
    <x v="1"/>
    <x v="8"/>
    <x v="1"/>
    <x v="5"/>
    <x v="2"/>
    <x v="62"/>
    <x v="14"/>
    <x v="80"/>
    <x v="2"/>
    <x v="394"/>
    <x v="842"/>
    <x v="900"/>
    <x v="873"/>
    <x v="906"/>
    <x v="739"/>
    <x v="110"/>
    <x v="131"/>
    <x v="813"/>
    <x v="110"/>
    <x v="0"/>
  </r>
  <r>
    <x v="47"/>
    <x v="1"/>
    <x v="9"/>
    <x v="0"/>
    <x v="6"/>
    <x v="0"/>
    <x v="16"/>
    <x v="16"/>
    <x v="22"/>
    <x v="81"/>
    <x v="258"/>
    <x v="843"/>
    <x v="901"/>
    <x v="874"/>
    <x v="907"/>
    <x v="740"/>
    <x v="113"/>
    <x v="49"/>
    <x v="814"/>
    <x v="113"/>
    <x v="0"/>
  </r>
  <r>
    <x v="37"/>
    <x v="0"/>
    <x v="7"/>
    <x v="1"/>
    <x v="3"/>
    <x v="0"/>
    <x v="92"/>
    <x v="51"/>
    <x v="3"/>
    <x v="154"/>
    <x v="347"/>
    <x v="844"/>
    <x v="902"/>
    <x v="875"/>
    <x v="908"/>
    <x v="741"/>
    <x v="146"/>
    <x v="66"/>
    <x v="815"/>
    <x v="146"/>
    <x v="2"/>
  </r>
  <r>
    <x v="31"/>
    <x v="1"/>
    <x v="3"/>
    <x v="4"/>
    <x v="3"/>
    <x v="1"/>
    <x v="100"/>
    <x v="74"/>
    <x v="1"/>
    <x v="20"/>
    <x v="181"/>
    <x v="845"/>
    <x v="903"/>
    <x v="876"/>
    <x v="909"/>
    <x v="742"/>
    <x v="123"/>
    <x v="121"/>
    <x v="816"/>
    <x v="123"/>
    <x v="2"/>
  </r>
  <r>
    <x v="38"/>
    <x v="1"/>
    <x v="5"/>
    <x v="4"/>
    <x v="2"/>
    <x v="0"/>
    <x v="58"/>
    <x v="50"/>
    <x v="45"/>
    <x v="134"/>
    <x v="395"/>
    <x v="846"/>
    <x v="904"/>
    <x v="877"/>
    <x v="910"/>
    <x v="743"/>
    <x v="12"/>
    <x v="114"/>
    <x v="817"/>
    <x v="12"/>
    <x v="2"/>
  </r>
  <r>
    <x v="47"/>
    <x v="0"/>
    <x v="4"/>
    <x v="3"/>
    <x v="6"/>
    <x v="1"/>
    <x v="66"/>
    <x v="0"/>
    <x v="69"/>
    <x v="57"/>
    <x v="290"/>
    <x v="847"/>
    <x v="905"/>
    <x v="878"/>
    <x v="911"/>
    <x v="608"/>
    <x v="160"/>
    <x v="203"/>
    <x v="818"/>
    <x v="160"/>
    <x v="0"/>
  </r>
  <r>
    <x v="2"/>
    <x v="1"/>
    <x v="6"/>
    <x v="3"/>
    <x v="5"/>
    <x v="2"/>
    <x v="41"/>
    <x v="25"/>
    <x v="9"/>
    <x v="8"/>
    <x v="26"/>
    <x v="848"/>
    <x v="906"/>
    <x v="879"/>
    <x v="912"/>
    <x v="744"/>
    <x v="116"/>
    <x v="205"/>
    <x v="819"/>
    <x v="116"/>
    <x v="2"/>
  </r>
  <r>
    <x v="37"/>
    <x v="1"/>
    <x v="5"/>
    <x v="2"/>
    <x v="3"/>
    <x v="1"/>
    <x v="91"/>
    <x v="14"/>
    <x v="3"/>
    <x v="157"/>
    <x v="211"/>
    <x v="849"/>
    <x v="907"/>
    <x v="880"/>
    <x v="913"/>
    <x v="745"/>
    <x v="30"/>
    <x v="24"/>
    <x v="259"/>
    <x v="30"/>
    <x v="2"/>
  </r>
  <r>
    <x v="51"/>
    <x v="1"/>
    <x v="3"/>
    <x v="4"/>
    <x v="5"/>
    <x v="0"/>
    <x v="23"/>
    <x v="27"/>
    <x v="76"/>
    <x v="140"/>
    <x v="396"/>
    <x v="850"/>
    <x v="908"/>
    <x v="881"/>
    <x v="914"/>
    <x v="697"/>
    <x v="126"/>
    <x v="180"/>
    <x v="820"/>
    <x v="126"/>
    <x v="2"/>
  </r>
  <r>
    <x v="22"/>
    <x v="0"/>
    <x v="8"/>
    <x v="1"/>
    <x v="6"/>
    <x v="1"/>
    <x v="111"/>
    <x v="69"/>
    <x v="47"/>
    <x v="68"/>
    <x v="255"/>
    <x v="851"/>
    <x v="909"/>
    <x v="882"/>
    <x v="915"/>
    <x v="630"/>
    <x v="94"/>
    <x v="116"/>
    <x v="821"/>
    <x v="94"/>
    <x v="0"/>
  </r>
  <r>
    <x v="58"/>
    <x v="1"/>
    <x v="5"/>
    <x v="4"/>
    <x v="6"/>
    <x v="2"/>
    <x v="26"/>
    <x v="31"/>
    <x v="74"/>
    <x v="103"/>
    <x v="80"/>
    <x v="852"/>
    <x v="910"/>
    <x v="883"/>
    <x v="916"/>
    <x v="280"/>
    <x v="97"/>
    <x v="86"/>
    <x v="822"/>
    <x v="97"/>
    <x v="0"/>
  </r>
  <r>
    <x v="24"/>
    <x v="1"/>
    <x v="3"/>
    <x v="0"/>
    <x v="2"/>
    <x v="0"/>
    <x v="41"/>
    <x v="50"/>
    <x v="54"/>
    <x v="125"/>
    <x v="360"/>
    <x v="853"/>
    <x v="911"/>
    <x v="884"/>
    <x v="917"/>
    <x v="746"/>
    <x v="149"/>
    <x v="87"/>
    <x v="823"/>
    <x v="149"/>
    <x v="1"/>
  </r>
  <r>
    <x v="3"/>
    <x v="0"/>
    <x v="2"/>
    <x v="4"/>
    <x v="5"/>
    <x v="0"/>
    <x v="28"/>
    <x v="21"/>
    <x v="36"/>
    <x v="81"/>
    <x v="102"/>
    <x v="854"/>
    <x v="912"/>
    <x v="885"/>
    <x v="918"/>
    <x v="747"/>
    <x v="133"/>
    <x v="159"/>
    <x v="824"/>
    <x v="133"/>
    <x v="0"/>
  </r>
  <r>
    <x v="31"/>
    <x v="1"/>
    <x v="2"/>
    <x v="0"/>
    <x v="0"/>
    <x v="3"/>
    <x v="117"/>
    <x v="28"/>
    <x v="32"/>
    <x v="135"/>
    <x v="39"/>
    <x v="568"/>
    <x v="913"/>
    <x v="886"/>
    <x v="919"/>
    <x v="748"/>
    <x v="84"/>
    <x v="209"/>
    <x v="825"/>
    <x v="84"/>
    <x v="2"/>
  </r>
  <r>
    <x v="52"/>
    <x v="0"/>
    <x v="0"/>
    <x v="2"/>
    <x v="1"/>
    <x v="0"/>
    <x v="55"/>
    <x v="37"/>
    <x v="83"/>
    <x v="79"/>
    <x v="333"/>
    <x v="855"/>
    <x v="914"/>
    <x v="887"/>
    <x v="920"/>
    <x v="749"/>
    <x v="59"/>
    <x v="2"/>
    <x v="826"/>
    <x v="59"/>
    <x v="2"/>
  </r>
  <r>
    <x v="56"/>
    <x v="1"/>
    <x v="4"/>
    <x v="3"/>
    <x v="6"/>
    <x v="1"/>
    <x v="109"/>
    <x v="0"/>
    <x v="51"/>
    <x v="93"/>
    <x v="281"/>
    <x v="856"/>
    <x v="915"/>
    <x v="888"/>
    <x v="921"/>
    <x v="750"/>
    <x v="151"/>
    <x v="155"/>
    <x v="827"/>
    <x v="151"/>
    <x v="2"/>
  </r>
  <r>
    <x v="1"/>
    <x v="1"/>
    <x v="5"/>
    <x v="1"/>
    <x v="5"/>
    <x v="0"/>
    <x v="113"/>
    <x v="1"/>
    <x v="16"/>
    <x v="129"/>
    <x v="191"/>
    <x v="857"/>
    <x v="916"/>
    <x v="889"/>
    <x v="922"/>
    <x v="397"/>
    <x v="4"/>
    <x v="72"/>
    <x v="828"/>
    <x v="4"/>
    <x v="1"/>
  </r>
  <r>
    <x v="42"/>
    <x v="1"/>
    <x v="8"/>
    <x v="3"/>
    <x v="4"/>
    <x v="0"/>
    <x v="84"/>
    <x v="18"/>
    <x v="19"/>
    <x v="141"/>
    <x v="117"/>
    <x v="858"/>
    <x v="917"/>
    <x v="890"/>
    <x v="923"/>
    <x v="751"/>
    <x v="144"/>
    <x v="51"/>
    <x v="829"/>
    <x v="144"/>
    <x v="2"/>
  </r>
  <r>
    <x v="11"/>
    <x v="0"/>
    <x v="2"/>
    <x v="2"/>
    <x v="3"/>
    <x v="0"/>
    <x v="104"/>
    <x v="13"/>
    <x v="7"/>
    <x v="131"/>
    <x v="70"/>
    <x v="859"/>
    <x v="918"/>
    <x v="891"/>
    <x v="924"/>
    <x v="528"/>
    <x v="9"/>
    <x v="106"/>
    <x v="381"/>
    <x v="9"/>
    <x v="1"/>
  </r>
  <r>
    <x v="32"/>
    <x v="0"/>
    <x v="7"/>
    <x v="2"/>
    <x v="1"/>
    <x v="2"/>
    <x v="73"/>
    <x v="34"/>
    <x v="15"/>
    <x v="100"/>
    <x v="144"/>
    <x v="860"/>
    <x v="919"/>
    <x v="892"/>
    <x v="925"/>
    <x v="752"/>
    <x v="132"/>
    <x v="132"/>
    <x v="830"/>
    <x v="132"/>
    <x v="1"/>
  </r>
  <r>
    <x v="51"/>
    <x v="0"/>
    <x v="2"/>
    <x v="1"/>
    <x v="1"/>
    <x v="0"/>
    <x v="10"/>
    <x v="10"/>
    <x v="72"/>
    <x v="114"/>
    <x v="185"/>
    <x v="861"/>
    <x v="920"/>
    <x v="893"/>
    <x v="926"/>
    <x v="280"/>
    <x v="10"/>
    <x v="95"/>
    <x v="434"/>
    <x v="10"/>
    <x v="2"/>
  </r>
  <r>
    <x v="46"/>
    <x v="1"/>
    <x v="3"/>
    <x v="4"/>
    <x v="4"/>
    <x v="3"/>
    <x v="22"/>
    <x v="71"/>
    <x v="62"/>
    <x v="126"/>
    <x v="397"/>
    <x v="612"/>
    <x v="921"/>
    <x v="894"/>
    <x v="927"/>
    <x v="753"/>
    <x v="13"/>
    <x v="10"/>
    <x v="831"/>
    <x v="13"/>
    <x v="1"/>
  </r>
  <r>
    <x v="12"/>
    <x v="0"/>
    <x v="8"/>
    <x v="2"/>
    <x v="6"/>
    <x v="0"/>
    <x v="97"/>
    <x v="7"/>
    <x v="79"/>
    <x v="148"/>
    <x v="398"/>
    <x v="862"/>
    <x v="922"/>
    <x v="895"/>
    <x v="928"/>
    <x v="503"/>
    <x v="133"/>
    <x v="106"/>
    <x v="832"/>
    <x v="133"/>
    <x v="0"/>
  </r>
  <r>
    <x v="50"/>
    <x v="0"/>
    <x v="0"/>
    <x v="0"/>
    <x v="4"/>
    <x v="0"/>
    <x v="35"/>
    <x v="24"/>
    <x v="48"/>
    <x v="57"/>
    <x v="226"/>
    <x v="863"/>
    <x v="923"/>
    <x v="896"/>
    <x v="929"/>
    <x v="754"/>
    <x v="98"/>
    <x v="210"/>
    <x v="24"/>
    <x v="98"/>
    <x v="2"/>
  </r>
  <r>
    <x v="53"/>
    <x v="1"/>
    <x v="3"/>
    <x v="0"/>
    <x v="1"/>
    <x v="2"/>
    <x v="99"/>
    <x v="70"/>
    <x v="87"/>
    <x v="71"/>
    <x v="399"/>
    <x v="864"/>
    <x v="924"/>
    <x v="897"/>
    <x v="930"/>
    <x v="755"/>
    <x v="46"/>
    <x v="160"/>
    <x v="833"/>
    <x v="46"/>
    <x v="1"/>
  </r>
  <r>
    <x v="11"/>
    <x v="1"/>
    <x v="8"/>
    <x v="3"/>
    <x v="4"/>
    <x v="3"/>
    <x v="99"/>
    <x v="55"/>
    <x v="5"/>
    <x v="38"/>
    <x v="4"/>
    <x v="865"/>
    <x v="925"/>
    <x v="898"/>
    <x v="931"/>
    <x v="756"/>
    <x v="76"/>
    <x v="110"/>
    <x v="834"/>
    <x v="76"/>
    <x v="1"/>
  </r>
  <r>
    <x v="39"/>
    <x v="0"/>
    <x v="7"/>
    <x v="3"/>
    <x v="1"/>
    <x v="0"/>
    <x v="92"/>
    <x v="70"/>
    <x v="25"/>
    <x v="140"/>
    <x v="289"/>
    <x v="866"/>
    <x v="926"/>
    <x v="899"/>
    <x v="932"/>
    <x v="757"/>
    <x v="2"/>
    <x v="5"/>
    <x v="835"/>
    <x v="2"/>
    <x v="2"/>
  </r>
  <r>
    <x v="20"/>
    <x v="1"/>
    <x v="5"/>
    <x v="1"/>
    <x v="3"/>
    <x v="3"/>
    <x v="20"/>
    <x v="19"/>
    <x v="54"/>
    <x v="4"/>
    <x v="312"/>
    <x v="867"/>
    <x v="927"/>
    <x v="900"/>
    <x v="933"/>
    <x v="758"/>
    <x v="22"/>
    <x v="208"/>
    <x v="459"/>
    <x v="22"/>
    <x v="1"/>
  </r>
  <r>
    <x v="19"/>
    <x v="0"/>
    <x v="1"/>
    <x v="4"/>
    <x v="6"/>
    <x v="1"/>
    <x v="6"/>
    <x v="56"/>
    <x v="71"/>
    <x v="74"/>
    <x v="400"/>
    <x v="868"/>
    <x v="928"/>
    <x v="901"/>
    <x v="934"/>
    <x v="759"/>
    <x v="76"/>
    <x v="22"/>
    <x v="836"/>
    <x v="76"/>
    <x v="1"/>
  </r>
  <r>
    <x v="36"/>
    <x v="1"/>
    <x v="7"/>
    <x v="2"/>
    <x v="0"/>
    <x v="1"/>
    <x v="113"/>
    <x v="43"/>
    <x v="35"/>
    <x v="11"/>
    <x v="365"/>
    <x v="869"/>
    <x v="929"/>
    <x v="902"/>
    <x v="935"/>
    <x v="760"/>
    <x v="134"/>
    <x v="20"/>
    <x v="837"/>
    <x v="134"/>
    <x v="1"/>
  </r>
  <r>
    <x v="37"/>
    <x v="1"/>
    <x v="5"/>
    <x v="2"/>
    <x v="0"/>
    <x v="3"/>
    <x v="19"/>
    <x v="5"/>
    <x v="8"/>
    <x v="99"/>
    <x v="389"/>
    <x v="870"/>
    <x v="930"/>
    <x v="903"/>
    <x v="936"/>
    <x v="377"/>
    <x v="2"/>
    <x v="131"/>
    <x v="838"/>
    <x v="2"/>
    <x v="2"/>
  </r>
  <r>
    <x v="25"/>
    <x v="1"/>
    <x v="0"/>
    <x v="3"/>
    <x v="6"/>
    <x v="3"/>
    <x v="10"/>
    <x v="67"/>
    <x v="68"/>
    <x v="75"/>
    <x v="360"/>
    <x v="871"/>
    <x v="931"/>
    <x v="904"/>
    <x v="937"/>
    <x v="761"/>
    <x v="74"/>
    <x v="129"/>
    <x v="839"/>
    <x v="74"/>
    <x v="0"/>
  </r>
  <r>
    <x v="57"/>
    <x v="1"/>
    <x v="1"/>
    <x v="1"/>
    <x v="5"/>
    <x v="2"/>
    <x v="117"/>
    <x v="32"/>
    <x v="11"/>
    <x v="87"/>
    <x v="219"/>
    <x v="872"/>
    <x v="932"/>
    <x v="905"/>
    <x v="938"/>
    <x v="762"/>
    <x v="8"/>
    <x v="111"/>
    <x v="840"/>
    <x v="8"/>
    <x v="0"/>
  </r>
  <r>
    <x v="41"/>
    <x v="1"/>
    <x v="4"/>
    <x v="3"/>
    <x v="1"/>
    <x v="2"/>
    <x v="15"/>
    <x v="13"/>
    <x v="83"/>
    <x v="6"/>
    <x v="30"/>
    <x v="873"/>
    <x v="933"/>
    <x v="906"/>
    <x v="939"/>
    <x v="142"/>
    <x v="68"/>
    <x v="36"/>
    <x v="375"/>
    <x v="68"/>
    <x v="2"/>
  </r>
  <r>
    <x v="42"/>
    <x v="0"/>
    <x v="7"/>
    <x v="3"/>
    <x v="0"/>
    <x v="1"/>
    <x v="37"/>
    <x v="1"/>
    <x v="49"/>
    <x v="132"/>
    <x v="220"/>
    <x v="874"/>
    <x v="934"/>
    <x v="907"/>
    <x v="940"/>
    <x v="557"/>
    <x v="95"/>
    <x v="48"/>
    <x v="683"/>
    <x v="95"/>
    <x v="2"/>
  </r>
  <r>
    <x v="34"/>
    <x v="1"/>
    <x v="5"/>
    <x v="4"/>
    <x v="2"/>
    <x v="3"/>
    <x v="14"/>
    <x v="57"/>
    <x v="89"/>
    <x v="38"/>
    <x v="136"/>
    <x v="875"/>
    <x v="935"/>
    <x v="908"/>
    <x v="941"/>
    <x v="731"/>
    <x v="79"/>
    <x v="65"/>
    <x v="841"/>
    <x v="79"/>
    <x v="2"/>
  </r>
  <r>
    <x v="20"/>
    <x v="1"/>
    <x v="7"/>
    <x v="4"/>
    <x v="0"/>
    <x v="3"/>
    <x v="79"/>
    <x v="22"/>
    <x v="33"/>
    <x v="72"/>
    <x v="36"/>
    <x v="876"/>
    <x v="936"/>
    <x v="909"/>
    <x v="942"/>
    <x v="83"/>
    <x v="61"/>
    <x v="165"/>
    <x v="842"/>
    <x v="61"/>
    <x v="1"/>
  </r>
  <r>
    <x v="34"/>
    <x v="1"/>
    <x v="2"/>
    <x v="2"/>
    <x v="5"/>
    <x v="2"/>
    <x v="36"/>
    <x v="20"/>
    <x v="77"/>
    <x v="30"/>
    <x v="51"/>
    <x v="272"/>
    <x v="937"/>
    <x v="910"/>
    <x v="943"/>
    <x v="763"/>
    <x v="79"/>
    <x v="109"/>
    <x v="843"/>
    <x v="79"/>
    <x v="2"/>
  </r>
  <r>
    <x v="40"/>
    <x v="1"/>
    <x v="3"/>
    <x v="4"/>
    <x v="2"/>
    <x v="0"/>
    <x v="5"/>
    <x v="41"/>
    <x v="40"/>
    <x v="89"/>
    <x v="140"/>
    <x v="877"/>
    <x v="938"/>
    <x v="911"/>
    <x v="944"/>
    <x v="764"/>
    <x v="56"/>
    <x v="117"/>
    <x v="844"/>
    <x v="56"/>
    <x v="2"/>
  </r>
  <r>
    <x v="41"/>
    <x v="0"/>
    <x v="8"/>
    <x v="4"/>
    <x v="4"/>
    <x v="0"/>
    <x v="33"/>
    <x v="13"/>
    <x v="89"/>
    <x v="14"/>
    <x v="231"/>
    <x v="878"/>
    <x v="939"/>
    <x v="912"/>
    <x v="945"/>
    <x v="765"/>
    <x v="105"/>
    <x v="9"/>
    <x v="845"/>
    <x v="105"/>
    <x v="2"/>
  </r>
  <r>
    <x v="30"/>
    <x v="1"/>
    <x v="2"/>
    <x v="1"/>
    <x v="1"/>
    <x v="3"/>
    <x v="35"/>
    <x v="23"/>
    <x v="50"/>
    <x v="134"/>
    <x v="49"/>
    <x v="879"/>
    <x v="940"/>
    <x v="913"/>
    <x v="946"/>
    <x v="3"/>
    <x v="5"/>
    <x v="100"/>
    <x v="846"/>
    <x v="5"/>
    <x v="1"/>
  </r>
  <r>
    <x v="35"/>
    <x v="0"/>
    <x v="0"/>
    <x v="0"/>
    <x v="6"/>
    <x v="1"/>
    <x v="97"/>
    <x v="76"/>
    <x v="7"/>
    <x v="54"/>
    <x v="167"/>
    <x v="880"/>
    <x v="941"/>
    <x v="914"/>
    <x v="947"/>
    <x v="766"/>
    <x v="61"/>
    <x v="106"/>
    <x v="684"/>
    <x v="61"/>
    <x v="2"/>
  </r>
  <r>
    <x v="10"/>
    <x v="1"/>
    <x v="5"/>
    <x v="3"/>
    <x v="5"/>
    <x v="1"/>
    <x v="2"/>
    <x v="17"/>
    <x v="23"/>
    <x v="42"/>
    <x v="195"/>
    <x v="881"/>
    <x v="942"/>
    <x v="915"/>
    <x v="948"/>
    <x v="767"/>
    <x v="126"/>
    <x v="181"/>
    <x v="847"/>
    <x v="126"/>
    <x v="2"/>
  </r>
  <r>
    <x v="46"/>
    <x v="0"/>
    <x v="5"/>
    <x v="1"/>
    <x v="1"/>
    <x v="0"/>
    <x v="46"/>
    <x v="74"/>
    <x v="35"/>
    <x v="118"/>
    <x v="140"/>
    <x v="882"/>
    <x v="943"/>
    <x v="916"/>
    <x v="949"/>
    <x v="768"/>
    <x v="63"/>
    <x v="35"/>
    <x v="848"/>
    <x v="63"/>
    <x v="1"/>
  </r>
  <r>
    <x v="30"/>
    <x v="1"/>
    <x v="5"/>
    <x v="1"/>
    <x v="2"/>
    <x v="1"/>
    <x v="95"/>
    <x v="44"/>
    <x v="53"/>
    <x v="125"/>
    <x v="290"/>
    <x v="883"/>
    <x v="944"/>
    <x v="917"/>
    <x v="950"/>
    <x v="769"/>
    <x v="55"/>
    <x v="109"/>
    <x v="771"/>
    <x v="55"/>
    <x v="1"/>
  </r>
  <r>
    <x v="20"/>
    <x v="0"/>
    <x v="5"/>
    <x v="4"/>
    <x v="3"/>
    <x v="0"/>
    <x v="64"/>
    <x v="45"/>
    <x v="5"/>
    <x v="92"/>
    <x v="23"/>
    <x v="884"/>
    <x v="945"/>
    <x v="918"/>
    <x v="951"/>
    <x v="770"/>
    <x v="74"/>
    <x v="6"/>
    <x v="849"/>
    <x v="74"/>
    <x v="1"/>
  </r>
  <r>
    <x v="3"/>
    <x v="0"/>
    <x v="8"/>
    <x v="1"/>
    <x v="0"/>
    <x v="2"/>
    <x v="54"/>
    <x v="14"/>
    <x v="44"/>
    <x v="48"/>
    <x v="298"/>
    <x v="885"/>
    <x v="946"/>
    <x v="919"/>
    <x v="952"/>
    <x v="771"/>
    <x v="39"/>
    <x v="38"/>
    <x v="850"/>
    <x v="39"/>
    <x v="0"/>
  </r>
  <r>
    <x v="9"/>
    <x v="0"/>
    <x v="9"/>
    <x v="0"/>
    <x v="1"/>
    <x v="2"/>
    <x v="112"/>
    <x v="28"/>
    <x v="70"/>
    <x v="85"/>
    <x v="125"/>
    <x v="493"/>
    <x v="947"/>
    <x v="843"/>
    <x v="953"/>
    <x v="772"/>
    <x v="66"/>
    <x v="124"/>
    <x v="851"/>
    <x v="66"/>
    <x v="0"/>
  </r>
  <r>
    <x v="9"/>
    <x v="0"/>
    <x v="6"/>
    <x v="4"/>
    <x v="5"/>
    <x v="0"/>
    <x v="51"/>
    <x v="2"/>
    <x v="19"/>
    <x v="83"/>
    <x v="295"/>
    <x v="886"/>
    <x v="948"/>
    <x v="920"/>
    <x v="954"/>
    <x v="772"/>
    <x v="66"/>
    <x v="198"/>
    <x v="852"/>
    <x v="66"/>
    <x v="0"/>
  </r>
  <r>
    <x v="32"/>
    <x v="1"/>
    <x v="4"/>
    <x v="1"/>
    <x v="6"/>
    <x v="2"/>
    <x v="86"/>
    <x v="32"/>
    <x v="37"/>
    <x v="79"/>
    <x v="401"/>
    <x v="887"/>
    <x v="949"/>
    <x v="921"/>
    <x v="955"/>
    <x v="773"/>
    <x v="78"/>
    <x v="57"/>
    <x v="853"/>
    <x v="78"/>
    <x v="1"/>
  </r>
  <r>
    <x v="29"/>
    <x v="1"/>
    <x v="5"/>
    <x v="4"/>
    <x v="4"/>
    <x v="1"/>
    <x v="53"/>
    <x v="15"/>
    <x v="25"/>
    <x v="40"/>
    <x v="105"/>
    <x v="253"/>
    <x v="950"/>
    <x v="922"/>
    <x v="956"/>
    <x v="194"/>
    <x v="20"/>
    <x v="149"/>
    <x v="854"/>
    <x v="20"/>
    <x v="2"/>
  </r>
  <r>
    <x v="45"/>
    <x v="0"/>
    <x v="2"/>
    <x v="4"/>
    <x v="5"/>
    <x v="2"/>
    <x v="52"/>
    <x v="79"/>
    <x v="87"/>
    <x v="41"/>
    <x v="157"/>
    <x v="888"/>
    <x v="951"/>
    <x v="854"/>
    <x v="957"/>
    <x v="774"/>
    <x v="138"/>
    <x v="55"/>
    <x v="855"/>
    <x v="138"/>
    <x v="2"/>
  </r>
  <r>
    <x v="24"/>
    <x v="1"/>
    <x v="3"/>
    <x v="1"/>
    <x v="3"/>
    <x v="1"/>
    <x v="78"/>
    <x v="49"/>
    <x v="2"/>
    <x v="37"/>
    <x v="402"/>
    <x v="889"/>
    <x v="952"/>
    <x v="923"/>
    <x v="958"/>
    <x v="775"/>
    <x v="106"/>
    <x v="13"/>
    <x v="856"/>
    <x v="106"/>
    <x v="1"/>
  </r>
  <r>
    <x v="0"/>
    <x v="1"/>
    <x v="4"/>
    <x v="0"/>
    <x v="3"/>
    <x v="0"/>
    <x v="102"/>
    <x v="15"/>
    <x v="18"/>
    <x v="108"/>
    <x v="42"/>
    <x v="890"/>
    <x v="953"/>
    <x v="924"/>
    <x v="959"/>
    <x v="258"/>
    <x v="182"/>
    <x v="34"/>
    <x v="857"/>
    <x v="182"/>
    <x v="0"/>
  </r>
  <r>
    <x v="28"/>
    <x v="0"/>
    <x v="0"/>
    <x v="4"/>
    <x v="2"/>
    <x v="2"/>
    <x v="47"/>
    <x v="63"/>
    <x v="72"/>
    <x v="147"/>
    <x v="61"/>
    <x v="847"/>
    <x v="954"/>
    <x v="925"/>
    <x v="960"/>
    <x v="776"/>
    <x v="117"/>
    <x v="151"/>
    <x v="858"/>
    <x v="117"/>
    <x v="0"/>
  </r>
  <r>
    <x v="15"/>
    <x v="0"/>
    <x v="5"/>
    <x v="2"/>
    <x v="0"/>
    <x v="0"/>
    <x v="21"/>
    <x v="39"/>
    <x v="0"/>
    <x v="36"/>
    <x v="392"/>
    <x v="891"/>
    <x v="955"/>
    <x v="926"/>
    <x v="961"/>
    <x v="727"/>
    <x v="38"/>
    <x v="61"/>
    <x v="859"/>
    <x v="38"/>
    <x v="2"/>
  </r>
  <r>
    <x v="34"/>
    <x v="0"/>
    <x v="7"/>
    <x v="4"/>
    <x v="6"/>
    <x v="0"/>
    <x v="100"/>
    <x v="79"/>
    <x v="28"/>
    <x v="84"/>
    <x v="234"/>
    <x v="892"/>
    <x v="956"/>
    <x v="927"/>
    <x v="962"/>
    <x v="106"/>
    <x v="63"/>
    <x v="53"/>
    <x v="860"/>
    <x v="63"/>
    <x v="2"/>
  </r>
  <r>
    <x v="47"/>
    <x v="1"/>
    <x v="1"/>
    <x v="0"/>
    <x v="3"/>
    <x v="3"/>
    <x v="45"/>
    <x v="53"/>
    <x v="33"/>
    <x v="88"/>
    <x v="321"/>
    <x v="893"/>
    <x v="957"/>
    <x v="928"/>
    <x v="963"/>
    <x v="777"/>
    <x v="117"/>
    <x v="103"/>
    <x v="306"/>
    <x v="117"/>
    <x v="0"/>
  </r>
  <r>
    <x v="10"/>
    <x v="1"/>
    <x v="1"/>
    <x v="0"/>
    <x v="1"/>
    <x v="1"/>
    <x v="46"/>
    <x v="44"/>
    <x v="9"/>
    <x v="140"/>
    <x v="61"/>
    <x v="894"/>
    <x v="958"/>
    <x v="929"/>
    <x v="964"/>
    <x v="129"/>
    <x v="25"/>
    <x v="20"/>
    <x v="861"/>
    <x v="25"/>
    <x v="2"/>
  </r>
  <r>
    <x v="3"/>
    <x v="1"/>
    <x v="4"/>
    <x v="1"/>
    <x v="2"/>
    <x v="3"/>
    <x v="113"/>
    <x v="11"/>
    <x v="61"/>
    <x v="73"/>
    <x v="353"/>
    <x v="895"/>
    <x v="959"/>
    <x v="707"/>
    <x v="965"/>
    <x v="746"/>
    <x v="66"/>
    <x v="118"/>
    <x v="862"/>
    <x v="66"/>
    <x v="0"/>
  </r>
  <r>
    <x v="25"/>
    <x v="0"/>
    <x v="6"/>
    <x v="3"/>
    <x v="4"/>
    <x v="0"/>
    <x v="58"/>
    <x v="67"/>
    <x v="72"/>
    <x v="113"/>
    <x v="273"/>
    <x v="896"/>
    <x v="960"/>
    <x v="930"/>
    <x v="966"/>
    <x v="778"/>
    <x v="119"/>
    <x v="68"/>
    <x v="863"/>
    <x v="119"/>
    <x v="0"/>
  </r>
  <r>
    <x v="45"/>
    <x v="1"/>
    <x v="0"/>
    <x v="3"/>
    <x v="2"/>
    <x v="3"/>
    <x v="11"/>
    <x v="44"/>
    <x v="0"/>
    <x v="106"/>
    <x v="282"/>
    <x v="897"/>
    <x v="961"/>
    <x v="931"/>
    <x v="967"/>
    <x v="779"/>
    <x v="20"/>
    <x v="130"/>
    <x v="864"/>
    <x v="20"/>
    <x v="2"/>
  </r>
  <r>
    <x v="55"/>
    <x v="0"/>
    <x v="4"/>
    <x v="4"/>
    <x v="1"/>
    <x v="2"/>
    <x v="82"/>
    <x v="20"/>
    <x v="65"/>
    <x v="62"/>
    <x v="213"/>
    <x v="707"/>
    <x v="962"/>
    <x v="932"/>
    <x v="968"/>
    <x v="780"/>
    <x v="164"/>
    <x v="5"/>
    <x v="865"/>
    <x v="164"/>
    <x v="2"/>
  </r>
  <r>
    <x v="33"/>
    <x v="1"/>
    <x v="4"/>
    <x v="2"/>
    <x v="2"/>
    <x v="0"/>
    <x v="28"/>
    <x v="52"/>
    <x v="70"/>
    <x v="5"/>
    <x v="209"/>
    <x v="898"/>
    <x v="963"/>
    <x v="933"/>
    <x v="969"/>
    <x v="200"/>
    <x v="149"/>
    <x v="34"/>
    <x v="866"/>
    <x v="149"/>
    <x v="2"/>
  </r>
  <r>
    <x v="16"/>
    <x v="0"/>
    <x v="3"/>
    <x v="2"/>
    <x v="3"/>
    <x v="1"/>
    <x v="13"/>
    <x v="22"/>
    <x v="39"/>
    <x v="116"/>
    <x v="50"/>
    <x v="899"/>
    <x v="964"/>
    <x v="934"/>
    <x v="970"/>
    <x v="270"/>
    <x v="173"/>
    <x v="100"/>
    <x v="867"/>
    <x v="173"/>
    <x v="0"/>
  </r>
  <r>
    <x v="24"/>
    <x v="0"/>
    <x v="7"/>
    <x v="0"/>
    <x v="5"/>
    <x v="3"/>
    <x v="81"/>
    <x v="64"/>
    <x v="17"/>
    <x v="17"/>
    <x v="160"/>
    <x v="134"/>
    <x v="965"/>
    <x v="935"/>
    <x v="971"/>
    <x v="781"/>
    <x v="148"/>
    <x v="11"/>
    <x v="868"/>
    <x v="148"/>
    <x v="1"/>
  </r>
  <r>
    <x v="57"/>
    <x v="1"/>
    <x v="6"/>
    <x v="1"/>
    <x v="0"/>
    <x v="1"/>
    <x v="2"/>
    <x v="33"/>
    <x v="27"/>
    <x v="92"/>
    <x v="299"/>
    <x v="900"/>
    <x v="966"/>
    <x v="936"/>
    <x v="972"/>
    <x v="405"/>
    <x v="96"/>
    <x v="23"/>
    <x v="869"/>
    <x v="96"/>
    <x v="0"/>
  </r>
  <r>
    <x v="7"/>
    <x v="1"/>
    <x v="4"/>
    <x v="3"/>
    <x v="4"/>
    <x v="2"/>
    <x v="41"/>
    <x v="11"/>
    <x v="85"/>
    <x v="127"/>
    <x v="113"/>
    <x v="901"/>
    <x v="967"/>
    <x v="424"/>
    <x v="973"/>
    <x v="385"/>
    <x v="61"/>
    <x v="107"/>
    <x v="870"/>
    <x v="61"/>
    <x v="2"/>
  </r>
  <r>
    <x v="51"/>
    <x v="0"/>
    <x v="8"/>
    <x v="4"/>
    <x v="3"/>
    <x v="3"/>
    <x v="18"/>
    <x v="4"/>
    <x v="19"/>
    <x v="68"/>
    <x v="104"/>
    <x v="902"/>
    <x v="968"/>
    <x v="937"/>
    <x v="974"/>
    <x v="374"/>
    <x v="120"/>
    <x v="81"/>
    <x v="379"/>
    <x v="120"/>
    <x v="2"/>
  </r>
  <r>
    <x v="46"/>
    <x v="0"/>
    <x v="7"/>
    <x v="2"/>
    <x v="6"/>
    <x v="2"/>
    <x v="95"/>
    <x v="16"/>
    <x v="74"/>
    <x v="117"/>
    <x v="288"/>
    <x v="903"/>
    <x v="969"/>
    <x v="938"/>
    <x v="975"/>
    <x v="782"/>
    <x v="173"/>
    <x v="69"/>
    <x v="128"/>
    <x v="173"/>
    <x v="1"/>
  </r>
  <r>
    <x v="55"/>
    <x v="1"/>
    <x v="8"/>
    <x v="1"/>
    <x v="4"/>
    <x v="0"/>
    <x v="93"/>
    <x v="47"/>
    <x v="23"/>
    <x v="19"/>
    <x v="60"/>
    <x v="904"/>
    <x v="970"/>
    <x v="939"/>
    <x v="976"/>
    <x v="783"/>
    <x v="33"/>
    <x v="143"/>
    <x v="871"/>
    <x v="33"/>
    <x v="2"/>
  </r>
  <r>
    <x v="1"/>
    <x v="0"/>
    <x v="9"/>
    <x v="0"/>
    <x v="5"/>
    <x v="1"/>
    <x v="12"/>
    <x v="78"/>
    <x v="6"/>
    <x v="2"/>
    <x v="73"/>
    <x v="905"/>
    <x v="971"/>
    <x v="940"/>
    <x v="977"/>
    <x v="784"/>
    <x v="155"/>
    <x v="6"/>
    <x v="872"/>
    <x v="155"/>
    <x v="1"/>
  </r>
  <r>
    <x v="12"/>
    <x v="1"/>
    <x v="7"/>
    <x v="3"/>
    <x v="3"/>
    <x v="2"/>
    <x v="96"/>
    <x v="19"/>
    <x v="50"/>
    <x v="33"/>
    <x v="386"/>
    <x v="906"/>
    <x v="972"/>
    <x v="941"/>
    <x v="978"/>
    <x v="785"/>
    <x v="148"/>
    <x v="20"/>
    <x v="873"/>
    <x v="148"/>
    <x v="0"/>
  </r>
  <r>
    <x v="41"/>
    <x v="1"/>
    <x v="4"/>
    <x v="1"/>
    <x v="1"/>
    <x v="0"/>
    <x v="73"/>
    <x v="75"/>
    <x v="6"/>
    <x v="133"/>
    <x v="201"/>
    <x v="220"/>
    <x v="973"/>
    <x v="942"/>
    <x v="979"/>
    <x v="352"/>
    <x v="68"/>
    <x v="184"/>
    <x v="874"/>
    <x v="68"/>
    <x v="2"/>
  </r>
  <r>
    <x v="7"/>
    <x v="0"/>
    <x v="1"/>
    <x v="2"/>
    <x v="1"/>
    <x v="1"/>
    <x v="55"/>
    <x v="53"/>
    <x v="44"/>
    <x v="118"/>
    <x v="177"/>
    <x v="907"/>
    <x v="974"/>
    <x v="943"/>
    <x v="980"/>
    <x v="786"/>
    <x v="112"/>
    <x v="68"/>
    <x v="875"/>
    <x v="112"/>
    <x v="2"/>
  </r>
  <r>
    <x v="58"/>
    <x v="1"/>
    <x v="4"/>
    <x v="0"/>
    <x v="0"/>
    <x v="0"/>
    <x v="54"/>
    <x v="53"/>
    <x v="41"/>
    <x v="63"/>
    <x v="384"/>
    <x v="908"/>
    <x v="975"/>
    <x v="944"/>
    <x v="981"/>
    <x v="332"/>
    <x v="121"/>
    <x v="203"/>
    <x v="876"/>
    <x v="121"/>
    <x v="0"/>
  </r>
  <r>
    <x v="38"/>
    <x v="1"/>
    <x v="7"/>
    <x v="3"/>
    <x v="0"/>
    <x v="1"/>
    <x v="56"/>
    <x v="50"/>
    <x v="0"/>
    <x v="22"/>
    <x v="245"/>
    <x v="909"/>
    <x v="976"/>
    <x v="945"/>
    <x v="982"/>
    <x v="787"/>
    <x v="85"/>
    <x v="146"/>
    <x v="877"/>
    <x v="85"/>
    <x v="2"/>
  </r>
  <r>
    <x v="26"/>
    <x v="1"/>
    <x v="0"/>
    <x v="1"/>
    <x v="0"/>
    <x v="3"/>
    <x v="45"/>
    <x v="23"/>
    <x v="79"/>
    <x v="110"/>
    <x v="403"/>
    <x v="910"/>
    <x v="977"/>
    <x v="946"/>
    <x v="983"/>
    <x v="788"/>
    <x v="167"/>
    <x v="210"/>
    <x v="878"/>
    <x v="167"/>
    <x v="2"/>
  </r>
  <r>
    <x v="57"/>
    <x v="1"/>
    <x v="7"/>
    <x v="0"/>
    <x v="4"/>
    <x v="1"/>
    <x v="78"/>
    <x v="39"/>
    <x v="11"/>
    <x v="21"/>
    <x v="404"/>
    <x v="911"/>
    <x v="978"/>
    <x v="947"/>
    <x v="984"/>
    <x v="789"/>
    <x v="120"/>
    <x v="120"/>
    <x v="879"/>
    <x v="120"/>
    <x v="0"/>
  </r>
  <r>
    <x v="3"/>
    <x v="1"/>
    <x v="7"/>
    <x v="1"/>
    <x v="1"/>
    <x v="1"/>
    <x v="116"/>
    <x v="63"/>
    <x v="82"/>
    <x v="58"/>
    <x v="362"/>
    <x v="912"/>
    <x v="979"/>
    <x v="948"/>
    <x v="985"/>
    <x v="462"/>
    <x v="19"/>
    <x v="80"/>
    <x v="880"/>
    <x v="19"/>
    <x v="0"/>
  </r>
  <r>
    <x v="36"/>
    <x v="1"/>
    <x v="0"/>
    <x v="1"/>
    <x v="5"/>
    <x v="3"/>
    <x v="79"/>
    <x v="21"/>
    <x v="49"/>
    <x v="37"/>
    <x v="405"/>
    <x v="913"/>
    <x v="980"/>
    <x v="949"/>
    <x v="986"/>
    <x v="204"/>
    <x v="76"/>
    <x v="11"/>
    <x v="881"/>
    <x v="76"/>
    <x v="1"/>
  </r>
  <r>
    <x v="33"/>
    <x v="0"/>
    <x v="6"/>
    <x v="0"/>
    <x v="1"/>
    <x v="1"/>
    <x v="91"/>
    <x v="39"/>
    <x v="84"/>
    <x v="53"/>
    <x v="302"/>
    <x v="119"/>
    <x v="981"/>
    <x v="950"/>
    <x v="987"/>
    <x v="604"/>
    <x v="13"/>
    <x v="24"/>
    <x v="882"/>
    <x v="13"/>
    <x v="2"/>
  </r>
  <r>
    <x v="37"/>
    <x v="1"/>
    <x v="2"/>
    <x v="1"/>
    <x v="3"/>
    <x v="3"/>
    <x v="119"/>
    <x v="68"/>
    <x v="46"/>
    <x v="96"/>
    <x v="363"/>
    <x v="718"/>
    <x v="982"/>
    <x v="951"/>
    <x v="988"/>
    <x v="697"/>
    <x v="53"/>
    <x v="53"/>
    <x v="883"/>
    <x v="53"/>
    <x v="2"/>
  </r>
  <r>
    <x v="38"/>
    <x v="1"/>
    <x v="3"/>
    <x v="1"/>
    <x v="3"/>
    <x v="0"/>
    <x v="115"/>
    <x v="24"/>
    <x v="41"/>
    <x v="114"/>
    <x v="91"/>
    <x v="914"/>
    <x v="983"/>
    <x v="219"/>
    <x v="989"/>
    <x v="377"/>
    <x v="68"/>
    <x v="75"/>
    <x v="884"/>
    <x v="68"/>
    <x v="2"/>
  </r>
  <r>
    <x v="21"/>
    <x v="0"/>
    <x v="7"/>
    <x v="4"/>
    <x v="5"/>
    <x v="3"/>
    <x v="28"/>
    <x v="11"/>
    <x v="76"/>
    <x v="72"/>
    <x v="370"/>
    <x v="380"/>
    <x v="984"/>
    <x v="952"/>
    <x v="990"/>
    <x v="790"/>
    <x v="35"/>
    <x v="161"/>
    <x v="885"/>
    <x v="35"/>
    <x v="0"/>
  </r>
  <r>
    <x v="58"/>
    <x v="0"/>
    <x v="9"/>
    <x v="4"/>
    <x v="3"/>
    <x v="0"/>
    <x v="60"/>
    <x v="17"/>
    <x v="14"/>
    <x v="95"/>
    <x v="104"/>
    <x v="503"/>
    <x v="985"/>
    <x v="953"/>
    <x v="991"/>
    <x v="764"/>
    <x v="35"/>
    <x v="101"/>
    <x v="886"/>
    <x v="35"/>
    <x v="0"/>
  </r>
  <r>
    <x v="50"/>
    <x v="1"/>
    <x v="5"/>
    <x v="3"/>
    <x v="3"/>
    <x v="3"/>
    <x v="34"/>
    <x v="10"/>
    <x v="40"/>
    <x v="123"/>
    <x v="94"/>
    <x v="915"/>
    <x v="986"/>
    <x v="954"/>
    <x v="992"/>
    <x v="791"/>
    <x v="32"/>
    <x v="154"/>
    <x v="887"/>
    <x v="32"/>
    <x v="2"/>
  </r>
  <r>
    <x v="22"/>
    <x v="0"/>
    <x v="0"/>
    <x v="1"/>
    <x v="3"/>
    <x v="3"/>
    <x v="10"/>
    <x v="24"/>
    <x v="40"/>
    <x v="19"/>
    <x v="78"/>
    <x v="916"/>
    <x v="987"/>
    <x v="955"/>
    <x v="993"/>
    <x v="792"/>
    <x v="11"/>
    <x v="167"/>
    <x v="663"/>
    <x v="11"/>
    <x v="0"/>
  </r>
  <r>
    <x v="5"/>
    <x v="0"/>
    <x v="2"/>
    <x v="1"/>
    <x v="6"/>
    <x v="2"/>
    <x v="84"/>
    <x v="39"/>
    <x v="36"/>
    <x v="31"/>
    <x v="51"/>
    <x v="917"/>
    <x v="988"/>
    <x v="956"/>
    <x v="994"/>
    <x v="394"/>
    <x v="5"/>
    <x v="62"/>
    <x v="888"/>
    <x v="5"/>
    <x v="2"/>
  </r>
  <r>
    <x v="48"/>
    <x v="1"/>
    <x v="1"/>
    <x v="2"/>
    <x v="3"/>
    <x v="1"/>
    <x v="17"/>
    <x v="11"/>
    <x v="78"/>
    <x v="52"/>
    <x v="375"/>
    <x v="918"/>
    <x v="989"/>
    <x v="957"/>
    <x v="995"/>
    <x v="793"/>
    <x v="121"/>
    <x v="25"/>
    <x v="889"/>
    <x v="121"/>
    <x v="2"/>
  </r>
  <r>
    <x v="18"/>
    <x v="0"/>
    <x v="1"/>
    <x v="0"/>
    <x v="6"/>
    <x v="1"/>
    <x v="43"/>
    <x v="17"/>
    <x v="27"/>
    <x v="21"/>
    <x v="150"/>
    <x v="205"/>
    <x v="990"/>
    <x v="958"/>
    <x v="996"/>
    <x v="794"/>
    <x v="146"/>
    <x v="185"/>
    <x v="890"/>
    <x v="146"/>
    <x v="2"/>
  </r>
  <r>
    <x v="48"/>
    <x v="0"/>
    <x v="9"/>
    <x v="2"/>
    <x v="4"/>
    <x v="3"/>
    <x v="119"/>
    <x v="16"/>
    <x v="6"/>
    <x v="135"/>
    <x v="226"/>
    <x v="919"/>
    <x v="991"/>
    <x v="959"/>
    <x v="997"/>
    <x v="795"/>
    <x v="35"/>
    <x v="190"/>
    <x v="891"/>
    <x v="35"/>
    <x v="2"/>
  </r>
  <r>
    <x v="9"/>
    <x v="0"/>
    <x v="0"/>
    <x v="3"/>
    <x v="4"/>
    <x v="0"/>
    <x v="105"/>
    <x v="18"/>
    <x v="86"/>
    <x v="104"/>
    <x v="106"/>
    <x v="920"/>
    <x v="992"/>
    <x v="563"/>
    <x v="998"/>
    <x v="796"/>
    <x v="77"/>
    <x v="169"/>
    <x v="892"/>
    <x v="77"/>
    <x v="0"/>
  </r>
  <r>
    <x v="19"/>
    <x v="1"/>
    <x v="7"/>
    <x v="1"/>
    <x v="4"/>
    <x v="0"/>
    <x v="25"/>
    <x v="53"/>
    <x v="78"/>
    <x v="12"/>
    <x v="46"/>
    <x v="921"/>
    <x v="993"/>
    <x v="960"/>
    <x v="999"/>
    <x v="797"/>
    <x v="31"/>
    <x v="36"/>
    <x v="893"/>
    <x v="31"/>
    <x v="1"/>
  </r>
  <r>
    <x v="9"/>
    <x v="0"/>
    <x v="7"/>
    <x v="0"/>
    <x v="0"/>
    <x v="2"/>
    <x v="10"/>
    <x v="8"/>
    <x v="83"/>
    <x v="1"/>
    <x v="53"/>
    <x v="922"/>
    <x v="994"/>
    <x v="42"/>
    <x v="1000"/>
    <x v="798"/>
    <x v="42"/>
    <x v="114"/>
    <x v="894"/>
    <x v="42"/>
    <x v="0"/>
  </r>
  <r>
    <x v="49"/>
    <x v="0"/>
    <x v="8"/>
    <x v="3"/>
    <x v="2"/>
    <x v="0"/>
    <x v="119"/>
    <x v="77"/>
    <x v="67"/>
    <x v="137"/>
    <x v="242"/>
    <x v="923"/>
    <x v="995"/>
    <x v="961"/>
    <x v="1001"/>
    <x v="799"/>
    <x v="38"/>
    <x v="103"/>
    <x v="895"/>
    <x v="38"/>
    <x v="1"/>
  </r>
  <r>
    <x v="59"/>
    <x v="0"/>
    <x v="8"/>
    <x v="4"/>
    <x v="1"/>
    <x v="3"/>
    <x v="7"/>
    <x v="36"/>
    <x v="15"/>
    <x v="48"/>
    <x v="315"/>
    <x v="924"/>
    <x v="996"/>
    <x v="962"/>
    <x v="1002"/>
    <x v="800"/>
    <x v="101"/>
    <x v="127"/>
    <x v="75"/>
    <x v="101"/>
    <x v="0"/>
  </r>
  <r>
    <x v="39"/>
    <x v="0"/>
    <x v="0"/>
    <x v="3"/>
    <x v="5"/>
    <x v="1"/>
    <x v="58"/>
    <x v="43"/>
    <x v="58"/>
    <x v="143"/>
    <x v="181"/>
    <x v="925"/>
    <x v="997"/>
    <x v="963"/>
    <x v="1003"/>
    <x v="801"/>
    <x v="105"/>
    <x v="133"/>
    <x v="91"/>
    <x v="105"/>
    <x v="2"/>
  </r>
  <r>
    <x v="33"/>
    <x v="1"/>
    <x v="8"/>
    <x v="0"/>
    <x v="1"/>
    <x v="0"/>
    <x v="88"/>
    <x v="18"/>
    <x v="76"/>
    <x v="140"/>
    <x v="406"/>
    <x v="742"/>
    <x v="998"/>
    <x v="964"/>
    <x v="1004"/>
    <x v="802"/>
    <x v="173"/>
    <x v="66"/>
    <x v="896"/>
    <x v="173"/>
    <x v="2"/>
  </r>
  <r>
    <x v="12"/>
    <x v="1"/>
    <x v="3"/>
    <x v="0"/>
    <x v="5"/>
    <x v="2"/>
    <x v="18"/>
    <x v="36"/>
    <x v="43"/>
    <x v="101"/>
    <x v="203"/>
    <x v="926"/>
    <x v="999"/>
    <x v="965"/>
    <x v="1005"/>
    <x v="803"/>
    <x v="147"/>
    <x v="133"/>
    <x v="897"/>
    <x v="147"/>
    <x v="0"/>
  </r>
  <r>
    <x v="42"/>
    <x v="1"/>
    <x v="8"/>
    <x v="1"/>
    <x v="0"/>
    <x v="3"/>
    <x v="54"/>
    <x v="70"/>
    <x v="51"/>
    <x v="65"/>
    <x v="90"/>
    <x v="927"/>
    <x v="1000"/>
    <x v="966"/>
    <x v="1006"/>
    <x v="804"/>
    <x v="147"/>
    <x v="49"/>
    <x v="898"/>
    <x v="147"/>
    <x v="2"/>
  </r>
  <r>
    <x v="48"/>
    <x v="1"/>
    <x v="3"/>
    <x v="4"/>
    <x v="6"/>
    <x v="0"/>
    <x v="19"/>
    <x v="0"/>
    <x v="3"/>
    <x v="45"/>
    <x v="407"/>
    <x v="928"/>
    <x v="1001"/>
    <x v="967"/>
    <x v="1007"/>
    <x v="805"/>
    <x v="103"/>
    <x v="104"/>
    <x v="899"/>
    <x v="103"/>
    <x v="2"/>
  </r>
  <r>
    <x v="52"/>
    <x v="0"/>
    <x v="3"/>
    <x v="0"/>
    <x v="3"/>
    <x v="2"/>
    <x v="73"/>
    <x v="73"/>
    <x v="16"/>
    <x v="92"/>
    <x v="229"/>
    <x v="929"/>
    <x v="1002"/>
    <x v="968"/>
    <x v="1008"/>
    <x v="806"/>
    <x v="65"/>
    <x v="181"/>
    <x v="900"/>
    <x v="65"/>
    <x v="2"/>
  </r>
  <r>
    <x v="13"/>
    <x v="0"/>
    <x v="7"/>
    <x v="1"/>
    <x v="1"/>
    <x v="2"/>
    <x v="50"/>
    <x v="46"/>
    <x v="15"/>
    <x v="138"/>
    <x v="316"/>
    <x v="710"/>
    <x v="1003"/>
    <x v="969"/>
    <x v="1009"/>
    <x v="183"/>
    <x v="149"/>
    <x v="1"/>
    <x v="901"/>
    <x v="149"/>
    <x v="2"/>
  </r>
  <r>
    <x v="22"/>
    <x v="1"/>
    <x v="7"/>
    <x v="0"/>
    <x v="4"/>
    <x v="3"/>
    <x v="27"/>
    <x v="51"/>
    <x v="36"/>
    <x v="54"/>
    <x v="408"/>
    <x v="930"/>
    <x v="1004"/>
    <x v="970"/>
    <x v="1010"/>
    <x v="87"/>
    <x v="104"/>
    <x v="10"/>
    <x v="902"/>
    <x v="104"/>
    <x v="0"/>
  </r>
  <r>
    <x v="8"/>
    <x v="1"/>
    <x v="6"/>
    <x v="1"/>
    <x v="5"/>
    <x v="0"/>
    <x v="105"/>
    <x v="35"/>
    <x v="13"/>
    <x v="3"/>
    <x v="308"/>
    <x v="345"/>
    <x v="1005"/>
    <x v="971"/>
    <x v="1011"/>
    <x v="807"/>
    <x v="70"/>
    <x v="127"/>
    <x v="903"/>
    <x v="70"/>
    <x v="2"/>
  </r>
  <r>
    <x v="5"/>
    <x v="0"/>
    <x v="6"/>
    <x v="1"/>
    <x v="3"/>
    <x v="3"/>
    <x v="0"/>
    <x v="55"/>
    <x v="35"/>
    <x v="145"/>
    <x v="252"/>
    <x v="931"/>
    <x v="1006"/>
    <x v="972"/>
    <x v="1012"/>
    <x v="808"/>
    <x v="118"/>
    <x v="138"/>
    <x v="904"/>
    <x v="118"/>
    <x v="2"/>
  </r>
  <r>
    <x v="36"/>
    <x v="0"/>
    <x v="4"/>
    <x v="3"/>
    <x v="1"/>
    <x v="3"/>
    <x v="17"/>
    <x v="3"/>
    <x v="88"/>
    <x v="157"/>
    <x v="337"/>
    <x v="932"/>
    <x v="1007"/>
    <x v="973"/>
    <x v="1013"/>
    <x v="809"/>
    <x v="129"/>
    <x v="146"/>
    <x v="42"/>
    <x v="129"/>
    <x v="1"/>
  </r>
  <r>
    <x v="0"/>
    <x v="1"/>
    <x v="4"/>
    <x v="3"/>
    <x v="3"/>
    <x v="1"/>
    <x v="98"/>
    <x v="41"/>
    <x v="72"/>
    <x v="143"/>
    <x v="295"/>
    <x v="933"/>
    <x v="1008"/>
    <x v="974"/>
    <x v="1014"/>
    <x v="810"/>
    <x v="67"/>
    <x v="185"/>
    <x v="383"/>
    <x v="67"/>
    <x v="0"/>
  </r>
  <r>
    <x v="27"/>
    <x v="0"/>
    <x v="2"/>
    <x v="3"/>
    <x v="4"/>
    <x v="0"/>
    <x v="29"/>
    <x v="41"/>
    <x v="32"/>
    <x v="20"/>
    <x v="409"/>
    <x v="855"/>
    <x v="1009"/>
    <x v="975"/>
    <x v="1015"/>
    <x v="811"/>
    <x v="13"/>
    <x v="17"/>
    <x v="905"/>
    <x v="13"/>
    <x v="0"/>
  </r>
  <r>
    <x v="18"/>
    <x v="1"/>
    <x v="4"/>
    <x v="3"/>
    <x v="6"/>
    <x v="1"/>
    <x v="96"/>
    <x v="49"/>
    <x v="30"/>
    <x v="158"/>
    <x v="246"/>
    <x v="934"/>
    <x v="1010"/>
    <x v="976"/>
    <x v="1016"/>
    <x v="812"/>
    <x v="55"/>
    <x v="91"/>
    <x v="906"/>
    <x v="55"/>
    <x v="2"/>
  </r>
  <r>
    <x v="50"/>
    <x v="1"/>
    <x v="0"/>
    <x v="1"/>
    <x v="0"/>
    <x v="3"/>
    <x v="112"/>
    <x v="72"/>
    <x v="10"/>
    <x v="47"/>
    <x v="122"/>
    <x v="935"/>
    <x v="1011"/>
    <x v="977"/>
    <x v="1017"/>
    <x v="168"/>
    <x v="11"/>
    <x v="19"/>
    <x v="907"/>
    <x v="11"/>
    <x v="2"/>
  </r>
  <r>
    <x v="2"/>
    <x v="1"/>
    <x v="1"/>
    <x v="3"/>
    <x v="3"/>
    <x v="3"/>
    <x v="86"/>
    <x v="45"/>
    <x v="82"/>
    <x v="145"/>
    <x v="2"/>
    <x v="936"/>
    <x v="1012"/>
    <x v="978"/>
    <x v="1018"/>
    <x v="659"/>
    <x v="120"/>
    <x v="45"/>
    <x v="193"/>
    <x v="120"/>
    <x v="2"/>
  </r>
  <r>
    <x v="19"/>
    <x v="1"/>
    <x v="9"/>
    <x v="0"/>
    <x v="5"/>
    <x v="3"/>
    <x v="40"/>
    <x v="4"/>
    <x v="21"/>
    <x v="54"/>
    <x v="410"/>
    <x v="414"/>
    <x v="1013"/>
    <x v="979"/>
    <x v="1019"/>
    <x v="659"/>
    <x v="60"/>
    <x v="99"/>
    <x v="908"/>
    <x v="60"/>
    <x v="1"/>
  </r>
  <r>
    <x v="26"/>
    <x v="0"/>
    <x v="7"/>
    <x v="4"/>
    <x v="5"/>
    <x v="2"/>
    <x v="63"/>
    <x v="70"/>
    <x v="23"/>
    <x v="105"/>
    <x v="204"/>
    <x v="937"/>
    <x v="1014"/>
    <x v="980"/>
    <x v="1020"/>
    <x v="813"/>
    <x v="78"/>
    <x v="201"/>
    <x v="909"/>
    <x v="78"/>
    <x v="2"/>
  </r>
  <r>
    <x v="38"/>
    <x v="1"/>
    <x v="2"/>
    <x v="1"/>
    <x v="5"/>
    <x v="0"/>
    <x v="87"/>
    <x v="23"/>
    <x v="58"/>
    <x v="154"/>
    <x v="411"/>
    <x v="938"/>
    <x v="1015"/>
    <x v="591"/>
    <x v="1021"/>
    <x v="814"/>
    <x v="38"/>
    <x v="15"/>
    <x v="91"/>
    <x v="38"/>
    <x v="2"/>
  </r>
  <r>
    <x v="7"/>
    <x v="1"/>
    <x v="7"/>
    <x v="3"/>
    <x v="1"/>
    <x v="3"/>
    <x v="92"/>
    <x v="28"/>
    <x v="88"/>
    <x v="106"/>
    <x v="19"/>
    <x v="939"/>
    <x v="1016"/>
    <x v="981"/>
    <x v="1022"/>
    <x v="69"/>
    <x v="116"/>
    <x v="41"/>
    <x v="910"/>
    <x v="116"/>
    <x v="2"/>
  </r>
  <r>
    <x v="16"/>
    <x v="1"/>
    <x v="6"/>
    <x v="2"/>
    <x v="2"/>
    <x v="0"/>
    <x v="54"/>
    <x v="29"/>
    <x v="33"/>
    <x v="20"/>
    <x v="28"/>
    <x v="940"/>
    <x v="1017"/>
    <x v="982"/>
    <x v="1023"/>
    <x v="815"/>
    <x v="73"/>
    <x v="129"/>
    <x v="911"/>
    <x v="73"/>
    <x v="0"/>
  </r>
  <r>
    <x v="10"/>
    <x v="1"/>
    <x v="3"/>
    <x v="1"/>
    <x v="3"/>
    <x v="0"/>
    <x v="82"/>
    <x v="11"/>
    <x v="27"/>
    <x v="21"/>
    <x v="191"/>
    <x v="941"/>
    <x v="1018"/>
    <x v="983"/>
    <x v="1024"/>
    <x v="630"/>
    <x v="116"/>
    <x v="24"/>
    <x v="912"/>
    <x v="116"/>
    <x v="2"/>
  </r>
  <r>
    <x v="44"/>
    <x v="0"/>
    <x v="1"/>
    <x v="3"/>
    <x v="6"/>
    <x v="0"/>
    <x v="14"/>
    <x v="9"/>
    <x v="36"/>
    <x v="152"/>
    <x v="346"/>
    <x v="942"/>
    <x v="1019"/>
    <x v="984"/>
    <x v="1025"/>
    <x v="602"/>
    <x v="36"/>
    <x v="107"/>
    <x v="43"/>
    <x v="36"/>
    <x v="2"/>
  </r>
  <r>
    <x v="22"/>
    <x v="1"/>
    <x v="6"/>
    <x v="4"/>
    <x v="1"/>
    <x v="0"/>
    <x v="62"/>
    <x v="55"/>
    <x v="26"/>
    <x v="129"/>
    <x v="412"/>
    <x v="70"/>
    <x v="1020"/>
    <x v="985"/>
    <x v="1026"/>
    <x v="816"/>
    <x v="21"/>
    <x v="4"/>
    <x v="913"/>
    <x v="21"/>
    <x v="0"/>
  </r>
  <r>
    <x v="7"/>
    <x v="0"/>
    <x v="9"/>
    <x v="2"/>
    <x v="1"/>
    <x v="2"/>
    <x v="76"/>
    <x v="5"/>
    <x v="45"/>
    <x v="142"/>
    <x v="147"/>
    <x v="943"/>
    <x v="1021"/>
    <x v="986"/>
    <x v="1027"/>
    <x v="817"/>
    <x v="104"/>
    <x v="39"/>
    <x v="914"/>
    <x v="104"/>
    <x v="2"/>
  </r>
  <r>
    <x v="10"/>
    <x v="0"/>
    <x v="9"/>
    <x v="2"/>
    <x v="3"/>
    <x v="3"/>
    <x v="90"/>
    <x v="79"/>
    <x v="73"/>
    <x v="79"/>
    <x v="358"/>
    <x v="513"/>
    <x v="1022"/>
    <x v="987"/>
    <x v="1028"/>
    <x v="818"/>
    <x v="15"/>
    <x v="39"/>
    <x v="915"/>
    <x v="15"/>
    <x v="2"/>
  </r>
  <r>
    <x v="42"/>
    <x v="0"/>
    <x v="5"/>
    <x v="3"/>
    <x v="5"/>
    <x v="2"/>
    <x v="93"/>
    <x v="47"/>
    <x v="37"/>
    <x v="38"/>
    <x v="74"/>
    <x v="944"/>
    <x v="1023"/>
    <x v="988"/>
    <x v="1029"/>
    <x v="791"/>
    <x v="33"/>
    <x v="103"/>
    <x v="916"/>
    <x v="33"/>
    <x v="2"/>
  </r>
  <r>
    <x v="58"/>
    <x v="1"/>
    <x v="2"/>
    <x v="2"/>
    <x v="2"/>
    <x v="3"/>
    <x v="57"/>
    <x v="55"/>
    <x v="21"/>
    <x v="38"/>
    <x v="44"/>
    <x v="414"/>
    <x v="1024"/>
    <x v="989"/>
    <x v="1030"/>
    <x v="819"/>
    <x v="179"/>
    <x v="110"/>
    <x v="917"/>
    <x v="179"/>
    <x v="0"/>
  </r>
  <r>
    <x v="57"/>
    <x v="0"/>
    <x v="6"/>
    <x v="2"/>
    <x v="2"/>
    <x v="1"/>
    <x v="33"/>
    <x v="53"/>
    <x v="85"/>
    <x v="74"/>
    <x v="355"/>
    <x v="945"/>
    <x v="1025"/>
    <x v="990"/>
    <x v="1031"/>
    <x v="270"/>
    <x v="148"/>
    <x v="111"/>
    <x v="918"/>
    <x v="148"/>
    <x v="0"/>
  </r>
  <r>
    <x v="16"/>
    <x v="0"/>
    <x v="3"/>
    <x v="4"/>
    <x v="1"/>
    <x v="1"/>
    <x v="19"/>
    <x v="17"/>
    <x v="52"/>
    <x v="135"/>
    <x v="286"/>
    <x v="946"/>
    <x v="1026"/>
    <x v="991"/>
    <x v="1032"/>
    <x v="132"/>
    <x v="16"/>
    <x v="167"/>
    <x v="919"/>
    <x v="16"/>
    <x v="0"/>
  </r>
  <r>
    <x v="46"/>
    <x v="1"/>
    <x v="6"/>
    <x v="0"/>
    <x v="0"/>
    <x v="1"/>
    <x v="22"/>
    <x v="8"/>
    <x v="19"/>
    <x v="133"/>
    <x v="31"/>
    <x v="947"/>
    <x v="1027"/>
    <x v="992"/>
    <x v="1033"/>
    <x v="820"/>
    <x v="108"/>
    <x v="210"/>
    <x v="245"/>
    <x v="108"/>
    <x v="1"/>
  </r>
  <r>
    <x v="3"/>
    <x v="0"/>
    <x v="4"/>
    <x v="2"/>
    <x v="5"/>
    <x v="0"/>
    <x v="92"/>
    <x v="77"/>
    <x v="8"/>
    <x v="5"/>
    <x v="204"/>
    <x v="948"/>
    <x v="1028"/>
    <x v="993"/>
    <x v="1034"/>
    <x v="701"/>
    <x v="83"/>
    <x v="185"/>
    <x v="920"/>
    <x v="83"/>
    <x v="0"/>
  </r>
  <r>
    <x v="45"/>
    <x v="1"/>
    <x v="9"/>
    <x v="1"/>
    <x v="2"/>
    <x v="0"/>
    <x v="81"/>
    <x v="37"/>
    <x v="2"/>
    <x v="117"/>
    <x v="413"/>
    <x v="949"/>
    <x v="1029"/>
    <x v="994"/>
    <x v="1035"/>
    <x v="821"/>
    <x v="97"/>
    <x v="76"/>
    <x v="921"/>
    <x v="97"/>
    <x v="2"/>
  </r>
  <r>
    <x v="25"/>
    <x v="1"/>
    <x v="1"/>
    <x v="0"/>
    <x v="3"/>
    <x v="1"/>
    <x v="17"/>
    <x v="10"/>
    <x v="40"/>
    <x v="88"/>
    <x v="369"/>
    <x v="950"/>
    <x v="1030"/>
    <x v="995"/>
    <x v="1036"/>
    <x v="581"/>
    <x v="150"/>
    <x v="104"/>
    <x v="922"/>
    <x v="150"/>
    <x v="0"/>
  </r>
  <r>
    <x v="32"/>
    <x v="1"/>
    <x v="9"/>
    <x v="0"/>
    <x v="4"/>
    <x v="3"/>
    <x v="77"/>
    <x v="19"/>
    <x v="17"/>
    <x v="134"/>
    <x v="183"/>
    <x v="56"/>
    <x v="1031"/>
    <x v="996"/>
    <x v="1037"/>
    <x v="552"/>
    <x v="31"/>
    <x v="88"/>
    <x v="923"/>
    <x v="31"/>
    <x v="1"/>
  </r>
  <r>
    <x v="12"/>
    <x v="0"/>
    <x v="5"/>
    <x v="3"/>
    <x v="0"/>
    <x v="1"/>
    <x v="39"/>
    <x v="66"/>
    <x v="86"/>
    <x v="117"/>
    <x v="68"/>
    <x v="951"/>
    <x v="1032"/>
    <x v="997"/>
    <x v="1038"/>
    <x v="375"/>
    <x v="64"/>
    <x v="38"/>
    <x v="333"/>
    <x v="64"/>
    <x v="0"/>
  </r>
  <r>
    <x v="46"/>
    <x v="1"/>
    <x v="7"/>
    <x v="2"/>
    <x v="5"/>
    <x v="0"/>
    <x v="34"/>
    <x v="15"/>
    <x v="69"/>
    <x v="82"/>
    <x v="398"/>
    <x v="952"/>
    <x v="1033"/>
    <x v="998"/>
    <x v="1039"/>
    <x v="303"/>
    <x v="56"/>
    <x v="24"/>
    <x v="924"/>
    <x v="56"/>
    <x v="1"/>
  </r>
  <r>
    <x v="47"/>
    <x v="0"/>
    <x v="1"/>
    <x v="3"/>
    <x v="3"/>
    <x v="0"/>
    <x v="14"/>
    <x v="66"/>
    <x v="0"/>
    <x v="155"/>
    <x v="333"/>
    <x v="953"/>
    <x v="1034"/>
    <x v="999"/>
    <x v="1040"/>
    <x v="738"/>
    <x v="132"/>
    <x v="163"/>
    <x v="925"/>
    <x v="132"/>
    <x v="0"/>
  </r>
  <r>
    <x v="0"/>
    <x v="1"/>
    <x v="9"/>
    <x v="0"/>
    <x v="6"/>
    <x v="2"/>
    <x v="21"/>
    <x v="67"/>
    <x v="79"/>
    <x v="151"/>
    <x v="377"/>
    <x v="954"/>
    <x v="1035"/>
    <x v="1000"/>
    <x v="1041"/>
    <x v="822"/>
    <x v="178"/>
    <x v="37"/>
    <x v="926"/>
    <x v="178"/>
    <x v="0"/>
  </r>
  <r>
    <x v="43"/>
    <x v="1"/>
    <x v="8"/>
    <x v="3"/>
    <x v="0"/>
    <x v="2"/>
    <x v="6"/>
    <x v="51"/>
    <x v="22"/>
    <x v="19"/>
    <x v="222"/>
    <x v="955"/>
    <x v="1036"/>
    <x v="1001"/>
    <x v="1042"/>
    <x v="823"/>
    <x v="83"/>
    <x v="116"/>
    <x v="927"/>
    <x v="83"/>
    <x v="2"/>
  </r>
  <r>
    <x v="30"/>
    <x v="1"/>
    <x v="2"/>
    <x v="3"/>
    <x v="3"/>
    <x v="2"/>
    <x v="39"/>
    <x v="6"/>
    <x v="27"/>
    <x v="143"/>
    <x v="296"/>
    <x v="956"/>
    <x v="1037"/>
    <x v="1002"/>
    <x v="1043"/>
    <x v="824"/>
    <x v="35"/>
    <x v="67"/>
    <x v="198"/>
    <x v="35"/>
    <x v="1"/>
  </r>
  <r>
    <x v="6"/>
    <x v="0"/>
    <x v="1"/>
    <x v="0"/>
    <x v="1"/>
    <x v="3"/>
    <x v="16"/>
    <x v="32"/>
    <x v="24"/>
    <x v="53"/>
    <x v="33"/>
    <x v="957"/>
    <x v="1038"/>
    <x v="1003"/>
    <x v="1044"/>
    <x v="45"/>
    <x v="38"/>
    <x v="137"/>
    <x v="928"/>
    <x v="38"/>
    <x v="2"/>
  </r>
  <r>
    <x v="16"/>
    <x v="0"/>
    <x v="3"/>
    <x v="4"/>
    <x v="3"/>
    <x v="1"/>
    <x v="112"/>
    <x v="41"/>
    <x v="56"/>
    <x v="141"/>
    <x v="84"/>
    <x v="958"/>
    <x v="1039"/>
    <x v="1004"/>
    <x v="1045"/>
    <x v="166"/>
    <x v="64"/>
    <x v="99"/>
    <x v="642"/>
    <x v="64"/>
    <x v="0"/>
  </r>
  <r>
    <x v="1"/>
    <x v="0"/>
    <x v="9"/>
    <x v="3"/>
    <x v="6"/>
    <x v="2"/>
    <x v="16"/>
    <x v="20"/>
    <x v="65"/>
    <x v="118"/>
    <x v="400"/>
    <x v="959"/>
    <x v="1040"/>
    <x v="1005"/>
    <x v="1046"/>
    <x v="180"/>
    <x v="15"/>
    <x v="76"/>
    <x v="669"/>
    <x v="15"/>
    <x v="1"/>
  </r>
  <r>
    <x v="59"/>
    <x v="0"/>
    <x v="2"/>
    <x v="4"/>
    <x v="0"/>
    <x v="1"/>
    <x v="90"/>
    <x v="50"/>
    <x v="45"/>
    <x v="84"/>
    <x v="307"/>
    <x v="960"/>
    <x v="1041"/>
    <x v="1006"/>
    <x v="1047"/>
    <x v="825"/>
    <x v="68"/>
    <x v="51"/>
    <x v="929"/>
    <x v="68"/>
    <x v="0"/>
  </r>
  <r>
    <x v="18"/>
    <x v="1"/>
    <x v="5"/>
    <x v="3"/>
    <x v="5"/>
    <x v="0"/>
    <x v="15"/>
    <x v="56"/>
    <x v="79"/>
    <x v="65"/>
    <x v="402"/>
    <x v="1"/>
    <x v="1042"/>
    <x v="1007"/>
    <x v="1048"/>
    <x v="826"/>
    <x v="8"/>
    <x v="146"/>
    <x v="930"/>
    <x v="8"/>
    <x v="2"/>
  </r>
  <r>
    <x v="40"/>
    <x v="1"/>
    <x v="0"/>
    <x v="4"/>
    <x v="6"/>
    <x v="3"/>
    <x v="6"/>
    <x v="60"/>
    <x v="86"/>
    <x v="21"/>
    <x v="65"/>
    <x v="961"/>
    <x v="1043"/>
    <x v="1008"/>
    <x v="1049"/>
    <x v="827"/>
    <x v="60"/>
    <x v="180"/>
    <x v="931"/>
    <x v="60"/>
    <x v="2"/>
  </r>
  <r>
    <x v="43"/>
    <x v="1"/>
    <x v="6"/>
    <x v="0"/>
    <x v="0"/>
    <x v="3"/>
    <x v="71"/>
    <x v="40"/>
    <x v="34"/>
    <x v="27"/>
    <x v="106"/>
    <x v="962"/>
    <x v="1044"/>
    <x v="1009"/>
    <x v="1050"/>
    <x v="491"/>
    <x v="139"/>
    <x v="146"/>
    <x v="932"/>
    <x v="139"/>
    <x v="2"/>
  </r>
  <r>
    <x v="33"/>
    <x v="1"/>
    <x v="9"/>
    <x v="1"/>
    <x v="5"/>
    <x v="2"/>
    <x v="44"/>
    <x v="26"/>
    <x v="14"/>
    <x v="94"/>
    <x v="236"/>
    <x v="963"/>
    <x v="1045"/>
    <x v="1010"/>
    <x v="1051"/>
    <x v="828"/>
    <x v="56"/>
    <x v="68"/>
    <x v="933"/>
    <x v="56"/>
    <x v="2"/>
  </r>
  <r>
    <x v="24"/>
    <x v="1"/>
    <x v="5"/>
    <x v="1"/>
    <x v="5"/>
    <x v="2"/>
    <x v="81"/>
    <x v="76"/>
    <x v="68"/>
    <x v="74"/>
    <x v="414"/>
    <x v="945"/>
    <x v="1046"/>
    <x v="1011"/>
    <x v="1052"/>
    <x v="829"/>
    <x v="162"/>
    <x v="91"/>
    <x v="934"/>
    <x v="162"/>
    <x v="1"/>
  </r>
  <r>
    <x v="54"/>
    <x v="0"/>
    <x v="6"/>
    <x v="3"/>
    <x v="5"/>
    <x v="3"/>
    <x v="24"/>
    <x v="0"/>
    <x v="65"/>
    <x v="73"/>
    <x v="415"/>
    <x v="964"/>
    <x v="1047"/>
    <x v="1012"/>
    <x v="1053"/>
    <x v="830"/>
    <x v="62"/>
    <x v="133"/>
    <x v="935"/>
    <x v="62"/>
    <x v="0"/>
  </r>
  <r>
    <x v="7"/>
    <x v="0"/>
    <x v="0"/>
    <x v="4"/>
    <x v="1"/>
    <x v="3"/>
    <x v="16"/>
    <x v="16"/>
    <x v="52"/>
    <x v="84"/>
    <x v="123"/>
    <x v="965"/>
    <x v="1048"/>
    <x v="1013"/>
    <x v="1054"/>
    <x v="305"/>
    <x v="113"/>
    <x v="158"/>
    <x v="936"/>
    <x v="113"/>
    <x v="2"/>
  </r>
  <r>
    <x v="59"/>
    <x v="1"/>
    <x v="8"/>
    <x v="2"/>
    <x v="0"/>
    <x v="1"/>
    <x v="118"/>
    <x v="47"/>
    <x v="7"/>
    <x v="12"/>
    <x v="245"/>
    <x v="966"/>
    <x v="1049"/>
    <x v="1014"/>
    <x v="1055"/>
    <x v="831"/>
    <x v="94"/>
    <x v="42"/>
    <x v="937"/>
    <x v="94"/>
    <x v="0"/>
  </r>
  <r>
    <x v="32"/>
    <x v="0"/>
    <x v="6"/>
    <x v="3"/>
    <x v="0"/>
    <x v="2"/>
    <x v="91"/>
    <x v="21"/>
    <x v="56"/>
    <x v="126"/>
    <x v="359"/>
    <x v="967"/>
    <x v="149"/>
    <x v="1015"/>
    <x v="1056"/>
    <x v="378"/>
    <x v="20"/>
    <x v="25"/>
    <x v="938"/>
    <x v="20"/>
    <x v="1"/>
  </r>
  <r>
    <x v="14"/>
    <x v="0"/>
    <x v="9"/>
    <x v="0"/>
    <x v="6"/>
    <x v="2"/>
    <x v="30"/>
    <x v="63"/>
    <x v="74"/>
    <x v="129"/>
    <x v="172"/>
    <x v="968"/>
    <x v="1050"/>
    <x v="1016"/>
    <x v="1057"/>
    <x v="832"/>
    <x v="14"/>
    <x v="178"/>
    <x v="939"/>
    <x v="14"/>
    <x v="2"/>
  </r>
  <r>
    <x v="38"/>
    <x v="0"/>
    <x v="6"/>
    <x v="2"/>
    <x v="0"/>
    <x v="3"/>
    <x v="10"/>
    <x v="72"/>
    <x v="16"/>
    <x v="144"/>
    <x v="82"/>
    <x v="969"/>
    <x v="1051"/>
    <x v="266"/>
    <x v="1058"/>
    <x v="454"/>
    <x v="171"/>
    <x v="90"/>
    <x v="940"/>
    <x v="171"/>
    <x v="2"/>
  </r>
  <r>
    <x v="0"/>
    <x v="1"/>
    <x v="7"/>
    <x v="3"/>
    <x v="1"/>
    <x v="0"/>
    <x v="41"/>
    <x v="0"/>
    <x v="50"/>
    <x v="69"/>
    <x v="407"/>
    <x v="970"/>
    <x v="1052"/>
    <x v="1017"/>
    <x v="1059"/>
    <x v="365"/>
    <x v="110"/>
    <x v="46"/>
    <x v="173"/>
    <x v="110"/>
    <x v="0"/>
  </r>
  <r>
    <x v="22"/>
    <x v="1"/>
    <x v="8"/>
    <x v="0"/>
    <x v="3"/>
    <x v="1"/>
    <x v="110"/>
    <x v="52"/>
    <x v="80"/>
    <x v="99"/>
    <x v="84"/>
    <x v="971"/>
    <x v="1053"/>
    <x v="1018"/>
    <x v="1060"/>
    <x v="833"/>
    <x v="117"/>
    <x v="167"/>
    <x v="941"/>
    <x v="117"/>
    <x v="0"/>
  </r>
  <r>
    <x v="53"/>
    <x v="0"/>
    <x v="8"/>
    <x v="4"/>
    <x v="0"/>
    <x v="1"/>
    <x v="106"/>
    <x v="12"/>
    <x v="35"/>
    <x v="76"/>
    <x v="175"/>
    <x v="972"/>
    <x v="1054"/>
    <x v="1019"/>
    <x v="1061"/>
    <x v="694"/>
    <x v="82"/>
    <x v="47"/>
    <x v="942"/>
    <x v="82"/>
    <x v="1"/>
  </r>
  <r>
    <x v="20"/>
    <x v="0"/>
    <x v="4"/>
    <x v="2"/>
    <x v="0"/>
    <x v="2"/>
    <x v="49"/>
    <x v="57"/>
    <x v="42"/>
    <x v="104"/>
    <x v="38"/>
    <x v="973"/>
    <x v="1055"/>
    <x v="1020"/>
    <x v="1062"/>
    <x v="834"/>
    <x v="141"/>
    <x v="148"/>
    <x v="943"/>
    <x v="141"/>
    <x v="1"/>
  </r>
  <r>
    <x v="7"/>
    <x v="1"/>
    <x v="8"/>
    <x v="3"/>
    <x v="4"/>
    <x v="3"/>
    <x v="77"/>
    <x v="29"/>
    <x v="31"/>
    <x v="24"/>
    <x v="386"/>
    <x v="506"/>
    <x v="1056"/>
    <x v="1021"/>
    <x v="1063"/>
    <x v="835"/>
    <x v="12"/>
    <x v="116"/>
    <x v="200"/>
    <x v="12"/>
    <x v="2"/>
  </r>
  <r>
    <x v="20"/>
    <x v="1"/>
    <x v="3"/>
    <x v="1"/>
    <x v="3"/>
    <x v="2"/>
    <x v="86"/>
    <x v="58"/>
    <x v="38"/>
    <x v="102"/>
    <x v="234"/>
    <x v="974"/>
    <x v="1057"/>
    <x v="1022"/>
    <x v="1064"/>
    <x v="356"/>
    <x v="60"/>
    <x v="139"/>
    <x v="944"/>
    <x v="60"/>
    <x v="1"/>
  </r>
  <r>
    <x v="41"/>
    <x v="0"/>
    <x v="5"/>
    <x v="0"/>
    <x v="6"/>
    <x v="0"/>
    <x v="6"/>
    <x v="12"/>
    <x v="13"/>
    <x v="82"/>
    <x v="357"/>
    <x v="975"/>
    <x v="1058"/>
    <x v="1023"/>
    <x v="1065"/>
    <x v="836"/>
    <x v="126"/>
    <x v="132"/>
    <x v="945"/>
    <x v="126"/>
    <x v="2"/>
  </r>
  <r>
    <x v="44"/>
    <x v="0"/>
    <x v="1"/>
    <x v="1"/>
    <x v="6"/>
    <x v="1"/>
    <x v="96"/>
    <x v="27"/>
    <x v="9"/>
    <x v="10"/>
    <x v="137"/>
    <x v="412"/>
    <x v="1059"/>
    <x v="1024"/>
    <x v="1066"/>
    <x v="837"/>
    <x v="94"/>
    <x v="63"/>
    <x v="946"/>
    <x v="94"/>
    <x v="2"/>
  </r>
  <r>
    <x v="3"/>
    <x v="1"/>
    <x v="8"/>
    <x v="2"/>
    <x v="6"/>
    <x v="3"/>
    <x v="56"/>
    <x v="64"/>
    <x v="48"/>
    <x v="131"/>
    <x v="361"/>
    <x v="976"/>
    <x v="1060"/>
    <x v="1025"/>
    <x v="1067"/>
    <x v="838"/>
    <x v="93"/>
    <x v="109"/>
    <x v="947"/>
    <x v="93"/>
    <x v="0"/>
  </r>
  <r>
    <x v="26"/>
    <x v="0"/>
    <x v="3"/>
    <x v="1"/>
    <x v="0"/>
    <x v="1"/>
    <x v="110"/>
    <x v="1"/>
    <x v="23"/>
    <x v="23"/>
    <x v="376"/>
    <x v="977"/>
    <x v="1061"/>
    <x v="1026"/>
    <x v="1068"/>
    <x v="638"/>
    <x v="40"/>
    <x v="36"/>
    <x v="948"/>
    <x v="40"/>
    <x v="2"/>
  </r>
  <r>
    <x v="14"/>
    <x v="0"/>
    <x v="8"/>
    <x v="1"/>
    <x v="3"/>
    <x v="0"/>
    <x v="90"/>
    <x v="39"/>
    <x v="19"/>
    <x v="19"/>
    <x v="223"/>
    <x v="324"/>
    <x v="1062"/>
    <x v="1027"/>
    <x v="1069"/>
    <x v="839"/>
    <x v="101"/>
    <x v="38"/>
    <x v="949"/>
    <x v="101"/>
    <x v="2"/>
  </r>
  <r>
    <x v="51"/>
    <x v="1"/>
    <x v="7"/>
    <x v="0"/>
    <x v="2"/>
    <x v="2"/>
    <x v="54"/>
    <x v="0"/>
    <x v="56"/>
    <x v="104"/>
    <x v="131"/>
    <x v="978"/>
    <x v="1063"/>
    <x v="1028"/>
    <x v="1024"/>
    <x v="201"/>
    <x v="178"/>
    <x v="211"/>
    <x v="622"/>
    <x v="178"/>
    <x v="2"/>
  </r>
  <r>
    <x v="38"/>
    <x v="0"/>
    <x v="7"/>
    <x v="4"/>
    <x v="4"/>
    <x v="1"/>
    <x v="21"/>
    <x v="79"/>
    <x v="14"/>
    <x v="67"/>
    <x v="124"/>
    <x v="979"/>
    <x v="1064"/>
    <x v="1029"/>
    <x v="1070"/>
    <x v="840"/>
    <x v="91"/>
    <x v="173"/>
    <x v="950"/>
    <x v="91"/>
    <x v="2"/>
  </r>
  <r>
    <x v="15"/>
    <x v="1"/>
    <x v="9"/>
    <x v="2"/>
    <x v="4"/>
    <x v="1"/>
    <x v="8"/>
    <x v="6"/>
    <x v="56"/>
    <x v="50"/>
    <x v="6"/>
    <x v="980"/>
    <x v="1065"/>
    <x v="1030"/>
    <x v="1071"/>
    <x v="12"/>
    <x v="12"/>
    <x v="135"/>
    <x v="320"/>
    <x v="12"/>
    <x v="2"/>
  </r>
  <r>
    <x v="9"/>
    <x v="0"/>
    <x v="2"/>
    <x v="0"/>
    <x v="2"/>
    <x v="1"/>
    <x v="81"/>
    <x v="64"/>
    <x v="42"/>
    <x v="129"/>
    <x v="255"/>
    <x v="981"/>
    <x v="1066"/>
    <x v="557"/>
    <x v="1072"/>
    <x v="408"/>
    <x v="148"/>
    <x v="77"/>
    <x v="951"/>
    <x v="148"/>
    <x v="0"/>
  </r>
  <r>
    <x v="58"/>
    <x v="1"/>
    <x v="2"/>
    <x v="1"/>
    <x v="2"/>
    <x v="1"/>
    <x v="45"/>
    <x v="27"/>
    <x v="62"/>
    <x v="44"/>
    <x v="17"/>
    <x v="982"/>
    <x v="1067"/>
    <x v="1031"/>
    <x v="1073"/>
    <x v="841"/>
    <x v="102"/>
    <x v="53"/>
    <x v="48"/>
    <x v="102"/>
    <x v="0"/>
  </r>
  <r>
    <x v="8"/>
    <x v="1"/>
    <x v="9"/>
    <x v="1"/>
    <x v="1"/>
    <x v="2"/>
    <x v="83"/>
    <x v="41"/>
    <x v="78"/>
    <x v="108"/>
    <x v="175"/>
    <x v="983"/>
    <x v="1068"/>
    <x v="635"/>
    <x v="1074"/>
    <x v="842"/>
    <x v="136"/>
    <x v="75"/>
    <x v="952"/>
    <x v="136"/>
    <x v="2"/>
  </r>
  <r>
    <x v="48"/>
    <x v="0"/>
    <x v="2"/>
    <x v="3"/>
    <x v="5"/>
    <x v="1"/>
    <x v="111"/>
    <x v="22"/>
    <x v="5"/>
    <x v="30"/>
    <x v="413"/>
    <x v="984"/>
    <x v="1069"/>
    <x v="1032"/>
    <x v="1075"/>
    <x v="843"/>
    <x v="30"/>
    <x v="18"/>
    <x v="953"/>
    <x v="30"/>
    <x v="2"/>
  </r>
  <r>
    <x v="16"/>
    <x v="1"/>
    <x v="6"/>
    <x v="3"/>
    <x v="4"/>
    <x v="0"/>
    <x v="47"/>
    <x v="55"/>
    <x v="24"/>
    <x v="62"/>
    <x v="261"/>
    <x v="468"/>
    <x v="1070"/>
    <x v="1033"/>
    <x v="1076"/>
    <x v="844"/>
    <x v="93"/>
    <x v="30"/>
    <x v="954"/>
    <x v="93"/>
    <x v="0"/>
  </r>
  <r>
    <x v="32"/>
    <x v="0"/>
    <x v="1"/>
    <x v="0"/>
    <x v="3"/>
    <x v="2"/>
    <x v="116"/>
    <x v="18"/>
    <x v="28"/>
    <x v="15"/>
    <x v="370"/>
    <x v="985"/>
    <x v="1071"/>
    <x v="1034"/>
    <x v="1077"/>
    <x v="845"/>
    <x v="81"/>
    <x v="189"/>
    <x v="955"/>
    <x v="81"/>
    <x v="1"/>
  </r>
  <r>
    <x v="18"/>
    <x v="0"/>
    <x v="9"/>
    <x v="0"/>
    <x v="5"/>
    <x v="0"/>
    <x v="111"/>
    <x v="45"/>
    <x v="65"/>
    <x v="16"/>
    <x v="385"/>
    <x v="734"/>
    <x v="1072"/>
    <x v="1035"/>
    <x v="1078"/>
    <x v="846"/>
    <x v="35"/>
    <x v="138"/>
    <x v="956"/>
    <x v="35"/>
    <x v="2"/>
  </r>
  <r>
    <x v="36"/>
    <x v="0"/>
    <x v="6"/>
    <x v="3"/>
    <x v="3"/>
    <x v="1"/>
    <x v="106"/>
    <x v="13"/>
    <x v="1"/>
    <x v="156"/>
    <x v="50"/>
    <x v="986"/>
    <x v="1073"/>
    <x v="1036"/>
    <x v="1079"/>
    <x v="599"/>
    <x v="52"/>
    <x v="23"/>
    <x v="957"/>
    <x v="52"/>
    <x v="1"/>
  </r>
  <r>
    <x v="36"/>
    <x v="1"/>
    <x v="5"/>
    <x v="3"/>
    <x v="6"/>
    <x v="1"/>
    <x v="43"/>
    <x v="51"/>
    <x v="0"/>
    <x v="46"/>
    <x v="69"/>
    <x v="987"/>
    <x v="1074"/>
    <x v="1037"/>
    <x v="1080"/>
    <x v="587"/>
    <x v="16"/>
    <x v="127"/>
    <x v="599"/>
    <x v="16"/>
    <x v="1"/>
  </r>
  <r>
    <x v="16"/>
    <x v="1"/>
    <x v="8"/>
    <x v="0"/>
    <x v="0"/>
    <x v="1"/>
    <x v="115"/>
    <x v="52"/>
    <x v="3"/>
    <x v="45"/>
    <x v="380"/>
    <x v="988"/>
    <x v="1075"/>
    <x v="1038"/>
    <x v="1081"/>
    <x v="793"/>
    <x v="99"/>
    <x v="169"/>
    <x v="958"/>
    <x v="99"/>
    <x v="0"/>
  </r>
  <r>
    <x v="56"/>
    <x v="0"/>
    <x v="5"/>
    <x v="4"/>
    <x v="0"/>
    <x v="1"/>
    <x v="82"/>
    <x v="63"/>
    <x v="62"/>
    <x v="142"/>
    <x v="329"/>
    <x v="989"/>
    <x v="1076"/>
    <x v="1039"/>
    <x v="1082"/>
    <x v="790"/>
    <x v="3"/>
    <x v="35"/>
    <x v="959"/>
    <x v="3"/>
    <x v="2"/>
  </r>
  <r>
    <x v="46"/>
    <x v="0"/>
    <x v="0"/>
    <x v="3"/>
    <x v="3"/>
    <x v="1"/>
    <x v="96"/>
    <x v="38"/>
    <x v="89"/>
    <x v="150"/>
    <x v="150"/>
    <x v="990"/>
    <x v="1077"/>
    <x v="1040"/>
    <x v="1083"/>
    <x v="439"/>
    <x v="62"/>
    <x v="73"/>
    <x v="693"/>
    <x v="62"/>
    <x v="1"/>
  </r>
  <r>
    <x v="34"/>
    <x v="0"/>
    <x v="9"/>
    <x v="3"/>
    <x v="2"/>
    <x v="2"/>
    <x v="24"/>
    <x v="0"/>
    <x v="19"/>
    <x v="87"/>
    <x v="379"/>
    <x v="315"/>
    <x v="1078"/>
    <x v="1041"/>
    <x v="1084"/>
    <x v="847"/>
    <x v="62"/>
    <x v="100"/>
    <x v="960"/>
    <x v="62"/>
    <x v="2"/>
  </r>
  <r>
    <x v="7"/>
    <x v="1"/>
    <x v="7"/>
    <x v="2"/>
    <x v="2"/>
    <x v="0"/>
    <x v="25"/>
    <x v="3"/>
    <x v="0"/>
    <x v="46"/>
    <x v="320"/>
    <x v="991"/>
    <x v="1079"/>
    <x v="1042"/>
    <x v="1085"/>
    <x v="848"/>
    <x v="79"/>
    <x v="124"/>
    <x v="106"/>
    <x v="79"/>
    <x v="2"/>
  </r>
  <r>
    <x v="34"/>
    <x v="0"/>
    <x v="8"/>
    <x v="4"/>
    <x v="5"/>
    <x v="0"/>
    <x v="16"/>
    <x v="22"/>
    <x v="57"/>
    <x v="132"/>
    <x v="405"/>
    <x v="992"/>
    <x v="1080"/>
    <x v="1043"/>
    <x v="1086"/>
    <x v="849"/>
    <x v="86"/>
    <x v="42"/>
    <x v="961"/>
    <x v="86"/>
    <x v="2"/>
  </r>
  <r>
    <x v="57"/>
    <x v="1"/>
    <x v="2"/>
    <x v="0"/>
    <x v="5"/>
    <x v="1"/>
    <x v="66"/>
    <x v="4"/>
    <x v="72"/>
    <x v="104"/>
    <x v="55"/>
    <x v="969"/>
    <x v="1081"/>
    <x v="1044"/>
    <x v="1087"/>
    <x v="5"/>
    <x v="56"/>
    <x v="77"/>
    <x v="962"/>
    <x v="56"/>
    <x v="0"/>
  </r>
  <r>
    <x v="52"/>
    <x v="0"/>
    <x v="5"/>
    <x v="0"/>
    <x v="4"/>
    <x v="2"/>
    <x v="117"/>
    <x v="54"/>
    <x v="62"/>
    <x v="89"/>
    <x v="370"/>
    <x v="5"/>
    <x v="1082"/>
    <x v="1045"/>
    <x v="1088"/>
    <x v="850"/>
    <x v="14"/>
    <x v="33"/>
    <x v="963"/>
    <x v="14"/>
    <x v="2"/>
  </r>
  <r>
    <x v="59"/>
    <x v="1"/>
    <x v="7"/>
    <x v="1"/>
    <x v="0"/>
    <x v="3"/>
    <x v="67"/>
    <x v="37"/>
    <x v="85"/>
    <x v="38"/>
    <x v="411"/>
    <x v="993"/>
    <x v="1083"/>
    <x v="1046"/>
    <x v="1089"/>
    <x v="851"/>
    <x v="61"/>
    <x v="6"/>
    <x v="870"/>
    <x v="61"/>
    <x v="0"/>
  </r>
  <r>
    <x v="9"/>
    <x v="0"/>
    <x v="2"/>
    <x v="2"/>
    <x v="4"/>
    <x v="1"/>
    <x v="55"/>
    <x v="68"/>
    <x v="42"/>
    <x v="57"/>
    <x v="416"/>
    <x v="994"/>
    <x v="1084"/>
    <x v="1047"/>
    <x v="1090"/>
    <x v="852"/>
    <x v="123"/>
    <x v="41"/>
    <x v="783"/>
    <x v="123"/>
    <x v="0"/>
  </r>
  <r>
    <x v="23"/>
    <x v="0"/>
    <x v="0"/>
    <x v="0"/>
    <x v="5"/>
    <x v="3"/>
    <x v="37"/>
    <x v="44"/>
    <x v="3"/>
    <x v="119"/>
    <x v="369"/>
    <x v="581"/>
    <x v="1085"/>
    <x v="1048"/>
    <x v="1091"/>
    <x v="49"/>
    <x v="49"/>
    <x v="77"/>
    <x v="38"/>
    <x v="49"/>
    <x v="1"/>
  </r>
  <r>
    <x v="9"/>
    <x v="0"/>
    <x v="2"/>
    <x v="1"/>
    <x v="2"/>
    <x v="3"/>
    <x v="5"/>
    <x v="11"/>
    <x v="51"/>
    <x v="65"/>
    <x v="315"/>
    <x v="995"/>
    <x v="1086"/>
    <x v="977"/>
    <x v="1092"/>
    <x v="563"/>
    <x v="162"/>
    <x v="182"/>
    <x v="964"/>
    <x v="162"/>
    <x v="0"/>
  </r>
  <r>
    <x v="51"/>
    <x v="0"/>
    <x v="2"/>
    <x v="4"/>
    <x v="2"/>
    <x v="2"/>
    <x v="20"/>
    <x v="26"/>
    <x v="53"/>
    <x v="42"/>
    <x v="184"/>
    <x v="996"/>
    <x v="1087"/>
    <x v="1049"/>
    <x v="1093"/>
    <x v="853"/>
    <x v="36"/>
    <x v="92"/>
    <x v="965"/>
    <x v="36"/>
    <x v="2"/>
  </r>
  <r>
    <x v="55"/>
    <x v="0"/>
    <x v="7"/>
    <x v="4"/>
    <x v="4"/>
    <x v="0"/>
    <x v="60"/>
    <x v="40"/>
    <x v="20"/>
    <x v="15"/>
    <x v="52"/>
    <x v="997"/>
    <x v="1088"/>
    <x v="1050"/>
    <x v="1094"/>
    <x v="854"/>
    <x v="146"/>
    <x v="82"/>
    <x v="966"/>
    <x v="146"/>
    <x v="2"/>
  </r>
  <r>
    <x v="11"/>
    <x v="1"/>
    <x v="3"/>
    <x v="3"/>
    <x v="0"/>
    <x v="2"/>
    <x v="95"/>
    <x v="26"/>
    <x v="18"/>
    <x v="45"/>
    <x v="182"/>
    <x v="998"/>
    <x v="1089"/>
    <x v="1051"/>
    <x v="1095"/>
    <x v="855"/>
    <x v="84"/>
    <x v="110"/>
    <x v="967"/>
    <x v="84"/>
    <x v="1"/>
  </r>
  <r>
    <x v="45"/>
    <x v="0"/>
    <x v="6"/>
    <x v="2"/>
    <x v="5"/>
    <x v="2"/>
    <x v="97"/>
    <x v="27"/>
    <x v="64"/>
    <x v="6"/>
    <x v="205"/>
    <x v="999"/>
    <x v="1090"/>
    <x v="1052"/>
    <x v="1096"/>
    <x v="856"/>
    <x v="72"/>
    <x v="37"/>
    <x v="968"/>
    <x v="72"/>
    <x v="2"/>
  </r>
  <r>
    <x v="34"/>
    <x v="0"/>
    <x v="9"/>
    <x v="1"/>
    <x v="1"/>
    <x v="0"/>
    <x v="1"/>
    <x v="27"/>
    <x v="2"/>
    <x v="100"/>
    <x v="417"/>
    <x v="1000"/>
    <x v="1091"/>
    <x v="1053"/>
    <x v="1097"/>
    <x v="689"/>
    <x v="139"/>
    <x v="1"/>
    <x v="969"/>
    <x v="139"/>
    <x v="2"/>
  </r>
  <r>
    <x v="17"/>
    <x v="0"/>
    <x v="3"/>
    <x v="0"/>
    <x v="3"/>
    <x v="3"/>
    <x v="14"/>
    <x v="0"/>
    <x v="27"/>
    <x v="150"/>
    <x v="315"/>
    <x v="1001"/>
    <x v="1092"/>
    <x v="1054"/>
    <x v="1098"/>
    <x v="857"/>
    <x v="91"/>
    <x v="13"/>
    <x v="970"/>
    <x v="91"/>
    <x v="1"/>
  </r>
  <r>
    <x v="13"/>
    <x v="1"/>
    <x v="1"/>
    <x v="4"/>
    <x v="3"/>
    <x v="3"/>
    <x v="53"/>
    <x v="24"/>
    <x v="42"/>
    <x v="56"/>
    <x v="270"/>
    <x v="1002"/>
    <x v="1093"/>
    <x v="1055"/>
    <x v="1099"/>
    <x v="552"/>
    <x v="99"/>
    <x v="67"/>
    <x v="971"/>
    <x v="99"/>
    <x v="2"/>
  </r>
  <r>
    <x v="30"/>
    <x v="1"/>
    <x v="7"/>
    <x v="1"/>
    <x v="3"/>
    <x v="3"/>
    <x v="55"/>
    <x v="59"/>
    <x v="37"/>
    <x v="58"/>
    <x v="73"/>
    <x v="1003"/>
    <x v="1094"/>
    <x v="1056"/>
    <x v="1100"/>
    <x v="858"/>
    <x v="120"/>
    <x v="50"/>
    <x v="972"/>
    <x v="120"/>
    <x v="1"/>
  </r>
  <r>
    <x v="42"/>
    <x v="1"/>
    <x v="2"/>
    <x v="2"/>
    <x v="3"/>
    <x v="1"/>
    <x v="7"/>
    <x v="70"/>
    <x v="69"/>
    <x v="104"/>
    <x v="368"/>
    <x v="1004"/>
    <x v="1095"/>
    <x v="1057"/>
    <x v="1101"/>
    <x v="65"/>
    <x v="182"/>
    <x v="183"/>
    <x v="973"/>
    <x v="182"/>
    <x v="2"/>
  </r>
  <r>
    <x v="44"/>
    <x v="1"/>
    <x v="3"/>
    <x v="0"/>
    <x v="4"/>
    <x v="1"/>
    <x v="67"/>
    <x v="41"/>
    <x v="86"/>
    <x v="44"/>
    <x v="89"/>
    <x v="1005"/>
    <x v="1096"/>
    <x v="1058"/>
    <x v="1102"/>
    <x v="10"/>
    <x v="86"/>
    <x v="109"/>
    <x v="974"/>
    <x v="86"/>
    <x v="2"/>
  </r>
  <r>
    <x v="34"/>
    <x v="1"/>
    <x v="2"/>
    <x v="0"/>
    <x v="1"/>
    <x v="0"/>
    <x v="112"/>
    <x v="39"/>
    <x v="22"/>
    <x v="3"/>
    <x v="222"/>
    <x v="1006"/>
    <x v="1097"/>
    <x v="1059"/>
    <x v="1103"/>
    <x v="522"/>
    <x v="136"/>
    <x v="189"/>
    <x v="738"/>
    <x v="136"/>
    <x v="2"/>
  </r>
  <r>
    <x v="22"/>
    <x v="0"/>
    <x v="4"/>
    <x v="2"/>
    <x v="0"/>
    <x v="3"/>
    <x v="71"/>
    <x v="13"/>
    <x v="21"/>
    <x v="133"/>
    <x v="28"/>
    <x v="254"/>
    <x v="1098"/>
    <x v="1060"/>
    <x v="1104"/>
    <x v="9"/>
    <x v="92"/>
    <x v="100"/>
    <x v="975"/>
    <x v="92"/>
    <x v="0"/>
  </r>
  <r>
    <x v="11"/>
    <x v="0"/>
    <x v="2"/>
    <x v="3"/>
    <x v="5"/>
    <x v="1"/>
    <x v="1"/>
    <x v="12"/>
    <x v="40"/>
    <x v="54"/>
    <x v="183"/>
    <x v="1007"/>
    <x v="1099"/>
    <x v="1061"/>
    <x v="1105"/>
    <x v="859"/>
    <x v="66"/>
    <x v="70"/>
    <x v="976"/>
    <x v="66"/>
    <x v="1"/>
  </r>
  <r>
    <x v="15"/>
    <x v="0"/>
    <x v="8"/>
    <x v="2"/>
    <x v="3"/>
    <x v="0"/>
    <x v="69"/>
    <x v="40"/>
    <x v="67"/>
    <x v="134"/>
    <x v="219"/>
    <x v="1008"/>
    <x v="1100"/>
    <x v="1062"/>
    <x v="1106"/>
    <x v="860"/>
    <x v="45"/>
    <x v="67"/>
    <x v="977"/>
    <x v="45"/>
    <x v="2"/>
  </r>
  <r>
    <x v="57"/>
    <x v="1"/>
    <x v="3"/>
    <x v="1"/>
    <x v="5"/>
    <x v="0"/>
    <x v="5"/>
    <x v="28"/>
    <x v="21"/>
    <x v="99"/>
    <x v="36"/>
    <x v="114"/>
    <x v="1101"/>
    <x v="1063"/>
    <x v="1107"/>
    <x v="297"/>
    <x v="148"/>
    <x v="181"/>
    <x v="978"/>
    <x v="148"/>
    <x v="0"/>
  </r>
  <r>
    <x v="12"/>
    <x v="0"/>
    <x v="9"/>
    <x v="1"/>
    <x v="1"/>
    <x v="2"/>
    <x v="75"/>
    <x v="6"/>
    <x v="28"/>
    <x v="99"/>
    <x v="252"/>
    <x v="1009"/>
    <x v="1102"/>
    <x v="1064"/>
    <x v="1108"/>
    <x v="302"/>
    <x v="101"/>
    <x v="143"/>
    <x v="979"/>
    <x v="101"/>
    <x v="0"/>
  </r>
  <r>
    <x v="19"/>
    <x v="1"/>
    <x v="4"/>
    <x v="4"/>
    <x v="3"/>
    <x v="2"/>
    <x v="91"/>
    <x v="46"/>
    <x v="13"/>
    <x v="19"/>
    <x v="91"/>
    <x v="1010"/>
    <x v="1103"/>
    <x v="1065"/>
    <x v="1109"/>
    <x v="807"/>
    <x v="72"/>
    <x v="46"/>
    <x v="980"/>
    <x v="72"/>
    <x v="1"/>
  </r>
  <r>
    <x v="34"/>
    <x v="0"/>
    <x v="2"/>
    <x v="0"/>
    <x v="6"/>
    <x v="3"/>
    <x v="32"/>
    <x v="16"/>
    <x v="67"/>
    <x v="56"/>
    <x v="77"/>
    <x v="1011"/>
    <x v="1104"/>
    <x v="1066"/>
    <x v="1110"/>
    <x v="861"/>
    <x v="14"/>
    <x v="79"/>
    <x v="981"/>
    <x v="14"/>
    <x v="2"/>
  </r>
  <r>
    <x v="6"/>
    <x v="0"/>
    <x v="7"/>
    <x v="1"/>
    <x v="5"/>
    <x v="0"/>
    <x v="64"/>
    <x v="78"/>
    <x v="15"/>
    <x v="97"/>
    <x v="391"/>
    <x v="342"/>
    <x v="1105"/>
    <x v="1067"/>
    <x v="1111"/>
    <x v="862"/>
    <x v="132"/>
    <x v="129"/>
    <x v="830"/>
    <x v="132"/>
    <x v="2"/>
  </r>
  <r>
    <x v="38"/>
    <x v="0"/>
    <x v="5"/>
    <x v="2"/>
    <x v="6"/>
    <x v="3"/>
    <x v="54"/>
    <x v="48"/>
    <x v="42"/>
    <x v="141"/>
    <x v="1"/>
    <x v="462"/>
    <x v="1106"/>
    <x v="1068"/>
    <x v="1112"/>
    <x v="37"/>
    <x v="168"/>
    <x v="142"/>
    <x v="982"/>
    <x v="168"/>
    <x v="2"/>
  </r>
  <r>
    <x v="17"/>
    <x v="0"/>
    <x v="8"/>
    <x v="0"/>
    <x v="5"/>
    <x v="0"/>
    <x v="50"/>
    <x v="9"/>
    <x v="84"/>
    <x v="28"/>
    <x v="193"/>
    <x v="1012"/>
    <x v="1107"/>
    <x v="1069"/>
    <x v="1113"/>
    <x v="863"/>
    <x v="106"/>
    <x v="6"/>
    <x v="542"/>
    <x v="106"/>
    <x v="1"/>
  </r>
  <r>
    <x v="19"/>
    <x v="0"/>
    <x v="8"/>
    <x v="0"/>
    <x v="2"/>
    <x v="0"/>
    <x v="95"/>
    <x v="54"/>
    <x v="3"/>
    <x v="0"/>
    <x v="170"/>
    <x v="1013"/>
    <x v="1108"/>
    <x v="1070"/>
    <x v="1114"/>
    <x v="864"/>
    <x v="108"/>
    <x v="7"/>
    <x v="833"/>
    <x v="108"/>
    <x v="1"/>
  </r>
  <r>
    <x v="28"/>
    <x v="1"/>
    <x v="2"/>
    <x v="2"/>
    <x v="4"/>
    <x v="0"/>
    <x v="55"/>
    <x v="21"/>
    <x v="12"/>
    <x v="95"/>
    <x v="299"/>
    <x v="1014"/>
    <x v="1109"/>
    <x v="1071"/>
    <x v="1115"/>
    <x v="370"/>
    <x v="104"/>
    <x v="196"/>
    <x v="983"/>
    <x v="104"/>
    <x v="0"/>
  </r>
  <r>
    <x v="43"/>
    <x v="0"/>
    <x v="0"/>
    <x v="0"/>
    <x v="2"/>
    <x v="3"/>
    <x v="88"/>
    <x v="44"/>
    <x v="34"/>
    <x v="96"/>
    <x v="10"/>
    <x v="1015"/>
    <x v="1110"/>
    <x v="1072"/>
    <x v="1116"/>
    <x v="286"/>
    <x v="9"/>
    <x v="103"/>
    <x v="984"/>
    <x v="9"/>
    <x v="2"/>
  </r>
  <r>
    <x v="42"/>
    <x v="0"/>
    <x v="3"/>
    <x v="0"/>
    <x v="1"/>
    <x v="3"/>
    <x v="91"/>
    <x v="24"/>
    <x v="38"/>
    <x v="76"/>
    <x v="218"/>
    <x v="982"/>
    <x v="1111"/>
    <x v="1073"/>
    <x v="1117"/>
    <x v="4"/>
    <x v="38"/>
    <x v="66"/>
    <x v="985"/>
    <x v="38"/>
    <x v="2"/>
  </r>
  <r>
    <x v="31"/>
    <x v="0"/>
    <x v="2"/>
    <x v="2"/>
    <x v="3"/>
    <x v="0"/>
    <x v="80"/>
    <x v="26"/>
    <x v="89"/>
    <x v="42"/>
    <x v="212"/>
    <x v="1016"/>
    <x v="1112"/>
    <x v="1074"/>
    <x v="1118"/>
    <x v="865"/>
    <x v="35"/>
    <x v="92"/>
    <x v="986"/>
    <x v="35"/>
    <x v="2"/>
  </r>
  <r>
    <x v="22"/>
    <x v="1"/>
    <x v="8"/>
    <x v="2"/>
    <x v="2"/>
    <x v="3"/>
    <x v="62"/>
    <x v="16"/>
    <x v="87"/>
    <x v="130"/>
    <x v="73"/>
    <x v="1017"/>
    <x v="1113"/>
    <x v="1075"/>
    <x v="855"/>
    <x v="51"/>
    <x v="100"/>
    <x v="131"/>
    <x v="987"/>
    <x v="100"/>
    <x v="0"/>
  </r>
  <r>
    <x v="16"/>
    <x v="0"/>
    <x v="9"/>
    <x v="1"/>
    <x v="3"/>
    <x v="1"/>
    <x v="15"/>
    <x v="57"/>
    <x v="7"/>
    <x v="145"/>
    <x v="218"/>
    <x v="1018"/>
    <x v="1114"/>
    <x v="1076"/>
    <x v="1119"/>
    <x v="866"/>
    <x v="35"/>
    <x v="212"/>
    <x v="988"/>
    <x v="35"/>
    <x v="0"/>
  </r>
  <r>
    <x v="51"/>
    <x v="1"/>
    <x v="8"/>
    <x v="4"/>
    <x v="5"/>
    <x v="3"/>
    <x v="92"/>
    <x v="71"/>
    <x v="54"/>
    <x v="73"/>
    <x v="376"/>
    <x v="777"/>
    <x v="1115"/>
    <x v="1077"/>
    <x v="1120"/>
    <x v="494"/>
    <x v="176"/>
    <x v="49"/>
    <x v="989"/>
    <x v="176"/>
    <x v="2"/>
  </r>
  <r>
    <x v="19"/>
    <x v="1"/>
    <x v="4"/>
    <x v="0"/>
    <x v="4"/>
    <x v="2"/>
    <x v="26"/>
    <x v="22"/>
    <x v="33"/>
    <x v="17"/>
    <x v="64"/>
    <x v="1019"/>
    <x v="1116"/>
    <x v="1078"/>
    <x v="1121"/>
    <x v="809"/>
    <x v="141"/>
    <x v="172"/>
    <x v="990"/>
    <x v="141"/>
    <x v="1"/>
  </r>
  <r>
    <x v="28"/>
    <x v="1"/>
    <x v="8"/>
    <x v="4"/>
    <x v="3"/>
    <x v="1"/>
    <x v="106"/>
    <x v="48"/>
    <x v="27"/>
    <x v="146"/>
    <x v="271"/>
    <x v="1020"/>
    <x v="1117"/>
    <x v="1079"/>
    <x v="1122"/>
    <x v="867"/>
    <x v="35"/>
    <x v="158"/>
    <x v="198"/>
    <x v="35"/>
    <x v="0"/>
  </r>
  <r>
    <x v="56"/>
    <x v="0"/>
    <x v="0"/>
    <x v="3"/>
    <x v="0"/>
    <x v="3"/>
    <x v="69"/>
    <x v="5"/>
    <x v="64"/>
    <x v="1"/>
    <x v="71"/>
    <x v="1021"/>
    <x v="1118"/>
    <x v="1080"/>
    <x v="1123"/>
    <x v="868"/>
    <x v="177"/>
    <x v="132"/>
    <x v="991"/>
    <x v="177"/>
    <x v="2"/>
  </r>
  <r>
    <x v="3"/>
    <x v="1"/>
    <x v="2"/>
    <x v="3"/>
    <x v="6"/>
    <x v="0"/>
    <x v="87"/>
    <x v="20"/>
    <x v="7"/>
    <x v="102"/>
    <x v="85"/>
    <x v="1022"/>
    <x v="1119"/>
    <x v="1081"/>
    <x v="1124"/>
    <x v="869"/>
    <x v="78"/>
    <x v="189"/>
    <x v="992"/>
    <x v="78"/>
    <x v="0"/>
  </r>
  <r>
    <x v="46"/>
    <x v="0"/>
    <x v="8"/>
    <x v="1"/>
    <x v="1"/>
    <x v="2"/>
    <x v="29"/>
    <x v="42"/>
    <x v="66"/>
    <x v="18"/>
    <x v="52"/>
    <x v="1023"/>
    <x v="1120"/>
    <x v="1082"/>
    <x v="1125"/>
    <x v="788"/>
    <x v="132"/>
    <x v="140"/>
    <x v="993"/>
    <x v="132"/>
    <x v="1"/>
  </r>
  <r>
    <x v="23"/>
    <x v="0"/>
    <x v="7"/>
    <x v="4"/>
    <x v="5"/>
    <x v="0"/>
    <x v="25"/>
    <x v="17"/>
    <x v="57"/>
    <x v="0"/>
    <x v="122"/>
    <x v="90"/>
    <x v="1121"/>
    <x v="575"/>
    <x v="1126"/>
    <x v="870"/>
    <x v="41"/>
    <x v="74"/>
    <x v="994"/>
    <x v="41"/>
    <x v="1"/>
  </r>
  <r>
    <x v="29"/>
    <x v="1"/>
    <x v="5"/>
    <x v="0"/>
    <x v="6"/>
    <x v="2"/>
    <x v="85"/>
    <x v="34"/>
    <x v="15"/>
    <x v="88"/>
    <x v="378"/>
    <x v="1024"/>
    <x v="1122"/>
    <x v="464"/>
    <x v="1127"/>
    <x v="871"/>
    <x v="45"/>
    <x v="99"/>
    <x v="995"/>
    <x v="45"/>
    <x v="2"/>
  </r>
  <r>
    <x v="16"/>
    <x v="0"/>
    <x v="9"/>
    <x v="2"/>
    <x v="4"/>
    <x v="2"/>
    <x v="65"/>
    <x v="60"/>
    <x v="71"/>
    <x v="13"/>
    <x v="96"/>
    <x v="1025"/>
    <x v="1123"/>
    <x v="1083"/>
    <x v="1128"/>
    <x v="872"/>
    <x v="15"/>
    <x v="111"/>
    <x v="996"/>
    <x v="15"/>
    <x v="0"/>
  </r>
  <r>
    <x v="57"/>
    <x v="0"/>
    <x v="0"/>
    <x v="2"/>
    <x v="2"/>
    <x v="1"/>
    <x v="91"/>
    <x v="27"/>
    <x v="51"/>
    <x v="45"/>
    <x v="33"/>
    <x v="1026"/>
    <x v="1124"/>
    <x v="174"/>
    <x v="1129"/>
    <x v="368"/>
    <x v="10"/>
    <x v="109"/>
    <x v="575"/>
    <x v="10"/>
    <x v="0"/>
  </r>
  <r>
    <x v="53"/>
    <x v="0"/>
    <x v="9"/>
    <x v="3"/>
    <x v="2"/>
    <x v="3"/>
    <x v="102"/>
    <x v="6"/>
    <x v="56"/>
    <x v="10"/>
    <x v="414"/>
    <x v="1027"/>
    <x v="1125"/>
    <x v="1084"/>
    <x v="1130"/>
    <x v="683"/>
    <x v="49"/>
    <x v="96"/>
    <x v="997"/>
    <x v="49"/>
    <x v="1"/>
  </r>
  <r>
    <x v="59"/>
    <x v="1"/>
    <x v="2"/>
    <x v="0"/>
    <x v="1"/>
    <x v="0"/>
    <x v="113"/>
    <x v="35"/>
    <x v="45"/>
    <x v="114"/>
    <x v="175"/>
    <x v="1028"/>
    <x v="527"/>
    <x v="1085"/>
    <x v="1131"/>
    <x v="431"/>
    <x v="167"/>
    <x v="121"/>
    <x v="998"/>
    <x v="167"/>
    <x v="0"/>
  </r>
  <r>
    <x v="3"/>
    <x v="1"/>
    <x v="0"/>
    <x v="4"/>
    <x v="6"/>
    <x v="3"/>
    <x v="110"/>
    <x v="37"/>
    <x v="46"/>
    <x v="71"/>
    <x v="300"/>
    <x v="417"/>
    <x v="1126"/>
    <x v="1086"/>
    <x v="1132"/>
    <x v="796"/>
    <x v="130"/>
    <x v="141"/>
    <x v="999"/>
    <x v="130"/>
    <x v="0"/>
  </r>
  <r>
    <x v="8"/>
    <x v="1"/>
    <x v="4"/>
    <x v="4"/>
    <x v="4"/>
    <x v="3"/>
    <x v="47"/>
    <x v="7"/>
    <x v="28"/>
    <x v="158"/>
    <x v="259"/>
    <x v="1029"/>
    <x v="1127"/>
    <x v="1087"/>
    <x v="1133"/>
    <x v="282"/>
    <x v="95"/>
    <x v="205"/>
    <x v="1000"/>
    <x v="95"/>
    <x v="2"/>
  </r>
  <r>
    <x v="1"/>
    <x v="1"/>
    <x v="8"/>
    <x v="2"/>
    <x v="0"/>
    <x v="0"/>
    <x v="89"/>
    <x v="27"/>
    <x v="41"/>
    <x v="144"/>
    <x v="282"/>
    <x v="1030"/>
    <x v="1128"/>
    <x v="1088"/>
    <x v="1134"/>
    <x v="873"/>
    <x v="127"/>
    <x v="12"/>
    <x v="1001"/>
    <x v="127"/>
    <x v="1"/>
  </r>
  <r>
    <x v="9"/>
    <x v="1"/>
    <x v="1"/>
    <x v="4"/>
    <x v="2"/>
    <x v="1"/>
    <x v="9"/>
    <x v="71"/>
    <x v="86"/>
    <x v="69"/>
    <x v="153"/>
    <x v="307"/>
    <x v="1129"/>
    <x v="1089"/>
    <x v="1135"/>
    <x v="874"/>
    <x v="88"/>
    <x v="61"/>
    <x v="1002"/>
    <x v="88"/>
    <x v="0"/>
  </r>
  <r>
    <x v="0"/>
    <x v="0"/>
    <x v="8"/>
    <x v="2"/>
    <x v="6"/>
    <x v="2"/>
    <x v="86"/>
    <x v="53"/>
    <x v="34"/>
    <x v="95"/>
    <x v="316"/>
    <x v="447"/>
    <x v="1130"/>
    <x v="1090"/>
    <x v="1136"/>
    <x v="875"/>
    <x v="94"/>
    <x v="199"/>
    <x v="1003"/>
    <x v="94"/>
    <x v="0"/>
  </r>
  <r>
    <x v="51"/>
    <x v="1"/>
    <x v="2"/>
    <x v="1"/>
    <x v="0"/>
    <x v="2"/>
    <x v="95"/>
    <x v="11"/>
    <x v="66"/>
    <x v="157"/>
    <x v="375"/>
    <x v="1031"/>
    <x v="1131"/>
    <x v="464"/>
    <x v="1137"/>
    <x v="876"/>
    <x v="26"/>
    <x v="91"/>
    <x v="1004"/>
    <x v="26"/>
    <x v="2"/>
  </r>
  <r>
    <x v="45"/>
    <x v="0"/>
    <x v="0"/>
    <x v="2"/>
    <x v="3"/>
    <x v="2"/>
    <x v="87"/>
    <x v="13"/>
    <x v="12"/>
    <x v="104"/>
    <x v="117"/>
    <x v="990"/>
    <x v="1132"/>
    <x v="1091"/>
    <x v="1138"/>
    <x v="788"/>
    <x v="98"/>
    <x v="110"/>
    <x v="989"/>
    <x v="98"/>
    <x v="2"/>
  </r>
  <r>
    <x v="7"/>
    <x v="1"/>
    <x v="1"/>
    <x v="4"/>
    <x v="2"/>
    <x v="1"/>
    <x v="35"/>
    <x v="22"/>
    <x v="85"/>
    <x v="83"/>
    <x v="218"/>
    <x v="1032"/>
    <x v="1133"/>
    <x v="1092"/>
    <x v="1139"/>
    <x v="877"/>
    <x v="53"/>
    <x v="126"/>
    <x v="1005"/>
    <x v="53"/>
    <x v="2"/>
  </r>
  <r>
    <x v="55"/>
    <x v="0"/>
    <x v="3"/>
    <x v="0"/>
    <x v="5"/>
    <x v="1"/>
    <x v="99"/>
    <x v="78"/>
    <x v="54"/>
    <x v="123"/>
    <x v="418"/>
    <x v="1033"/>
    <x v="1134"/>
    <x v="1093"/>
    <x v="1140"/>
    <x v="878"/>
    <x v="42"/>
    <x v="21"/>
    <x v="1006"/>
    <x v="42"/>
    <x v="2"/>
  </r>
  <r>
    <x v="48"/>
    <x v="1"/>
    <x v="8"/>
    <x v="2"/>
    <x v="5"/>
    <x v="0"/>
    <x v="33"/>
    <x v="79"/>
    <x v="81"/>
    <x v="37"/>
    <x v="320"/>
    <x v="1034"/>
    <x v="1135"/>
    <x v="1022"/>
    <x v="1141"/>
    <x v="879"/>
    <x v="12"/>
    <x v="138"/>
    <x v="1007"/>
    <x v="12"/>
    <x v="2"/>
  </r>
  <r>
    <x v="34"/>
    <x v="0"/>
    <x v="1"/>
    <x v="1"/>
    <x v="1"/>
    <x v="0"/>
    <x v="48"/>
    <x v="74"/>
    <x v="49"/>
    <x v="80"/>
    <x v="169"/>
    <x v="1035"/>
    <x v="1136"/>
    <x v="1094"/>
    <x v="1142"/>
    <x v="110"/>
    <x v="28"/>
    <x v="22"/>
    <x v="772"/>
    <x v="28"/>
    <x v="2"/>
  </r>
  <r>
    <x v="6"/>
    <x v="1"/>
    <x v="1"/>
    <x v="2"/>
    <x v="2"/>
    <x v="0"/>
    <x v="21"/>
    <x v="21"/>
    <x v="54"/>
    <x v="6"/>
    <x v="175"/>
    <x v="1036"/>
    <x v="1137"/>
    <x v="1095"/>
    <x v="1143"/>
    <x v="212"/>
    <x v="110"/>
    <x v="63"/>
    <x v="1008"/>
    <x v="110"/>
    <x v="2"/>
  </r>
  <r>
    <x v="10"/>
    <x v="0"/>
    <x v="8"/>
    <x v="3"/>
    <x v="4"/>
    <x v="2"/>
    <x v="10"/>
    <x v="73"/>
    <x v="35"/>
    <x v="131"/>
    <x v="31"/>
    <x v="1037"/>
    <x v="1138"/>
    <x v="1096"/>
    <x v="1144"/>
    <x v="880"/>
    <x v="53"/>
    <x v="158"/>
    <x v="432"/>
    <x v="53"/>
    <x v="2"/>
  </r>
  <r>
    <x v="33"/>
    <x v="0"/>
    <x v="8"/>
    <x v="0"/>
    <x v="2"/>
    <x v="0"/>
    <x v="24"/>
    <x v="38"/>
    <x v="84"/>
    <x v="128"/>
    <x v="276"/>
    <x v="1038"/>
    <x v="1139"/>
    <x v="1097"/>
    <x v="1145"/>
    <x v="881"/>
    <x v="126"/>
    <x v="24"/>
    <x v="383"/>
    <x v="126"/>
    <x v="2"/>
  </r>
  <r>
    <x v="45"/>
    <x v="1"/>
    <x v="1"/>
    <x v="3"/>
    <x v="5"/>
    <x v="3"/>
    <x v="103"/>
    <x v="26"/>
    <x v="87"/>
    <x v="73"/>
    <x v="56"/>
    <x v="1039"/>
    <x v="1140"/>
    <x v="1098"/>
    <x v="1146"/>
    <x v="314"/>
    <x v="119"/>
    <x v="55"/>
    <x v="1009"/>
    <x v="119"/>
    <x v="2"/>
  </r>
  <r>
    <x v="17"/>
    <x v="1"/>
    <x v="3"/>
    <x v="4"/>
    <x v="1"/>
    <x v="2"/>
    <x v="114"/>
    <x v="41"/>
    <x v="89"/>
    <x v="111"/>
    <x v="419"/>
    <x v="1040"/>
    <x v="1141"/>
    <x v="1099"/>
    <x v="1147"/>
    <x v="882"/>
    <x v="149"/>
    <x v="41"/>
    <x v="1010"/>
    <x v="149"/>
    <x v="1"/>
  </r>
  <r>
    <x v="17"/>
    <x v="1"/>
    <x v="5"/>
    <x v="3"/>
    <x v="4"/>
    <x v="2"/>
    <x v="51"/>
    <x v="1"/>
    <x v="50"/>
    <x v="45"/>
    <x v="33"/>
    <x v="1041"/>
    <x v="1142"/>
    <x v="237"/>
    <x v="1148"/>
    <x v="883"/>
    <x v="30"/>
    <x v="114"/>
    <x v="1011"/>
    <x v="30"/>
    <x v="1"/>
  </r>
  <r>
    <x v="47"/>
    <x v="1"/>
    <x v="1"/>
    <x v="4"/>
    <x v="2"/>
    <x v="0"/>
    <x v="110"/>
    <x v="11"/>
    <x v="44"/>
    <x v="124"/>
    <x v="420"/>
    <x v="1042"/>
    <x v="1143"/>
    <x v="1100"/>
    <x v="1149"/>
    <x v="670"/>
    <x v="74"/>
    <x v="61"/>
    <x v="97"/>
    <x v="74"/>
    <x v="0"/>
  </r>
  <r>
    <x v="31"/>
    <x v="0"/>
    <x v="7"/>
    <x v="3"/>
    <x v="6"/>
    <x v="2"/>
    <x v="24"/>
    <x v="12"/>
    <x v="3"/>
    <x v="85"/>
    <x v="159"/>
    <x v="1043"/>
    <x v="1144"/>
    <x v="1101"/>
    <x v="1150"/>
    <x v="104"/>
    <x v="37"/>
    <x v="98"/>
    <x v="1012"/>
    <x v="37"/>
    <x v="2"/>
  </r>
  <r>
    <x v="16"/>
    <x v="1"/>
    <x v="5"/>
    <x v="4"/>
    <x v="5"/>
    <x v="1"/>
    <x v="60"/>
    <x v="74"/>
    <x v="85"/>
    <x v="34"/>
    <x v="141"/>
    <x v="1044"/>
    <x v="1145"/>
    <x v="1102"/>
    <x v="1151"/>
    <x v="137"/>
    <x v="139"/>
    <x v="171"/>
    <x v="209"/>
    <x v="139"/>
    <x v="0"/>
  </r>
  <r>
    <x v="19"/>
    <x v="0"/>
    <x v="8"/>
    <x v="2"/>
    <x v="2"/>
    <x v="3"/>
    <x v="116"/>
    <x v="58"/>
    <x v="59"/>
    <x v="20"/>
    <x v="216"/>
    <x v="1045"/>
    <x v="1146"/>
    <x v="1103"/>
    <x v="1152"/>
    <x v="884"/>
    <x v="142"/>
    <x v="64"/>
    <x v="1013"/>
    <x v="142"/>
    <x v="1"/>
  </r>
  <r>
    <x v="39"/>
    <x v="1"/>
    <x v="8"/>
    <x v="3"/>
    <x v="3"/>
    <x v="3"/>
    <x v="19"/>
    <x v="31"/>
    <x v="81"/>
    <x v="30"/>
    <x v="285"/>
    <x v="1046"/>
    <x v="1147"/>
    <x v="1104"/>
    <x v="1153"/>
    <x v="885"/>
    <x v="20"/>
    <x v="169"/>
    <x v="1014"/>
    <x v="20"/>
    <x v="2"/>
  </r>
  <r>
    <x v="35"/>
    <x v="1"/>
    <x v="5"/>
    <x v="2"/>
    <x v="6"/>
    <x v="1"/>
    <x v="94"/>
    <x v="55"/>
    <x v="55"/>
    <x v="59"/>
    <x v="192"/>
    <x v="1047"/>
    <x v="1148"/>
    <x v="1105"/>
    <x v="1154"/>
    <x v="886"/>
    <x v="98"/>
    <x v="42"/>
    <x v="1015"/>
    <x v="98"/>
    <x v="2"/>
  </r>
  <r>
    <x v="43"/>
    <x v="1"/>
    <x v="3"/>
    <x v="3"/>
    <x v="2"/>
    <x v="3"/>
    <x v="85"/>
    <x v="77"/>
    <x v="25"/>
    <x v="9"/>
    <x v="381"/>
    <x v="1048"/>
    <x v="1149"/>
    <x v="1106"/>
    <x v="1155"/>
    <x v="614"/>
    <x v="13"/>
    <x v="163"/>
    <x v="1016"/>
    <x v="13"/>
    <x v="2"/>
  </r>
  <r>
    <x v="30"/>
    <x v="1"/>
    <x v="8"/>
    <x v="2"/>
    <x v="2"/>
    <x v="1"/>
    <x v="5"/>
    <x v="77"/>
    <x v="38"/>
    <x v="141"/>
    <x v="164"/>
    <x v="1049"/>
    <x v="1150"/>
    <x v="763"/>
    <x v="1156"/>
    <x v="670"/>
    <x v="33"/>
    <x v="108"/>
    <x v="1017"/>
    <x v="33"/>
    <x v="1"/>
  </r>
  <r>
    <x v="9"/>
    <x v="0"/>
    <x v="2"/>
    <x v="2"/>
    <x v="6"/>
    <x v="0"/>
    <x v="117"/>
    <x v="0"/>
    <x v="18"/>
    <x v="48"/>
    <x v="89"/>
    <x v="1050"/>
    <x v="1151"/>
    <x v="1107"/>
    <x v="1157"/>
    <x v="208"/>
    <x v="179"/>
    <x v="85"/>
    <x v="1018"/>
    <x v="179"/>
    <x v="0"/>
  </r>
  <r>
    <x v="59"/>
    <x v="1"/>
    <x v="8"/>
    <x v="1"/>
    <x v="2"/>
    <x v="2"/>
    <x v="46"/>
    <x v="71"/>
    <x v="60"/>
    <x v="49"/>
    <x v="221"/>
    <x v="1051"/>
    <x v="1152"/>
    <x v="1108"/>
    <x v="1158"/>
    <x v="121"/>
    <x v="156"/>
    <x v="184"/>
    <x v="1019"/>
    <x v="156"/>
    <x v="0"/>
  </r>
  <r>
    <x v="25"/>
    <x v="0"/>
    <x v="6"/>
    <x v="3"/>
    <x v="1"/>
    <x v="2"/>
    <x v="1"/>
    <x v="55"/>
    <x v="61"/>
    <x v="1"/>
    <x v="381"/>
    <x v="764"/>
    <x v="1153"/>
    <x v="1109"/>
    <x v="1159"/>
    <x v="887"/>
    <x v="106"/>
    <x v="154"/>
    <x v="1020"/>
    <x v="106"/>
    <x v="0"/>
  </r>
  <r>
    <x v="16"/>
    <x v="1"/>
    <x v="1"/>
    <x v="3"/>
    <x v="4"/>
    <x v="3"/>
    <x v="48"/>
    <x v="45"/>
    <x v="23"/>
    <x v="110"/>
    <x v="74"/>
    <x v="1052"/>
    <x v="1154"/>
    <x v="1110"/>
    <x v="1160"/>
    <x v="888"/>
    <x v="155"/>
    <x v="127"/>
    <x v="1021"/>
    <x v="155"/>
    <x v="0"/>
  </r>
  <r>
    <x v="30"/>
    <x v="1"/>
    <x v="6"/>
    <x v="2"/>
    <x v="5"/>
    <x v="0"/>
    <x v="91"/>
    <x v="70"/>
    <x v="0"/>
    <x v="17"/>
    <x v="406"/>
    <x v="472"/>
    <x v="1155"/>
    <x v="1111"/>
    <x v="1161"/>
    <x v="889"/>
    <x v="28"/>
    <x v="213"/>
    <x v="1022"/>
    <x v="28"/>
    <x v="1"/>
  </r>
  <r>
    <x v="32"/>
    <x v="1"/>
    <x v="2"/>
    <x v="3"/>
    <x v="3"/>
    <x v="3"/>
    <x v="24"/>
    <x v="21"/>
    <x v="37"/>
    <x v="72"/>
    <x v="416"/>
    <x v="699"/>
    <x v="1156"/>
    <x v="1112"/>
    <x v="1162"/>
    <x v="890"/>
    <x v="3"/>
    <x v="121"/>
    <x v="1023"/>
    <x v="3"/>
    <x v="1"/>
  </r>
  <r>
    <x v="51"/>
    <x v="0"/>
    <x v="1"/>
    <x v="4"/>
    <x v="1"/>
    <x v="2"/>
    <x v="58"/>
    <x v="14"/>
    <x v="45"/>
    <x v="59"/>
    <x v="32"/>
    <x v="456"/>
    <x v="1157"/>
    <x v="1113"/>
    <x v="1163"/>
    <x v="891"/>
    <x v="80"/>
    <x v="118"/>
    <x v="1024"/>
    <x v="80"/>
    <x v="2"/>
  </r>
  <r>
    <x v="33"/>
    <x v="0"/>
    <x v="4"/>
    <x v="3"/>
    <x v="4"/>
    <x v="2"/>
    <x v="30"/>
    <x v="55"/>
    <x v="22"/>
    <x v="79"/>
    <x v="403"/>
    <x v="447"/>
    <x v="1158"/>
    <x v="1114"/>
    <x v="1164"/>
    <x v="892"/>
    <x v="178"/>
    <x v="178"/>
    <x v="1025"/>
    <x v="178"/>
    <x v="2"/>
  </r>
  <r>
    <x v="52"/>
    <x v="1"/>
    <x v="5"/>
    <x v="2"/>
    <x v="0"/>
    <x v="0"/>
    <x v="2"/>
    <x v="67"/>
    <x v="79"/>
    <x v="137"/>
    <x v="103"/>
    <x v="1053"/>
    <x v="1159"/>
    <x v="1115"/>
    <x v="1165"/>
    <x v="893"/>
    <x v="88"/>
    <x v="203"/>
    <x v="1026"/>
    <x v="88"/>
    <x v="2"/>
  </r>
  <r>
    <x v="12"/>
    <x v="1"/>
    <x v="4"/>
    <x v="4"/>
    <x v="1"/>
    <x v="0"/>
    <x v="10"/>
    <x v="8"/>
    <x v="83"/>
    <x v="57"/>
    <x v="157"/>
    <x v="980"/>
    <x v="1160"/>
    <x v="1116"/>
    <x v="1166"/>
    <x v="894"/>
    <x v="42"/>
    <x v="214"/>
    <x v="894"/>
    <x v="42"/>
    <x v="0"/>
  </r>
  <r>
    <x v="13"/>
    <x v="0"/>
    <x v="3"/>
    <x v="1"/>
    <x v="6"/>
    <x v="2"/>
    <x v="74"/>
    <x v="13"/>
    <x v="3"/>
    <x v="145"/>
    <x v="200"/>
    <x v="1054"/>
    <x v="1161"/>
    <x v="1117"/>
    <x v="1167"/>
    <x v="895"/>
    <x v="36"/>
    <x v="78"/>
    <x v="1027"/>
    <x v="36"/>
    <x v="2"/>
  </r>
  <r>
    <x v="14"/>
    <x v="0"/>
    <x v="7"/>
    <x v="0"/>
    <x v="4"/>
    <x v="2"/>
    <x v="88"/>
    <x v="38"/>
    <x v="67"/>
    <x v="67"/>
    <x v="351"/>
    <x v="1055"/>
    <x v="1162"/>
    <x v="1118"/>
    <x v="1168"/>
    <x v="896"/>
    <x v="98"/>
    <x v="50"/>
    <x v="1028"/>
    <x v="98"/>
    <x v="2"/>
  </r>
  <r>
    <x v="9"/>
    <x v="1"/>
    <x v="1"/>
    <x v="3"/>
    <x v="1"/>
    <x v="2"/>
    <x v="19"/>
    <x v="13"/>
    <x v="68"/>
    <x v="153"/>
    <x v="35"/>
    <x v="1056"/>
    <x v="1163"/>
    <x v="1119"/>
    <x v="1169"/>
    <x v="162"/>
    <x v="53"/>
    <x v="165"/>
    <x v="269"/>
    <x v="53"/>
    <x v="0"/>
  </r>
  <r>
    <x v="31"/>
    <x v="1"/>
    <x v="8"/>
    <x v="3"/>
    <x v="3"/>
    <x v="2"/>
    <x v="46"/>
    <x v="69"/>
    <x v="63"/>
    <x v="142"/>
    <x v="211"/>
    <x v="1057"/>
    <x v="1164"/>
    <x v="1120"/>
    <x v="1170"/>
    <x v="897"/>
    <x v="59"/>
    <x v="178"/>
    <x v="1029"/>
    <x v="59"/>
    <x v="2"/>
  </r>
  <r>
    <x v="46"/>
    <x v="1"/>
    <x v="1"/>
    <x v="1"/>
    <x v="0"/>
    <x v="1"/>
    <x v="40"/>
    <x v="13"/>
    <x v="43"/>
    <x v="28"/>
    <x v="279"/>
    <x v="1058"/>
    <x v="1165"/>
    <x v="1121"/>
    <x v="1171"/>
    <x v="420"/>
    <x v="11"/>
    <x v="90"/>
    <x v="1030"/>
    <x v="11"/>
    <x v="1"/>
  </r>
  <r>
    <x v="5"/>
    <x v="0"/>
    <x v="4"/>
    <x v="0"/>
    <x v="2"/>
    <x v="1"/>
    <x v="88"/>
    <x v="9"/>
    <x v="47"/>
    <x v="95"/>
    <x v="42"/>
    <x v="1059"/>
    <x v="1166"/>
    <x v="1122"/>
    <x v="1172"/>
    <x v="370"/>
    <x v="55"/>
    <x v="140"/>
    <x v="1031"/>
    <x v="55"/>
    <x v="2"/>
  </r>
  <r>
    <x v="24"/>
    <x v="1"/>
    <x v="4"/>
    <x v="4"/>
    <x v="0"/>
    <x v="1"/>
    <x v="40"/>
    <x v="20"/>
    <x v="34"/>
    <x v="53"/>
    <x v="263"/>
    <x v="1060"/>
    <x v="1167"/>
    <x v="1123"/>
    <x v="1173"/>
    <x v="422"/>
    <x v="130"/>
    <x v="55"/>
    <x v="1032"/>
    <x v="130"/>
    <x v="1"/>
  </r>
  <r>
    <x v="53"/>
    <x v="1"/>
    <x v="3"/>
    <x v="2"/>
    <x v="4"/>
    <x v="1"/>
    <x v="21"/>
    <x v="48"/>
    <x v="10"/>
    <x v="98"/>
    <x v="286"/>
    <x v="1061"/>
    <x v="1168"/>
    <x v="1124"/>
    <x v="1174"/>
    <x v="304"/>
    <x v="48"/>
    <x v="141"/>
    <x v="467"/>
    <x v="48"/>
    <x v="1"/>
  </r>
  <r>
    <x v="46"/>
    <x v="0"/>
    <x v="6"/>
    <x v="1"/>
    <x v="3"/>
    <x v="2"/>
    <x v="79"/>
    <x v="49"/>
    <x v="69"/>
    <x v="72"/>
    <x v="363"/>
    <x v="1062"/>
    <x v="1169"/>
    <x v="1125"/>
    <x v="1175"/>
    <x v="898"/>
    <x v="144"/>
    <x v="137"/>
    <x v="1033"/>
    <x v="144"/>
    <x v="1"/>
  </r>
  <r>
    <x v="38"/>
    <x v="0"/>
    <x v="0"/>
    <x v="3"/>
    <x v="4"/>
    <x v="0"/>
    <x v="19"/>
    <x v="43"/>
    <x v="0"/>
    <x v="122"/>
    <x v="243"/>
    <x v="1063"/>
    <x v="1170"/>
    <x v="1126"/>
    <x v="1176"/>
    <x v="362"/>
    <x v="149"/>
    <x v="87"/>
    <x v="588"/>
    <x v="149"/>
    <x v="2"/>
  </r>
  <r>
    <x v="56"/>
    <x v="1"/>
    <x v="4"/>
    <x v="1"/>
    <x v="5"/>
    <x v="3"/>
    <x v="116"/>
    <x v="31"/>
    <x v="64"/>
    <x v="110"/>
    <x v="45"/>
    <x v="1064"/>
    <x v="1171"/>
    <x v="1127"/>
    <x v="1177"/>
    <x v="899"/>
    <x v="16"/>
    <x v="181"/>
    <x v="1034"/>
    <x v="16"/>
    <x v="2"/>
  </r>
  <r>
    <x v="15"/>
    <x v="1"/>
    <x v="6"/>
    <x v="0"/>
    <x v="2"/>
    <x v="0"/>
    <x v="71"/>
    <x v="22"/>
    <x v="15"/>
    <x v="138"/>
    <x v="299"/>
    <x v="1065"/>
    <x v="1172"/>
    <x v="1128"/>
    <x v="1178"/>
    <x v="701"/>
    <x v="56"/>
    <x v="133"/>
    <x v="1035"/>
    <x v="56"/>
    <x v="2"/>
  </r>
  <r>
    <x v="34"/>
    <x v="1"/>
    <x v="1"/>
    <x v="4"/>
    <x v="0"/>
    <x v="0"/>
    <x v="53"/>
    <x v="73"/>
    <x v="9"/>
    <x v="26"/>
    <x v="294"/>
    <x v="1066"/>
    <x v="1173"/>
    <x v="1129"/>
    <x v="1179"/>
    <x v="1"/>
    <x v="39"/>
    <x v="96"/>
    <x v="1036"/>
    <x v="39"/>
    <x v="2"/>
  </r>
  <r>
    <x v="20"/>
    <x v="1"/>
    <x v="4"/>
    <x v="3"/>
    <x v="2"/>
    <x v="0"/>
    <x v="59"/>
    <x v="64"/>
    <x v="16"/>
    <x v="36"/>
    <x v="279"/>
    <x v="1067"/>
    <x v="1174"/>
    <x v="1130"/>
    <x v="1180"/>
    <x v="900"/>
    <x v="6"/>
    <x v="38"/>
    <x v="1037"/>
    <x v="6"/>
    <x v="1"/>
  </r>
  <r>
    <x v="55"/>
    <x v="1"/>
    <x v="6"/>
    <x v="1"/>
    <x v="4"/>
    <x v="0"/>
    <x v="2"/>
    <x v="31"/>
    <x v="79"/>
    <x v="31"/>
    <x v="241"/>
    <x v="1068"/>
    <x v="1175"/>
    <x v="1131"/>
    <x v="1181"/>
    <x v="901"/>
    <x v="29"/>
    <x v="138"/>
    <x v="1038"/>
    <x v="29"/>
    <x v="2"/>
  </r>
  <r>
    <x v="19"/>
    <x v="0"/>
    <x v="0"/>
    <x v="1"/>
    <x v="6"/>
    <x v="3"/>
    <x v="102"/>
    <x v="2"/>
    <x v="16"/>
    <x v="83"/>
    <x v="319"/>
    <x v="1069"/>
    <x v="1176"/>
    <x v="1132"/>
    <x v="1182"/>
    <x v="902"/>
    <x v="166"/>
    <x v="198"/>
    <x v="1039"/>
    <x v="166"/>
    <x v="1"/>
  </r>
  <r>
    <x v="39"/>
    <x v="0"/>
    <x v="2"/>
    <x v="3"/>
    <x v="5"/>
    <x v="0"/>
    <x v="68"/>
    <x v="76"/>
    <x v="41"/>
    <x v="34"/>
    <x v="24"/>
    <x v="1070"/>
    <x v="1177"/>
    <x v="1133"/>
    <x v="1183"/>
    <x v="224"/>
    <x v="83"/>
    <x v="146"/>
    <x v="1040"/>
    <x v="83"/>
    <x v="2"/>
  </r>
  <r>
    <x v="50"/>
    <x v="0"/>
    <x v="8"/>
    <x v="2"/>
    <x v="6"/>
    <x v="0"/>
    <x v="116"/>
    <x v="22"/>
    <x v="9"/>
    <x v="83"/>
    <x v="30"/>
    <x v="1071"/>
    <x v="1178"/>
    <x v="1134"/>
    <x v="1184"/>
    <x v="903"/>
    <x v="155"/>
    <x v="126"/>
    <x v="58"/>
    <x v="155"/>
    <x v="2"/>
  </r>
  <r>
    <x v="32"/>
    <x v="1"/>
    <x v="9"/>
    <x v="1"/>
    <x v="0"/>
    <x v="3"/>
    <x v="62"/>
    <x v="69"/>
    <x v="51"/>
    <x v="37"/>
    <x v="421"/>
    <x v="1072"/>
    <x v="1179"/>
    <x v="1135"/>
    <x v="1185"/>
    <x v="798"/>
    <x v="108"/>
    <x v="163"/>
    <x v="1041"/>
    <x v="108"/>
    <x v="1"/>
  </r>
  <r>
    <x v="10"/>
    <x v="1"/>
    <x v="4"/>
    <x v="3"/>
    <x v="6"/>
    <x v="2"/>
    <x v="88"/>
    <x v="52"/>
    <x v="46"/>
    <x v="50"/>
    <x v="176"/>
    <x v="1073"/>
    <x v="1180"/>
    <x v="1136"/>
    <x v="1186"/>
    <x v="331"/>
    <x v="105"/>
    <x v="11"/>
    <x v="1042"/>
    <x v="105"/>
    <x v="2"/>
  </r>
  <r>
    <x v="48"/>
    <x v="0"/>
    <x v="7"/>
    <x v="0"/>
    <x v="4"/>
    <x v="0"/>
    <x v="104"/>
    <x v="69"/>
    <x v="46"/>
    <x v="159"/>
    <x v="220"/>
    <x v="1074"/>
    <x v="1181"/>
    <x v="1137"/>
    <x v="1187"/>
    <x v="904"/>
    <x v="22"/>
    <x v="20"/>
    <x v="1043"/>
    <x v="22"/>
    <x v="2"/>
  </r>
  <r>
    <x v="21"/>
    <x v="0"/>
    <x v="2"/>
    <x v="4"/>
    <x v="1"/>
    <x v="2"/>
    <x v="89"/>
    <x v="55"/>
    <x v="23"/>
    <x v="48"/>
    <x v="150"/>
    <x v="1075"/>
    <x v="1182"/>
    <x v="1138"/>
    <x v="1188"/>
    <x v="828"/>
    <x v="10"/>
    <x v="41"/>
    <x v="1044"/>
    <x v="10"/>
    <x v="0"/>
  </r>
  <r>
    <x v="31"/>
    <x v="1"/>
    <x v="4"/>
    <x v="1"/>
    <x v="4"/>
    <x v="0"/>
    <x v="95"/>
    <x v="21"/>
    <x v="45"/>
    <x v="12"/>
    <x v="192"/>
    <x v="788"/>
    <x v="1183"/>
    <x v="1139"/>
    <x v="1189"/>
    <x v="315"/>
    <x v="86"/>
    <x v="34"/>
    <x v="223"/>
    <x v="86"/>
    <x v="2"/>
  </r>
  <r>
    <x v="36"/>
    <x v="1"/>
    <x v="7"/>
    <x v="2"/>
    <x v="4"/>
    <x v="1"/>
    <x v="104"/>
    <x v="36"/>
    <x v="20"/>
    <x v="63"/>
    <x v="163"/>
    <x v="1076"/>
    <x v="1184"/>
    <x v="1140"/>
    <x v="1190"/>
    <x v="471"/>
    <x v="172"/>
    <x v="195"/>
    <x v="1045"/>
    <x v="172"/>
    <x v="1"/>
  </r>
  <r>
    <x v="29"/>
    <x v="0"/>
    <x v="9"/>
    <x v="2"/>
    <x v="0"/>
    <x v="1"/>
    <x v="53"/>
    <x v="77"/>
    <x v="59"/>
    <x v="156"/>
    <x v="148"/>
    <x v="1077"/>
    <x v="1185"/>
    <x v="1141"/>
    <x v="1191"/>
    <x v="524"/>
    <x v="68"/>
    <x v="57"/>
    <x v="1046"/>
    <x v="68"/>
    <x v="2"/>
  </r>
  <r>
    <x v="22"/>
    <x v="1"/>
    <x v="0"/>
    <x v="4"/>
    <x v="0"/>
    <x v="3"/>
    <x v="19"/>
    <x v="35"/>
    <x v="60"/>
    <x v="40"/>
    <x v="242"/>
    <x v="1078"/>
    <x v="1186"/>
    <x v="1142"/>
    <x v="1192"/>
    <x v="441"/>
    <x v="28"/>
    <x v="7"/>
    <x v="754"/>
    <x v="28"/>
    <x v="0"/>
  </r>
  <r>
    <x v="57"/>
    <x v="0"/>
    <x v="6"/>
    <x v="1"/>
    <x v="2"/>
    <x v="2"/>
    <x v="97"/>
    <x v="20"/>
    <x v="50"/>
    <x v="16"/>
    <x v="71"/>
    <x v="352"/>
    <x v="1187"/>
    <x v="1143"/>
    <x v="1193"/>
    <x v="905"/>
    <x v="123"/>
    <x v="73"/>
    <x v="1047"/>
    <x v="123"/>
    <x v="0"/>
  </r>
  <r>
    <x v="23"/>
    <x v="0"/>
    <x v="2"/>
    <x v="4"/>
    <x v="2"/>
    <x v="3"/>
    <x v="48"/>
    <x v="39"/>
    <x v="76"/>
    <x v="109"/>
    <x v="207"/>
    <x v="1079"/>
    <x v="1188"/>
    <x v="1144"/>
    <x v="1194"/>
    <x v="694"/>
    <x v="158"/>
    <x v="67"/>
    <x v="274"/>
    <x v="158"/>
    <x v="1"/>
  </r>
  <r>
    <x v="36"/>
    <x v="1"/>
    <x v="0"/>
    <x v="1"/>
    <x v="3"/>
    <x v="3"/>
    <x v="56"/>
    <x v="45"/>
    <x v="44"/>
    <x v="46"/>
    <x v="127"/>
    <x v="1080"/>
    <x v="1189"/>
    <x v="1145"/>
    <x v="1195"/>
    <x v="906"/>
    <x v="101"/>
    <x v="114"/>
    <x v="1048"/>
    <x v="101"/>
    <x v="1"/>
  </r>
  <r>
    <x v="12"/>
    <x v="1"/>
    <x v="0"/>
    <x v="0"/>
    <x v="6"/>
    <x v="3"/>
    <x v="79"/>
    <x v="61"/>
    <x v="73"/>
    <x v="131"/>
    <x v="221"/>
    <x v="1081"/>
    <x v="1190"/>
    <x v="1146"/>
    <x v="1196"/>
    <x v="907"/>
    <x v="38"/>
    <x v="67"/>
    <x v="1049"/>
    <x v="38"/>
    <x v="0"/>
  </r>
  <r>
    <x v="9"/>
    <x v="0"/>
    <x v="9"/>
    <x v="1"/>
    <x v="2"/>
    <x v="3"/>
    <x v="65"/>
    <x v="3"/>
    <x v="53"/>
    <x v="7"/>
    <x v="298"/>
    <x v="1082"/>
    <x v="1191"/>
    <x v="1147"/>
    <x v="1197"/>
    <x v="359"/>
    <x v="173"/>
    <x v="119"/>
    <x v="1050"/>
    <x v="173"/>
    <x v="0"/>
  </r>
  <r>
    <x v="14"/>
    <x v="1"/>
    <x v="0"/>
    <x v="1"/>
    <x v="5"/>
    <x v="3"/>
    <x v="53"/>
    <x v="17"/>
    <x v="18"/>
    <x v="123"/>
    <x v="333"/>
    <x v="1083"/>
    <x v="1192"/>
    <x v="1148"/>
    <x v="1198"/>
    <x v="908"/>
    <x v="103"/>
    <x v="33"/>
    <x v="1051"/>
    <x v="103"/>
    <x v="2"/>
  </r>
  <r>
    <x v="27"/>
    <x v="0"/>
    <x v="0"/>
    <x v="2"/>
    <x v="3"/>
    <x v="1"/>
    <x v="117"/>
    <x v="71"/>
    <x v="52"/>
    <x v="74"/>
    <x v="46"/>
    <x v="1084"/>
    <x v="1193"/>
    <x v="1149"/>
    <x v="1199"/>
    <x v="832"/>
    <x v="0"/>
    <x v="74"/>
    <x v="1052"/>
    <x v="0"/>
    <x v="0"/>
  </r>
  <r>
    <x v="12"/>
    <x v="0"/>
    <x v="3"/>
    <x v="4"/>
    <x v="3"/>
    <x v="0"/>
    <x v="5"/>
    <x v="64"/>
    <x v="48"/>
    <x v="80"/>
    <x v="70"/>
    <x v="1085"/>
    <x v="1194"/>
    <x v="1150"/>
    <x v="1200"/>
    <x v="909"/>
    <x v="137"/>
    <x v="21"/>
    <x v="1053"/>
    <x v="137"/>
    <x v="0"/>
  </r>
  <r>
    <x v="10"/>
    <x v="1"/>
    <x v="7"/>
    <x v="3"/>
    <x v="1"/>
    <x v="2"/>
    <x v="84"/>
    <x v="53"/>
    <x v="34"/>
    <x v="3"/>
    <x v="208"/>
    <x v="1086"/>
    <x v="1195"/>
    <x v="1151"/>
    <x v="1201"/>
    <x v="910"/>
    <x v="183"/>
    <x v="153"/>
    <x v="1054"/>
    <x v="183"/>
    <x v="2"/>
  </r>
  <r>
    <x v="17"/>
    <x v="1"/>
    <x v="5"/>
    <x v="0"/>
    <x v="4"/>
    <x v="3"/>
    <x v="117"/>
    <x v="16"/>
    <x v="2"/>
    <x v="95"/>
    <x v="184"/>
    <x v="1087"/>
    <x v="1196"/>
    <x v="1152"/>
    <x v="1202"/>
    <x v="701"/>
    <x v="160"/>
    <x v="89"/>
    <x v="1055"/>
    <x v="160"/>
    <x v="1"/>
  </r>
  <r>
    <x v="35"/>
    <x v="1"/>
    <x v="9"/>
    <x v="3"/>
    <x v="0"/>
    <x v="2"/>
    <x v="46"/>
    <x v="33"/>
    <x v="31"/>
    <x v="101"/>
    <x v="222"/>
    <x v="1088"/>
    <x v="1197"/>
    <x v="14"/>
    <x v="1203"/>
    <x v="911"/>
    <x v="154"/>
    <x v="166"/>
    <x v="486"/>
    <x v="154"/>
    <x v="2"/>
  </r>
  <r>
    <x v="43"/>
    <x v="1"/>
    <x v="0"/>
    <x v="0"/>
    <x v="3"/>
    <x v="0"/>
    <x v="56"/>
    <x v="61"/>
    <x v="58"/>
    <x v="141"/>
    <x v="411"/>
    <x v="1089"/>
    <x v="1198"/>
    <x v="1153"/>
    <x v="1204"/>
    <x v="912"/>
    <x v="74"/>
    <x v="35"/>
    <x v="91"/>
    <x v="74"/>
    <x v="2"/>
  </r>
  <r>
    <x v="13"/>
    <x v="0"/>
    <x v="3"/>
    <x v="1"/>
    <x v="0"/>
    <x v="2"/>
    <x v="58"/>
    <x v="42"/>
    <x v="14"/>
    <x v="13"/>
    <x v="88"/>
    <x v="1090"/>
    <x v="1199"/>
    <x v="1154"/>
    <x v="1205"/>
    <x v="706"/>
    <x v="58"/>
    <x v="43"/>
    <x v="1056"/>
    <x v="58"/>
    <x v="2"/>
  </r>
  <r>
    <x v="59"/>
    <x v="0"/>
    <x v="9"/>
    <x v="2"/>
    <x v="0"/>
    <x v="1"/>
    <x v="16"/>
    <x v="73"/>
    <x v="66"/>
    <x v="136"/>
    <x v="372"/>
    <x v="1091"/>
    <x v="1200"/>
    <x v="1155"/>
    <x v="1206"/>
    <x v="913"/>
    <x v="162"/>
    <x v="10"/>
    <x v="788"/>
    <x v="162"/>
    <x v="0"/>
  </r>
  <r>
    <x v="26"/>
    <x v="1"/>
    <x v="2"/>
    <x v="3"/>
    <x v="3"/>
    <x v="2"/>
    <x v="48"/>
    <x v="75"/>
    <x v="0"/>
    <x v="141"/>
    <x v="104"/>
    <x v="1092"/>
    <x v="1201"/>
    <x v="1156"/>
    <x v="1207"/>
    <x v="244"/>
    <x v="18"/>
    <x v="41"/>
    <x v="325"/>
    <x v="18"/>
    <x v="2"/>
  </r>
  <r>
    <x v="18"/>
    <x v="0"/>
    <x v="4"/>
    <x v="4"/>
    <x v="6"/>
    <x v="0"/>
    <x v="1"/>
    <x v="10"/>
    <x v="85"/>
    <x v="35"/>
    <x v="265"/>
    <x v="1093"/>
    <x v="1202"/>
    <x v="1157"/>
    <x v="1208"/>
    <x v="26"/>
    <x v="9"/>
    <x v="181"/>
    <x v="1057"/>
    <x v="9"/>
    <x v="2"/>
  </r>
  <r>
    <x v="11"/>
    <x v="0"/>
    <x v="0"/>
    <x v="2"/>
    <x v="2"/>
    <x v="0"/>
    <x v="89"/>
    <x v="72"/>
    <x v="69"/>
    <x v="76"/>
    <x v="55"/>
    <x v="1057"/>
    <x v="1203"/>
    <x v="1158"/>
    <x v="1209"/>
    <x v="209"/>
    <x v="155"/>
    <x v="205"/>
    <x v="1058"/>
    <x v="155"/>
    <x v="1"/>
  </r>
  <r>
    <x v="25"/>
    <x v="1"/>
    <x v="9"/>
    <x v="2"/>
    <x v="2"/>
    <x v="3"/>
    <x v="4"/>
    <x v="22"/>
    <x v="74"/>
    <x v="102"/>
    <x v="263"/>
    <x v="1094"/>
    <x v="1204"/>
    <x v="1159"/>
    <x v="1210"/>
    <x v="748"/>
    <x v="96"/>
    <x v="46"/>
    <x v="1059"/>
    <x v="96"/>
    <x v="0"/>
  </r>
  <r>
    <x v="25"/>
    <x v="0"/>
    <x v="4"/>
    <x v="4"/>
    <x v="1"/>
    <x v="0"/>
    <x v="34"/>
    <x v="30"/>
    <x v="32"/>
    <x v="89"/>
    <x v="68"/>
    <x v="1095"/>
    <x v="1205"/>
    <x v="1160"/>
    <x v="1211"/>
    <x v="914"/>
    <x v="144"/>
    <x v="145"/>
    <x v="994"/>
    <x v="144"/>
    <x v="0"/>
  </r>
  <r>
    <x v="2"/>
    <x v="1"/>
    <x v="0"/>
    <x v="0"/>
    <x v="5"/>
    <x v="2"/>
    <x v="106"/>
    <x v="43"/>
    <x v="47"/>
    <x v="72"/>
    <x v="200"/>
    <x v="1096"/>
    <x v="1206"/>
    <x v="1161"/>
    <x v="1212"/>
    <x v="867"/>
    <x v="51"/>
    <x v="117"/>
    <x v="45"/>
    <x v="51"/>
    <x v="2"/>
  </r>
  <r>
    <x v="34"/>
    <x v="1"/>
    <x v="7"/>
    <x v="0"/>
    <x v="2"/>
    <x v="2"/>
    <x v="64"/>
    <x v="42"/>
    <x v="17"/>
    <x v="46"/>
    <x v="33"/>
    <x v="1097"/>
    <x v="1207"/>
    <x v="1162"/>
    <x v="1213"/>
    <x v="296"/>
    <x v="111"/>
    <x v="108"/>
    <x v="1060"/>
    <x v="111"/>
    <x v="2"/>
  </r>
  <r>
    <x v="37"/>
    <x v="0"/>
    <x v="1"/>
    <x v="2"/>
    <x v="4"/>
    <x v="2"/>
    <x v="28"/>
    <x v="23"/>
    <x v="35"/>
    <x v="116"/>
    <x v="296"/>
    <x v="1098"/>
    <x v="1208"/>
    <x v="1163"/>
    <x v="1214"/>
    <x v="159"/>
    <x v="132"/>
    <x v="144"/>
    <x v="1061"/>
    <x v="132"/>
    <x v="2"/>
  </r>
  <r>
    <x v="13"/>
    <x v="1"/>
    <x v="0"/>
    <x v="1"/>
    <x v="4"/>
    <x v="3"/>
    <x v="53"/>
    <x v="19"/>
    <x v="55"/>
    <x v="2"/>
    <x v="349"/>
    <x v="1099"/>
    <x v="1209"/>
    <x v="1164"/>
    <x v="1215"/>
    <x v="915"/>
    <x v="27"/>
    <x v="130"/>
    <x v="1062"/>
    <x v="27"/>
    <x v="2"/>
  </r>
  <r>
    <x v="26"/>
    <x v="1"/>
    <x v="6"/>
    <x v="4"/>
    <x v="1"/>
    <x v="2"/>
    <x v="18"/>
    <x v="71"/>
    <x v="63"/>
    <x v="112"/>
    <x v="47"/>
    <x v="1100"/>
    <x v="1210"/>
    <x v="1165"/>
    <x v="1216"/>
    <x v="916"/>
    <x v="142"/>
    <x v="13"/>
    <x v="1063"/>
    <x v="142"/>
    <x v="2"/>
  </r>
  <r>
    <x v="10"/>
    <x v="1"/>
    <x v="5"/>
    <x v="0"/>
    <x v="4"/>
    <x v="0"/>
    <x v="92"/>
    <x v="14"/>
    <x v="47"/>
    <x v="74"/>
    <x v="16"/>
    <x v="1101"/>
    <x v="1211"/>
    <x v="1166"/>
    <x v="1217"/>
    <x v="917"/>
    <x v="74"/>
    <x v="132"/>
    <x v="779"/>
    <x v="74"/>
    <x v="2"/>
  </r>
  <r>
    <x v="9"/>
    <x v="1"/>
    <x v="0"/>
    <x v="1"/>
    <x v="2"/>
    <x v="1"/>
    <x v="90"/>
    <x v="8"/>
    <x v="62"/>
    <x v="62"/>
    <x v="164"/>
    <x v="1102"/>
    <x v="1212"/>
    <x v="288"/>
    <x v="1218"/>
    <x v="643"/>
    <x v="128"/>
    <x v="15"/>
    <x v="1064"/>
    <x v="128"/>
    <x v="0"/>
  </r>
  <r>
    <x v="31"/>
    <x v="1"/>
    <x v="8"/>
    <x v="4"/>
    <x v="6"/>
    <x v="0"/>
    <x v="103"/>
    <x v="42"/>
    <x v="82"/>
    <x v="130"/>
    <x v="199"/>
    <x v="1103"/>
    <x v="1213"/>
    <x v="283"/>
    <x v="1219"/>
    <x v="918"/>
    <x v="27"/>
    <x v="183"/>
    <x v="1065"/>
    <x v="27"/>
    <x v="2"/>
  </r>
  <r>
    <x v="52"/>
    <x v="0"/>
    <x v="3"/>
    <x v="2"/>
    <x v="1"/>
    <x v="3"/>
    <x v="114"/>
    <x v="68"/>
    <x v="49"/>
    <x v="64"/>
    <x v="3"/>
    <x v="1104"/>
    <x v="1214"/>
    <x v="1167"/>
    <x v="1220"/>
    <x v="919"/>
    <x v="35"/>
    <x v="95"/>
    <x v="1066"/>
    <x v="35"/>
    <x v="2"/>
  </r>
  <r>
    <x v="36"/>
    <x v="0"/>
    <x v="0"/>
    <x v="0"/>
    <x v="1"/>
    <x v="3"/>
    <x v="113"/>
    <x v="27"/>
    <x v="20"/>
    <x v="122"/>
    <x v="331"/>
    <x v="1105"/>
    <x v="1215"/>
    <x v="1168"/>
    <x v="1221"/>
    <x v="425"/>
    <x v="19"/>
    <x v="55"/>
    <x v="1067"/>
    <x v="19"/>
    <x v="1"/>
  </r>
  <r>
    <x v="41"/>
    <x v="1"/>
    <x v="6"/>
    <x v="0"/>
    <x v="6"/>
    <x v="2"/>
    <x v="51"/>
    <x v="49"/>
    <x v="78"/>
    <x v="96"/>
    <x v="59"/>
    <x v="1106"/>
    <x v="1216"/>
    <x v="1169"/>
    <x v="1222"/>
    <x v="909"/>
    <x v="22"/>
    <x v="215"/>
    <x v="1068"/>
    <x v="22"/>
    <x v="2"/>
  </r>
  <r>
    <x v="36"/>
    <x v="1"/>
    <x v="5"/>
    <x v="2"/>
    <x v="3"/>
    <x v="3"/>
    <x v="109"/>
    <x v="72"/>
    <x v="51"/>
    <x v="0"/>
    <x v="312"/>
    <x v="177"/>
    <x v="1217"/>
    <x v="1170"/>
    <x v="1223"/>
    <x v="920"/>
    <x v="118"/>
    <x v="56"/>
    <x v="1069"/>
    <x v="118"/>
    <x v="1"/>
  </r>
  <r>
    <x v="13"/>
    <x v="1"/>
    <x v="7"/>
    <x v="1"/>
    <x v="5"/>
    <x v="1"/>
    <x v="0"/>
    <x v="52"/>
    <x v="57"/>
    <x v="118"/>
    <x v="196"/>
    <x v="1107"/>
    <x v="1218"/>
    <x v="1171"/>
    <x v="1224"/>
    <x v="921"/>
    <x v="134"/>
    <x v="86"/>
    <x v="1070"/>
    <x v="134"/>
    <x v="2"/>
  </r>
  <r>
    <x v="16"/>
    <x v="0"/>
    <x v="7"/>
    <x v="2"/>
    <x v="4"/>
    <x v="0"/>
    <x v="1"/>
    <x v="28"/>
    <x v="43"/>
    <x v="116"/>
    <x v="155"/>
    <x v="1108"/>
    <x v="1219"/>
    <x v="257"/>
    <x v="1225"/>
    <x v="753"/>
    <x v="14"/>
    <x v="157"/>
    <x v="1071"/>
    <x v="14"/>
    <x v="0"/>
  </r>
  <r>
    <x v="42"/>
    <x v="0"/>
    <x v="4"/>
    <x v="3"/>
    <x v="1"/>
    <x v="2"/>
    <x v="103"/>
    <x v="57"/>
    <x v="66"/>
    <x v="47"/>
    <x v="273"/>
    <x v="1109"/>
    <x v="1220"/>
    <x v="1172"/>
    <x v="1226"/>
    <x v="543"/>
    <x v="56"/>
    <x v="74"/>
    <x v="1072"/>
    <x v="56"/>
    <x v="2"/>
  </r>
  <r>
    <x v="18"/>
    <x v="0"/>
    <x v="6"/>
    <x v="3"/>
    <x v="0"/>
    <x v="1"/>
    <x v="37"/>
    <x v="23"/>
    <x v="50"/>
    <x v="49"/>
    <x v="285"/>
    <x v="1110"/>
    <x v="1221"/>
    <x v="1173"/>
    <x v="1227"/>
    <x v="129"/>
    <x v="78"/>
    <x v="153"/>
    <x v="1073"/>
    <x v="78"/>
    <x v="2"/>
  </r>
  <r>
    <x v="57"/>
    <x v="0"/>
    <x v="5"/>
    <x v="2"/>
    <x v="6"/>
    <x v="0"/>
    <x v="9"/>
    <x v="7"/>
    <x v="9"/>
    <x v="87"/>
    <x v="203"/>
    <x v="382"/>
    <x v="1222"/>
    <x v="1174"/>
    <x v="1228"/>
    <x v="922"/>
    <x v="10"/>
    <x v="82"/>
    <x v="1074"/>
    <x v="10"/>
    <x v="0"/>
  </r>
  <r>
    <x v="35"/>
    <x v="1"/>
    <x v="2"/>
    <x v="0"/>
    <x v="6"/>
    <x v="2"/>
    <x v="84"/>
    <x v="65"/>
    <x v="65"/>
    <x v="22"/>
    <x v="316"/>
    <x v="1111"/>
    <x v="1223"/>
    <x v="1175"/>
    <x v="1229"/>
    <x v="923"/>
    <x v="125"/>
    <x v="55"/>
    <x v="1075"/>
    <x v="125"/>
    <x v="2"/>
  </r>
  <r>
    <x v="34"/>
    <x v="0"/>
    <x v="2"/>
    <x v="1"/>
    <x v="3"/>
    <x v="0"/>
    <x v="77"/>
    <x v="72"/>
    <x v="80"/>
    <x v="33"/>
    <x v="259"/>
    <x v="1112"/>
    <x v="1224"/>
    <x v="1176"/>
    <x v="1230"/>
    <x v="924"/>
    <x v="120"/>
    <x v="50"/>
    <x v="1076"/>
    <x v="120"/>
    <x v="2"/>
  </r>
  <r>
    <x v="11"/>
    <x v="1"/>
    <x v="4"/>
    <x v="1"/>
    <x v="1"/>
    <x v="1"/>
    <x v="28"/>
    <x v="26"/>
    <x v="33"/>
    <x v="21"/>
    <x v="26"/>
    <x v="1113"/>
    <x v="1225"/>
    <x v="1177"/>
    <x v="1231"/>
    <x v="925"/>
    <x v="30"/>
    <x v="31"/>
    <x v="471"/>
    <x v="30"/>
    <x v="1"/>
  </r>
  <r>
    <x v="50"/>
    <x v="0"/>
    <x v="5"/>
    <x v="4"/>
    <x v="5"/>
    <x v="2"/>
    <x v="111"/>
    <x v="6"/>
    <x v="39"/>
    <x v="27"/>
    <x v="340"/>
    <x v="1114"/>
    <x v="1226"/>
    <x v="1178"/>
    <x v="1232"/>
    <x v="926"/>
    <x v="129"/>
    <x v="86"/>
    <x v="139"/>
    <x v="129"/>
    <x v="2"/>
  </r>
  <r>
    <x v="16"/>
    <x v="0"/>
    <x v="8"/>
    <x v="3"/>
    <x v="6"/>
    <x v="2"/>
    <x v="81"/>
    <x v="1"/>
    <x v="46"/>
    <x v="80"/>
    <x v="55"/>
    <x v="211"/>
    <x v="1227"/>
    <x v="1179"/>
    <x v="1233"/>
    <x v="874"/>
    <x v="43"/>
    <x v="129"/>
    <x v="486"/>
    <x v="43"/>
    <x v="0"/>
  </r>
  <r>
    <x v="9"/>
    <x v="1"/>
    <x v="8"/>
    <x v="0"/>
    <x v="5"/>
    <x v="1"/>
    <x v="63"/>
    <x v="74"/>
    <x v="20"/>
    <x v="147"/>
    <x v="217"/>
    <x v="1115"/>
    <x v="1228"/>
    <x v="1180"/>
    <x v="1234"/>
    <x v="927"/>
    <x v="112"/>
    <x v="30"/>
    <x v="1077"/>
    <x v="112"/>
    <x v="0"/>
  </r>
  <r>
    <x v="11"/>
    <x v="0"/>
    <x v="3"/>
    <x v="1"/>
    <x v="4"/>
    <x v="0"/>
    <x v="35"/>
    <x v="19"/>
    <x v="50"/>
    <x v="13"/>
    <x v="8"/>
    <x v="1116"/>
    <x v="1229"/>
    <x v="1181"/>
    <x v="1235"/>
    <x v="928"/>
    <x v="8"/>
    <x v="127"/>
    <x v="1078"/>
    <x v="8"/>
    <x v="1"/>
  </r>
  <r>
    <x v="6"/>
    <x v="1"/>
    <x v="1"/>
    <x v="4"/>
    <x v="4"/>
    <x v="0"/>
    <x v="26"/>
    <x v="33"/>
    <x v="77"/>
    <x v="88"/>
    <x v="40"/>
    <x v="550"/>
    <x v="1230"/>
    <x v="1182"/>
    <x v="1236"/>
    <x v="929"/>
    <x v="49"/>
    <x v="25"/>
    <x v="1079"/>
    <x v="49"/>
    <x v="2"/>
  </r>
  <r>
    <x v="40"/>
    <x v="1"/>
    <x v="9"/>
    <x v="2"/>
    <x v="1"/>
    <x v="1"/>
    <x v="45"/>
    <x v="76"/>
    <x v="26"/>
    <x v="78"/>
    <x v="422"/>
    <x v="1117"/>
    <x v="1231"/>
    <x v="378"/>
    <x v="1237"/>
    <x v="930"/>
    <x v="123"/>
    <x v="98"/>
    <x v="343"/>
    <x v="123"/>
    <x v="2"/>
  </r>
  <r>
    <x v="54"/>
    <x v="1"/>
    <x v="4"/>
    <x v="0"/>
    <x v="0"/>
    <x v="1"/>
    <x v="12"/>
    <x v="5"/>
    <x v="62"/>
    <x v="112"/>
    <x v="402"/>
    <x v="1118"/>
    <x v="1232"/>
    <x v="1183"/>
    <x v="1238"/>
    <x v="931"/>
    <x v="175"/>
    <x v="133"/>
    <x v="1080"/>
    <x v="175"/>
    <x v="0"/>
  </r>
  <r>
    <x v="33"/>
    <x v="1"/>
    <x v="4"/>
    <x v="4"/>
    <x v="0"/>
    <x v="3"/>
    <x v="68"/>
    <x v="6"/>
    <x v="74"/>
    <x v="157"/>
    <x v="245"/>
    <x v="1119"/>
    <x v="1233"/>
    <x v="1184"/>
    <x v="1239"/>
    <x v="670"/>
    <x v="118"/>
    <x v="48"/>
    <x v="1081"/>
    <x v="118"/>
    <x v="2"/>
  </r>
  <r>
    <x v="24"/>
    <x v="0"/>
    <x v="0"/>
    <x v="3"/>
    <x v="5"/>
    <x v="3"/>
    <x v="26"/>
    <x v="13"/>
    <x v="58"/>
    <x v="149"/>
    <x v="207"/>
    <x v="1120"/>
    <x v="1234"/>
    <x v="1185"/>
    <x v="1240"/>
    <x v="932"/>
    <x v="8"/>
    <x v="156"/>
    <x v="91"/>
    <x v="8"/>
    <x v="1"/>
  </r>
  <r>
    <x v="34"/>
    <x v="0"/>
    <x v="1"/>
    <x v="2"/>
    <x v="0"/>
    <x v="3"/>
    <x v="18"/>
    <x v="31"/>
    <x v="31"/>
    <x v="140"/>
    <x v="383"/>
    <x v="1121"/>
    <x v="1235"/>
    <x v="1186"/>
    <x v="1241"/>
    <x v="461"/>
    <x v="24"/>
    <x v="165"/>
    <x v="811"/>
    <x v="24"/>
    <x v="2"/>
  </r>
  <r>
    <x v="13"/>
    <x v="1"/>
    <x v="3"/>
    <x v="4"/>
    <x v="3"/>
    <x v="1"/>
    <x v="58"/>
    <x v="6"/>
    <x v="51"/>
    <x v="21"/>
    <x v="375"/>
    <x v="1097"/>
    <x v="1236"/>
    <x v="1187"/>
    <x v="1242"/>
    <x v="907"/>
    <x v="148"/>
    <x v="70"/>
    <x v="1082"/>
    <x v="148"/>
    <x v="2"/>
  </r>
  <r>
    <x v="49"/>
    <x v="1"/>
    <x v="1"/>
    <x v="2"/>
    <x v="6"/>
    <x v="0"/>
    <x v="77"/>
    <x v="47"/>
    <x v="63"/>
    <x v="105"/>
    <x v="249"/>
    <x v="1122"/>
    <x v="1237"/>
    <x v="1188"/>
    <x v="1243"/>
    <x v="749"/>
    <x v="99"/>
    <x v="83"/>
    <x v="1083"/>
    <x v="99"/>
    <x v="1"/>
  </r>
  <r>
    <x v="18"/>
    <x v="0"/>
    <x v="9"/>
    <x v="0"/>
    <x v="3"/>
    <x v="2"/>
    <x v="96"/>
    <x v="59"/>
    <x v="87"/>
    <x v="38"/>
    <x v="285"/>
    <x v="1123"/>
    <x v="1238"/>
    <x v="1189"/>
    <x v="1244"/>
    <x v="321"/>
    <x v="110"/>
    <x v="130"/>
    <x v="1084"/>
    <x v="110"/>
    <x v="2"/>
  </r>
  <r>
    <x v="5"/>
    <x v="1"/>
    <x v="0"/>
    <x v="3"/>
    <x v="5"/>
    <x v="0"/>
    <x v="22"/>
    <x v="63"/>
    <x v="68"/>
    <x v="73"/>
    <x v="33"/>
    <x v="1124"/>
    <x v="1239"/>
    <x v="1190"/>
    <x v="1245"/>
    <x v="225"/>
    <x v="88"/>
    <x v="66"/>
    <x v="1085"/>
    <x v="88"/>
    <x v="2"/>
  </r>
  <r>
    <x v="4"/>
    <x v="1"/>
    <x v="2"/>
    <x v="0"/>
    <x v="1"/>
    <x v="3"/>
    <x v="114"/>
    <x v="39"/>
    <x v="39"/>
    <x v="17"/>
    <x v="375"/>
    <x v="1008"/>
    <x v="1240"/>
    <x v="1191"/>
    <x v="1246"/>
    <x v="759"/>
    <x v="23"/>
    <x v="216"/>
    <x v="1086"/>
    <x v="23"/>
    <x v="1"/>
  </r>
  <r>
    <x v="49"/>
    <x v="0"/>
    <x v="0"/>
    <x v="3"/>
    <x v="3"/>
    <x v="0"/>
    <x v="50"/>
    <x v="42"/>
    <x v="51"/>
    <x v="141"/>
    <x v="93"/>
    <x v="1125"/>
    <x v="1241"/>
    <x v="1192"/>
    <x v="1247"/>
    <x v="663"/>
    <x v="80"/>
    <x v="81"/>
    <x v="1087"/>
    <x v="80"/>
    <x v="1"/>
  </r>
  <r>
    <x v="15"/>
    <x v="0"/>
    <x v="4"/>
    <x v="0"/>
    <x v="0"/>
    <x v="0"/>
    <x v="24"/>
    <x v="11"/>
    <x v="30"/>
    <x v="4"/>
    <x v="226"/>
    <x v="231"/>
    <x v="1242"/>
    <x v="1193"/>
    <x v="1248"/>
    <x v="933"/>
    <x v="118"/>
    <x v="214"/>
    <x v="1088"/>
    <x v="118"/>
    <x v="2"/>
  </r>
  <r>
    <x v="57"/>
    <x v="1"/>
    <x v="8"/>
    <x v="1"/>
    <x v="3"/>
    <x v="2"/>
    <x v="12"/>
    <x v="76"/>
    <x v="26"/>
    <x v="32"/>
    <x v="242"/>
    <x v="1126"/>
    <x v="1243"/>
    <x v="1194"/>
    <x v="1249"/>
    <x v="934"/>
    <x v="50"/>
    <x v="135"/>
    <x v="370"/>
    <x v="50"/>
    <x v="0"/>
  </r>
  <r>
    <x v="57"/>
    <x v="0"/>
    <x v="8"/>
    <x v="4"/>
    <x v="2"/>
    <x v="3"/>
    <x v="77"/>
    <x v="74"/>
    <x v="40"/>
    <x v="15"/>
    <x v="203"/>
    <x v="1127"/>
    <x v="1244"/>
    <x v="1195"/>
    <x v="1250"/>
    <x v="753"/>
    <x v="41"/>
    <x v="10"/>
    <x v="1089"/>
    <x v="41"/>
    <x v="0"/>
  </r>
  <r>
    <x v="49"/>
    <x v="1"/>
    <x v="7"/>
    <x v="3"/>
    <x v="3"/>
    <x v="0"/>
    <x v="37"/>
    <x v="58"/>
    <x v="70"/>
    <x v="28"/>
    <x v="423"/>
    <x v="1128"/>
    <x v="1245"/>
    <x v="1196"/>
    <x v="1251"/>
    <x v="935"/>
    <x v="102"/>
    <x v="63"/>
    <x v="324"/>
    <x v="102"/>
    <x v="1"/>
  </r>
  <r>
    <x v="27"/>
    <x v="0"/>
    <x v="1"/>
    <x v="0"/>
    <x v="4"/>
    <x v="3"/>
    <x v="58"/>
    <x v="30"/>
    <x v="74"/>
    <x v="97"/>
    <x v="224"/>
    <x v="425"/>
    <x v="1246"/>
    <x v="1197"/>
    <x v="1252"/>
    <x v="679"/>
    <x v="57"/>
    <x v="119"/>
    <x v="1090"/>
    <x v="57"/>
    <x v="0"/>
  </r>
  <r>
    <x v="29"/>
    <x v="0"/>
    <x v="5"/>
    <x v="1"/>
    <x v="4"/>
    <x v="3"/>
    <x v="54"/>
    <x v="5"/>
    <x v="25"/>
    <x v="75"/>
    <x v="78"/>
    <x v="575"/>
    <x v="1247"/>
    <x v="1198"/>
    <x v="1253"/>
    <x v="936"/>
    <x v="15"/>
    <x v="204"/>
    <x v="1091"/>
    <x v="15"/>
    <x v="2"/>
  </r>
  <r>
    <x v="16"/>
    <x v="1"/>
    <x v="7"/>
    <x v="1"/>
    <x v="2"/>
    <x v="1"/>
    <x v="62"/>
    <x v="70"/>
    <x v="13"/>
    <x v="138"/>
    <x v="388"/>
    <x v="1129"/>
    <x v="294"/>
    <x v="1199"/>
    <x v="1254"/>
    <x v="103"/>
    <x v="132"/>
    <x v="0"/>
    <x v="1092"/>
    <x v="132"/>
    <x v="0"/>
  </r>
  <r>
    <x v="24"/>
    <x v="0"/>
    <x v="0"/>
    <x v="0"/>
    <x v="0"/>
    <x v="2"/>
    <x v="48"/>
    <x v="76"/>
    <x v="84"/>
    <x v="124"/>
    <x v="237"/>
    <x v="1130"/>
    <x v="1248"/>
    <x v="1200"/>
    <x v="1255"/>
    <x v="617"/>
    <x v="10"/>
    <x v="136"/>
    <x v="1093"/>
    <x v="10"/>
    <x v="1"/>
  </r>
  <r>
    <x v="33"/>
    <x v="0"/>
    <x v="2"/>
    <x v="4"/>
    <x v="6"/>
    <x v="0"/>
    <x v="113"/>
    <x v="67"/>
    <x v="2"/>
    <x v="116"/>
    <x v="364"/>
    <x v="1131"/>
    <x v="1249"/>
    <x v="705"/>
    <x v="1256"/>
    <x v="430"/>
    <x v="116"/>
    <x v="92"/>
    <x v="1094"/>
    <x v="116"/>
    <x v="2"/>
  </r>
  <r>
    <x v="31"/>
    <x v="0"/>
    <x v="2"/>
    <x v="2"/>
    <x v="6"/>
    <x v="0"/>
    <x v="1"/>
    <x v="1"/>
    <x v="37"/>
    <x v="38"/>
    <x v="376"/>
    <x v="1132"/>
    <x v="1250"/>
    <x v="1201"/>
    <x v="1257"/>
    <x v="937"/>
    <x v="1"/>
    <x v="32"/>
    <x v="1095"/>
    <x v="1"/>
    <x v="2"/>
  </r>
  <r>
    <x v="1"/>
    <x v="0"/>
    <x v="1"/>
    <x v="1"/>
    <x v="4"/>
    <x v="1"/>
    <x v="54"/>
    <x v="22"/>
    <x v="21"/>
    <x v="6"/>
    <x v="138"/>
    <x v="1133"/>
    <x v="1251"/>
    <x v="1202"/>
    <x v="1258"/>
    <x v="938"/>
    <x v="8"/>
    <x v="132"/>
    <x v="221"/>
    <x v="8"/>
    <x v="1"/>
  </r>
  <r>
    <x v="14"/>
    <x v="0"/>
    <x v="3"/>
    <x v="3"/>
    <x v="6"/>
    <x v="2"/>
    <x v="95"/>
    <x v="34"/>
    <x v="34"/>
    <x v="38"/>
    <x v="83"/>
    <x v="1134"/>
    <x v="1252"/>
    <x v="469"/>
    <x v="1259"/>
    <x v="540"/>
    <x v="76"/>
    <x v="38"/>
    <x v="1096"/>
    <x v="76"/>
    <x v="2"/>
  </r>
  <r>
    <x v="59"/>
    <x v="1"/>
    <x v="3"/>
    <x v="0"/>
    <x v="1"/>
    <x v="2"/>
    <x v="6"/>
    <x v="29"/>
    <x v="80"/>
    <x v="3"/>
    <x v="21"/>
    <x v="1135"/>
    <x v="1253"/>
    <x v="1203"/>
    <x v="1260"/>
    <x v="696"/>
    <x v="100"/>
    <x v="203"/>
    <x v="114"/>
    <x v="100"/>
    <x v="0"/>
  </r>
  <r>
    <x v="45"/>
    <x v="1"/>
    <x v="4"/>
    <x v="4"/>
    <x v="6"/>
    <x v="2"/>
    <x v="10"/>
    <x v="63"/>
    <x v="48"/>
    <x v="47"/>
    <x v="275"/>
    <x v="1136"/>
    <x v="1254"/>
    <x v="1204"/>
    <x v="1261"/>
    <x v="939"/>
    <x v="127"/>
    <x v="56"/>
    <x v="1097"/>
    <x v="127"/>
    <x v="2"/>
  </r>
  <r>
    <x v="58"/>
    <x v="0"/>
    <x v="2"/>
    <x v="0"/>
    <x v="6"/>
    <x v="2"/>
    <x v="1"/>
    <x v="66"/>
    <x v="63"/>
    <x v="17"/>
    <x v="375"/>
    <x v="1137"/>
    <x v="1255"/>
    <x v="1205"/>
    <x v="1262"/>
    <x v="370"/>
    <x v="15"/>
    <x v="17"/>
    <x v="317"/>
    <x v="15"/>
    <x v="0"/>
  </r>
  <r>
    <x v="56"/>
    <x v="1"/>
    <x v="8"/>
    <x v="1"/>
    <x v="4"/>
    <x v="2"/>
    <x v="17"/>
    <x v="63"/>
    <x v="60"/>
    <x v="22"/>
    <x v="242"/>
    <x v="373"/>
    <x v="1256"/>
    <x v="1206"/>
    <x v="1263"/>
    <x v="455"/>
    <x v="43"/>
    <x v="15"/>
    <x v="1098"/>
    <x v="43"/>
    <x v="2"/>
  </r>
  <r>
    <x v="39"/>
    <x v="0"/>
    <x v="9"/>
    <x v="4"/>
    <x v="3"/>
    <x v="3"/>
    <x v="93"/>
    <x v="54"/>
    <x v="24"/>
    <x v="156"/>
    <x v="339"/>
    <x v="1138"/>
    <x v="1257"/>
    <x v="634"/>
    <x v="1264"/>
    <x v="103"/>
    <x v="98"/>
    <x v="82"/>
    <x v="1099"/>
    <x v="98"/>
    <x v="2"/>
  </r>
  <r>
    <x v="1"/>
    <x v="0"/>
    <x v="4"/>
    <x v="2"/>
    <x v="6"/>
    <x v="1"/>
    <x v="97"/>
    <x v="2"/>
    <x v="41"/>
    <x v="107"/>
    <x v="403"/>
    <x v="208"/>
    <x v="1258"/>
    <x v="1207"/>
    <x v="1265"/>
    <x v="101"/>
    <x v="146"/>
    <x v="71"/>
    <x v="1100"/>
    <x v="146"/>
    <x v="1"/>
  </r>
  <r>
    <x v="48"/>
    <x v="1"/>
    <x v="3"/>
    <x v="3"/>
    <x v="4"/>
    <x v="1"/>
    <x v="55"/>
    <x v="67"/>
    <x v="45"/>
    <x v="53"/>
    <x v="315"/>
    <x v="1139"/>
    <x v="1259"/>
    <x v="1208"/>
    <x v="1266"/>
    <x v="940"/>
    <x v="76"/>
    <x v="35"/>
    <x v="1101"/>
    <x v="76"/>
    <x v="2"/>
  </r>
  <r>
    <x v="41"/>
    <x v="1"/>
    <x v="5"/>
    <x v="2"/>
    <x v="4"/>
    <x v="3"/>
    <x v="59"/>
    <x v="52"/>
    <x v="6"/>
    <x v="120"/>
    <x v="237"/>
    <x v="1140"/>
    <x v="1260"/>
    <x v="1209"/>
    <x v="1267"/>
    <x v="941"/>
    <x v="110"/>
    <x v="21"/>
    <x v="1102"/>
    <x v="110"/>
    <x v="2"/>
  </r>
  <r>
    <x v="4"/>
    <x v="1"/>
    <x v="3"/>
    <x v="1"/>
    <x v="4"/>
    <x v="1"/>
    <x v="108"/>
    <x v="7"/>
    <x v="78"/>
    <x v="139"/>
    <x v="329"/>
    <x v="1141"/>
    <x v="1261"/>
    <x v="1210"/>
    <x v="1268"/>
    <x v="942"/>
    <x v="116"/>
    <x v="32"/>
    <x v="1103"/>
    <x v="116"/>
    <x v="1"/>
  </r>
  <r>
    <x v="10"/>
    <x v="0"/>
    <x v="6"/>
    <x v="4"/>
    <x v="2"/>
    <x v="0"/>
    <x v="50"/>
    <x v="7"/>
    <x v="47"/>
    <x v="85"/>
    <x v="74"/>
    <x v="1142"/>
    <x v="1262"/>
    <x v="1211"/>
    <x v="1269"/>
    <x v="21"/>
    <x v="49"/>
    <x v="67"/>
    <x v="486"/>
    <x v="49"/>
    <x v="2"/>
  </r>
  <r>
    <x v="4"/>
    <x v="1"/>
    <x v="1"/>
    <x v="3"/>
    <x v="5"/>
    <x v="2"/>
    <x v="99"/>
    <x v="26"/>
    <x v="75"/>
    <x v="80"/>
    <x v="122"/>
    <x v="1143"/>
    <x v="1263"/>
    <x v="1212"/>
    <x v="1270"/>
    <x v="820"/>
    <x v="147"/>
    <x v="94"/>
    <x v="490"/>
    <x v="147"/>
    <x v="1"/>
  </r>
  <r>
    <x v="57"/>
    <x v="1"/>
    <x v="1"/>
    <x v="4"/>
    <x v="0"/>
    <x v="1"/>
    <x v="38"/>
    <x v="35"/>
    <x v="89"/>
    <x v="34"/>
    <x v="188"/>
    <x v="1144"/>
    <x v="1264"/>
    <x v="1213"/>
    <x v="1271"/>
    <x v="646"/>
    <x v="16"/>
    <x v="60"/>
    <x v="631"/>
    <x v="16"/>
    <x v="0"/>
  </r>
  <r>
    <x v="23"/>
    <x v="0"/>
    <x v="4"/>
    <x v="4"/>
    <x v="6"/>
    <x v="1"/>
    <x v="8"/>
    <x v="14"/>
    <x v="57"/>
    <x v="104"/>
    <x v="230"/>
    <x v="1145"/>
    <x v="1265"/>
    <x v="1214"/>
    <x v="1272"/>
    <x v="943"/>
    <x v="41"/>
    <x v="107"/>
    <x v="994"/>
    <x v="41"/>
    <x v="1"/>
  </r>
  <r>
    <x v="55"/>
    <x v="0"/>
    <x v="3"/>
    <x v="2"/>
    <x v="3"/>
    <x v="1"/>
    <x v="109"/>
    <x v="26"/>
    <x v="26"/>
    <x v="72"/>
    <x v="243"/>
    <x v="1146"/>
    <x v="1266"/>
    <x v="1215"/>
    <x v="1273"/>
    <x v="944"/>
    <x v="43"/>
    <x v="146"/>
    <x v="1104"/>
    <x v="43"/>
    <x v="2"/>
  </r>
  <r>
    <x v="35"/>
    <x v="0"/>
    <x v="7"/>
    <x v="1"/>
    <x v="6"/>
    <x v="3"/>
    <x v="107"/>
    <x v="74"/>
    <x v="55"/>
    <x v="55"/>
    <x v="77"/>
    <x v="1147"/>
    <x v="1267"/>
    <x v="1216"/>
    <x v="1274"/>
    <x v="945"/>
    <x v="19"/>
    <x v="105"/>
    <x v="1105"/>
    <x v="19"/>
    <x v="2"/>
  </r>
  <r>
    <x v="21"/>
    <x v="0"/>
    <x v="8"/>
    <x v="3"/>
    <x v="6"/>
    <x v="1"/>
    <x v="37"/>
    <x v="74"/>
    <x v="75"/>
    <x v="77"/>
    <x v="257"/>
    <x v="1148"/>
    <x v="1268"/>
    <x v="1217"/>
    <x v="1275"/>
    <x v="684"/>
    <x v="167"/>
    <x v="46"/>
    <x v="1106"/>
    <x v="167"/>
    <x v="0"/>
  </r>
  <r>
    <x v="3"/>
    <x v="0"/>
    <x v="2"/>
    <x v="2"/>
    <x v="5"/>
    <x v="1"/>
    <x v="53"/>
    <x v="58"/>
    <x v="27"/>
    <x v="98"/>
    <x v="321"/>
    <x v="1149"/>
    <x v="1269"/>
    <x v="1218"/>
    <x v="1276"/>
    <x v="625"/>
    <x v="72"/>
    <x v="93"/>
    <x v="1107"/>
    <x v="72"/>
    <x v="0"/>
  </r>
  <r>
    <x v="17"/>
    <x v="0"/>
    <x v="7"/>
    <x v="0"/>
    <x v="0"/>
    <x v="3"/>
    <x v="60"/>
    <x v="21"/>
    <x v="7"/>
    <x v="36"/>
    <x v="300"/>
    <x v="1150"/>
    <x v="1270"/>
    <x v="1219"/>
    <x v="1277"/>
    <x v="592"/>
    <x v="120"/>
    <x v="82"/>
    <x v="87"/>
    <x v="120"/>
    <x v="1"/>
  </r>
  <r>
    <x v="32"/>
    <x v="0"/>
    <x v="0"/>
    <x v="3"/>
    <x v="2"/>
    <x v="1"/>
    <x v="37"/>
    <x v="34"/>
    <x v="41"/>
    <x v="49"/>
    <x v="382"/>
    <x v="1151"/>
    <x v="1271"/>
    <x v="1220"/>
    <x v="1278"/>
    <x v="448"/>
    <x v="145"/>
    <x v="32"/>
    <x v="1108"/>
    <x v="145"/>
    <x v="1"/>
  </r>
  <r>
    <x v="53"/>
    <x v="1"/>
    <x v="3"/>
    <x v="4"/>
    <x v="4"/>
    <x v="3"/>
    <x v="51"/>
    <x v="28"/>
    <x v="17"/>
    <x v="84"/>
    <x v="226"/>
    <x v="1152"/>
    <x v="1272"/>
    <x v="1221"/>
    <x v="1279"/>
    <x v="946"/>
    <x v="57"/>
    <x v="169"/>
    <x v="1109"/>
    <x v="57"/>
    <x v="1"/>
  </r>
  <r>
    <x v="27"/>
    <x v="1"/>
    <x v="5"/>
    <x v="2"/>
    <x v="2"/>
    <x v="2"/>
    <x v="14"/>
    <x v="6"/>
    <x v="59"/>
    <x v="139"/>
    <x v="119"/>
    <x v="1153"/>
    <x v="1273"/>
    <x v="1222"/>
    <x v="1280"/>
    <x v="631"/>
    <x v="22"/>
    <x v="217"/>
    <x v="1110"/>
    <x v="22"/>
    <x v="0"/>
  </r>
  <r>
    <x v="5"/>
    <x v="0"/>
    <x v="5"/>
    <x v="3"/>
    <x v="5"/>
    <x v="3"/>
    <x v="108"/>
    <x v="57"/>
    <x v="54"/>
    <x v="141"/>
    <x v="199"/>
    <x v="1154"/>
    <x v="1274"/>
    <x v="1223"/>
    <x v="1281"/>
    <x v="947"/>
    <x v="80"/>
    <x v="72"/>
    <x v="402"/>
    <x v="80"/>
    <x v="2"/>
  </r>
  <r>
    <x v="15"/>
    <x v="1"/>
    <x v="4"/>
    <x v="0"/>
    <x v="5"/>
    <x v="0"/>
    <x v="29"/>
    <x v="11"/>
    <x v="2"/>
    <x v="1"/>
    <x v="355"/>
    <x v="1155"/>
    <x v="1275"/>
    <x v="1224"/>
    <x v="1282"/>
    <x v="948"/>
    <x v="15"/>
    <x v="183"/>
    <x v="1111"/>
    <x v="15"/>
    <x v="2"/>
  </r>
  <r>
    <x v="1"/>
    <x v="0"/>
    <x v="4"/>
    <x v="1"/>
    <x v="6"/>
    <x v="0"/>
    <x v="47"/>
    <x v="52"/>
    <x v="35"/>
    <x v="145"/>
    <x v="419"/>
    <x v="1156"/>
    <x v="1276"/>
    <x v="1225"/>
    <x v="1283"/>
    <x v="949"/>
    <x v="30"/>
    <x v="165"/>
    <x v="1112"/>
    <x v="30"/>
    <x v="1"/>
  </r>
  <r>
    <x v="9"/>
    <x v="1"/>
    <x v="6"/>
    <x v="2"/>
    <x v="5"/>
    <x v="3"/>
    <x v="87"/>
    <x v="63"/>
    <x v="32"/>
    <x v="105"/>
    <x v="34"/>
    <x v="1157"/>
    <x v="958"/>
    <x v="1226"/>
    <x v="1284"/>
    <x v="22"/>
    <x v="124"/>
    <x v="172"/>
    <x v="713"/>
    <x v="124"/>
    <x v="0"/>
  </r>
  <r>
    <x v="33"/>
    <x v="0"/>
    <x v="8"/>
    <x v="3"/>
    <x v="2"/>
    <x v="3"/>
    <x v="3"/>
    <x v="31"/>
    <x v="87"/>
    <x v="22"/>
    <x v="143"/>
    <x v="1158"/>
    <x v="1277"/>
    <x v="1227"/>
    <x v="1285"/>
    <x v="950"/>
    <x v="18"/>
    <x v="182"/>
    <x v="1113"/>
    <x v="18"/>
    <x v="2"/>
  </r>
  <r>
    <x v="40"/>
    <x v="1"/>
    <x v="3"/>
    <x v="1"/>
    <x v="5"/>
    <x v="3"/>
    <x v="21"/>
    <x v="42"/>
    <x v="40"/>
    <x v="0"/>
    <x v="170"/>
    <x v="1159"/>
    <x v="1278"/>
    <x v="1228"/>
    <x v="1286"/>
    <x v="951"/>
    <x v="144"/>
    <x v="199"/>
    <x v="1114"/>
    <x v="144"/>
    <x v="2"/>
  </r>
  <r>
    <x v="20"/>
    <x v="1"/>
    <x v="7"/>
    <x v="1"/>
    <x v="3"/>
    <x v="3"/>
    <x v="8"/>
    <x v="24"/>
    <x v="56"/>
    <x v="124"/>
    <x v="416"/>
    <x v="1160"/>
    <x v="1279"/>
    <x v="1229"/>
    <x v="1287"/>
    <x v="952"/>
    <x v="139"/>
    <x v="93"/>
    <x v="486"/>
    <x v="139"/>
    <x v="1"/>
  </r>
  <r>
    <x v="5"/>
    <x v="1"/>
    <x v="7"/>
    <x v="2"/>
    <x v="4"/>
    <x v="2"/>
    <x v="31"/>
    <x v="20"/>
    <x v="55"/>
    <x v="148"/>
    <x v="173"/>
    <x v="1161"/>
    <x v="1280"/>
    <x v="1230"/>
    <x v="1288"/>
    <x v="953"/>
    <x v="96"/>
    <x v="178"/>
    <x v="1115"/>
    <x v="96"/>
    <x v="2"/>
  </r>
  <r>
    <x v="11"/>
    <x v="0"/>
    <x v="6"/>
    <x v="4"/>
    <x v="3"/>
    <x v="2"/>
    <x v="113"/>
    <x v="24"/>
    <x v="22"/>
    <x v="8"/>
    <x v="279"/>
    <x v="1162"/>
    <x v="1281"/>
    <x v="1231"/>
    <x v="1289"/>
    <x v="557"/>
    <x v="10"/>
    <x v="151"/>
    <x v="1116"/>
    <x v="10"/>
    <x v="1"/>
  </r>
  <r>
    <x v="29"/>
    <x v="0"/>
    <x v="8"/>
    <x v="4"/>
    <x v="2"/>
    <x v="3"/>
    <x v="106"/>
    <x v="54"/>
    <x v="3"/>
    <x v="122"/>
    <x v="137"/>
    <x v="137"/>
    <x v="1282"/>
    <x v="1232"/>
    <x v="1290"/>
    <x v="42"/>
    <x v="28"/>
    <x v="137"/>
    <x v="1117"/>
    <x v="28"/>
    <x v="2"/>
  </r>
  <r>
    <x v="52"/>
    <x v="1"/>
    <x v="7"/>
    <x v="4"/>
    <x v="5"/>
    <x v="1"/>
    <x v="14"/>
    <x v="29"/>
    <x v="84"/>
    <x v="82"/>
    <x v="209"/>
    <x v="1163"/>
    <x v="1283"/>
    <x v="1233"/>
    <x v="1291"/>
    <x v="376"/>
    <x v="138"/>
    <x v="109"/>
    <x v="1118"/>
    <x v="138"/>
    <x v="2"/>
  </r>
  <r>
    <x v="56"/>
    <x v="1"/>
    <x v="5"/>
    <x v="4"/>
    <x v="2"/>
    <x v="2"/>
    <x v="111"/>
    <x v="72"/>
    <x v="82"/>
    <x v="120"/>
    <x v="366"/>
    <x v="1164"/>
    <x v="1284"/>
    <x v="1234"/>
    <x v="1292"/>
    <x v="305"/>
    <x v="103"/>
    <x v="146"/>
    <x v="1119"/>
    <x v="103"/>
    <x v="2"/>
  </r>
  <r>
    <x v="14"/>
    <x v="0"/>
    <x v="2"/>
    <x v="4"/>
    <x v="3"/>
    <x v="3"/>
    <x v="12"/>
    <x v="5"/>
    <x v="52"/>
    <x v="10"/>
    <x v="353"/>
    <x v="130"/>
    <x v="1285"/>
    <x v="1235"/>
    <x v="1293"/>
    <x v="954"/>
    <x v="175"/>
    <x v="59"/>
    <x v="1120"/>
    <x v="175"/>
    <x v="2"/>
  </r>
  <r>
    <x v="4"/>
    <x v="1"/>
    <x v="4"/>
    <x v="1"/>
    <x v="6"/>
    <x v="0"/>
    <x v="58"/>
    <x v="24"/>
    <x v="55"/>
    <x v="7"/>
    <x v="381"/>
    <x v="1165"/>
    <x v="1286"/>
    <x v="1236"/>
    <x v="1294"/>
    <x v="955"/>
    <x v="70"/>
    <x v="161"/>
    <x v="1121"/>
    <x v="70"/>
    <x v="1"/>
  </r>
  <r>
    <x v="2"/>
    <x v="1"/>
    <x v="8"/>
    <x v="2"/>
    <x v="3"/>
    <x v="0"/>
    <x v="32"/>
    <x v="11"/>
    <x v="69"/>
    <x v="57"/>
    <x v="257"/>
    <x v="1166"/>
    <x v="1287"/>
    <x v="332"/>
    <x v="771"/>
    <x v="225"/>
    <x v="137"/>
    <x v="157"/>
    <x v="1122"/>
    <x v="137"/>
    <x v="2"/>
  </r>
  <r>
    <x v="8"/>
    <x v="1"/>
    <x v="7"/>
    <x v="4"/>
    <x v="2"/>
    <x v="2"/>
    <x v="56"/>
    <x v="39"/>
    <x v="38"/>
    <x v="36"/>
    <x v="165"/>
    <x v="1167"/>
    <x v="1288"/>
    <x v="1237"/>
    <x v="1295"/>
    <x v="234"/>
    <x v="18"/>
    <x v="61"/>
    <x v="1123"/>
    <x v="18"/>
    <x v="2"/>
  </r>
  <r>
    <x v="46"/>
    <x v="0"/>
    <x v="6"/>
    <x v="1"/>
    <x v="5"/>
    <x v="3"/>
    <x v="113"/>
    <x v="25"/>
    <x v="73"/>
    <x v="80"/>
    <x v="105"/>
    <x v="1168"/>
    <x v="1289"/>
    <x v="1238"/>
    <x v="1296"/>
    <x v="40"/>
    <x v="50"/>
    <x v="9"/>
    <x v="1124"/>
    <x v="50"/>
    <x v="1"/>
  </r>
  <r>
    <x v="41"/>
    <x v="0"/>
    <x v="5"/>
    <x v="1"/>
    <x v="2"/>
    <x v="3"/>
    <x v="62"/>
    <x v="54"/>
    <x v="2"/>
    <x v="50"/>
    <x v="419"/>
    <x v="1169"/>
    <x v="1290"/>
    <x v="1239"/>
    <x v="1297"/>
    <x v="956"/>
    <x v="68"/>
    <x v="45"/>
    <x v="302"/>
    <x v="68"/>
    <x v="2"/>
  </r>
  <r>
    <x v="37"/>
    <x v="1"/>
    <x v="6"/>
    <x v="1"/>
    <x v="0"/>
    <x v="0"/>
    <x v="113"/>
    <x v="12"/>
    <x v="39"/>
    <x v="72"/>
    <x v="239"/>
    <x v="519"/>
    <x v="1291"/>
    <x v="1240"/>
    <x v="1298"/>
    <x v="559"/>
    <x v="2"/>
    <x v="218"/>
    <x v="1125"/>
    <x v="2"/>
    <x v="2"/>
  </r>
  <r>
    <x v="50"/>
    <x v="1"/>
    <x v="3"/>
    <x v="0"/>
    <x v="0"/>
    <x v="0"/>
    <x v="39"/>
    <x v="10"/>
    <x v="85"/>
    <x v="4"/>
    <x v="155"/>
    <x v="1170"/>
    <x v="1292"/>
    <x v="1241"/>
    <x v="1299"/>
    <x v="563"/>
    <x v="111"/>
    <x v="186"/>
    <x v="1126"/>
    <x v="111"/>
    <x v="2"/>
  </r>
  <r>
    <x v="43"/>
    <x v="0"/>
    <x v="8"/>
    <x v="0"/>
    <x v="6"/>
    <x v="0"/>
    <x v="93"/>
    <x v="62"/>
    <x v="18"/>
    <x v="30"/>
    <x v="283"/>
    <x v="1171"/>
    <x v="1293"/>
    <x v="1242"/>
    <x v="1300"/>
    <x v="442"/>
    <x v="51"/>
    <x v="41"/>
    <x v="1012"/>
    <x v="51"/>
    <x v="2"/>
  </r>
  <r>
    <x v="55"/>
    <x v="0"/>
    <x v="8"/>
    <x v="4"/>
    <x v="2"/>
    <x v="0"/>
    <x v="3"/>
    <x v="79"/>
    <x v="25"/>
    <x v="145"/>
    <x v="117"/>
    <x v="1172"/>
    <x v="1294"/>
    <x v="639"/>
    <x v="1301"/>
    <x v="608"/>
    <x v="2"/>
    <x v="80"/>
    <x v="835"/>
    <x v="2"/>
    <x v="2"/>
  </r>
  <r>
    <x v="2"/>
    <x v="0"/>
    <x v="4"/>
    <x v="0"/>
    <x v="2"/>
    <x v="0"/>
    <x v="46"/>
    <x v="71"/>
    <x v="15"/>
    <x v="14"/>
    <x v="259"/>
    <x v="1173"/>
    <x v="1295"/>
    <x v="1243"/>
    <x v="1302"/>
    <x v="957"/>
    <x v="156"/>
    <x v="73"/>
    <x v="1127"/>
    <x v="156"/>
    <x v="2"/>
  </r>
  <r>
    <x v="54"/>
    <x v="0"/>
    <x v="7"/>
    <x v="1"/>
    <x v="6"/>
    <x v="2"/>
    <x v="96"/>
    <x v="20"/>
    <x v="53"/>
    <x v="71"/>
    <x v="260"/>
    <x v="1124"/>
    <x v="1296"/>
    <x v="1244"/>
    <x v="1303"/>
    <x v="775"/>
    <x v="103"/>
    <x v="200"/>
    <x v="1128"/>
    <x v="103"/>
    <x v="0"/>
  </r>
  <r>
    <x v="37"/>
    <x v="0"/>
    <x v="8"/>
    <x v="3"/>
    <x v="1"/>
    <x v="1"/>
    <x v="44"/>
    <x v="28"/>
    <x v="28"/>
    <x v="39"/>
    <x v="197"/>
    <x v="1174"/>
    <x v="1297"/>
    <x v="900"/>
    <x v="1304"/>
    <x v="941"/>
    <x v="94"/>
    <x v="133"/>
    <x v="363"/>
    <x v="94"/>
    <x v="2"/>
  </r>
  <r>
    <x v="55"/>
    <x v="0"/>
    <x v="1"/>
    <x v="2"/>
    <x v="1"/>
    <x v="2"/>
    <x v="79"/>
    <x v="51"/>
    <x v="81"/>
    <x v="43"/>
    <x v="342"/>
    <x v="47"/>
    <x v="1298"/>
    <x v="1245"/>
    <x v="1305"/>
    <x v="958"/>
    <x v="6"/>
    <x v="31"/>
    <x v="1129"/>
    <x v="6"/>
    <x v="2"/>
  </r>
  <r>
    <x v="50"/>
    <x v="1"/>
    <x v="6"/>
    <x v="4"/>
    <x v="3"/>
    <x v="0"/>
    <x v="71"/>
    <x v="34"/>
    <x v="48"/>
    <x v="7"/>
    <x v="327"/>
    <x v="1175"/>
    <x v="1299"/>
    <x v="1246"/>
    <x v="1306"/>
    <x v="959"/>
    <x v="118"/>
    <x v="179"/>
    <x v="1130"/>
    <x v="118"/>
    <x v="2"/>
  </r>
  <r>
    <x v="17"/>
    <x v="0"/>
    <x v="5"/>
    <x v="4"/>
    <x v="3"/>
    <x v="1"/>
    <x v="43"/>
    <x v="3"/>
    <x v="88"/>
    <x v="158"/>
    <x v="238"/>
    <x v="1176"/>
    <x v="1300"/>
    <x v="1247"/>
    <x v="1307"/>
    <x v="960"/>
    <x v="23"/>
    <x v="129"/>
    <x v="1131"/>
    <x v="23"/>
    <x v="1"/>
  </r>
  <r>
    <x v="26"/>
    <x v="0"/>
    <x v="6"/>
    <x v="3"/>
    <x v="5"/>
    <x v="3"/>
    <x v="11"/>
    <x v="57"/>
    <x v="36"/>
    <x v="42"/>
    <x v="158"/>
    <x v="1177"/>
    <x v="1301"/>
    <x v="1248"/>
    <x v="1308"/>
    <x v="961"/>
    <x v="19"/>
    <x v="107"/>
    <x v="1132"/>
    <x v="19"/>
    <x v="2"/>
  </r>
  <r>
    <x v="34"/>
    <x v="1"/>
    <x v="2"/>
    <x v="2"/>
    <x v="0"/>
    <x v="2"/>
    <x v="2"/>
    <x v="15"/>
    <x v="88"/>
    <x v="145"/>
    <x v="382"/>
    <x v="1178"/>
    <x v="1302"/>
    <x v="1249"/>
    <x v="1309"/>
    <x v="962"/>
    <x v="180"/>
    <x v="16"/>
    <x v="764"/>
    <x v="180"/>
    <x v="2"/>
  </r>
  <r>
    <x v="36"/>
    <x v="0"/>
    <x v="6"/>
    <x v="1"/>
    <x v="1"/>
    <x v="0"/>
    <x v="74"/>
    <x v="75"/>
    <x v="53"/>
    <x v="52"/>
    <x v="191"/>
    <x v="1179"/>
    <x v="1303"/>
    <x v="1250"/>
    <x v="1310"/>
    <x v="798"/>
    <x v="61"/>
    <x v="111"/>
    <x v="1133"/>
    <x v="61"/>
    <x v="1"/>
  </r>
  <r>
    <x v="52"/>
    <x v="0"/>
    <x v="4"/>
    <x v="3"/>
    <x v="1"/>
    <x v="2"/>
    <x v="30"/>
    <x v="56"/>
    <x v="14"/>
    <x v="74"/>
    <x v="46"/>
    <x v="1180"/>
    <x v="1304"/>
    <x v="1251"/>
    <x v="1311"/>
    <x v="963"/>
    <x v="162"/>
    <x v="22"/>
    <x v="1134"/>
    <x v="162"/>
    <x v="2"/>
  </r>
  <r>
    <x v="22"/>
    <x v="1"/>
    <x v="3"/>
    <x v="0"/>
    <x v="3"/>
    <x v="1"/>
    <x v="71"/>
    <x v="79"/>
    <x v="14"/>
    <x v="14"/>
    <x v="255"/>
    <x v="1181"/>
    <x v="1305"/>
    <x v="1252"/>
    <x v="1312"/>
    <x v="344"/>
    <x v="8"/>
    <x v="61"/>
    <x v="1135"/>
    <x v="8"/>
    <x v="0"/>
  </r>
  <r>
    <x v="0"/>
    <x v="1"/>
    <x v="4"/>
    <x v="1"/>
    <x v="0"/>
    <x v="0"/>
    <x v="35"/>
    <x v="54"/>
    <x v="11"/>
    <x v="38"/>
    <x v="424"/>
    <x v="1182"/>
    <x v="1306"/>
    <x v="1253"/>
    <x v="1313"/>
    <x v="152"/>
    <x v="124"/>
    <x v="114"/>
    <x v="1136"/>
    <x v="124"/>
    <x v="0"/>
  </r>
  <r>
    <x v="34"/>
    <x v="1"/>
    <x v="0"/>
    <x v="3"/>
    <x v="2"/>
    <x v="2"/>
    <x v="71"/>
    <x v="58"/>
    <x v="51"/>
    <x v="100"/>
    <x v="350"/>
    <x v="714"/>
    <x v="1307"/>
    <x v="1254"/>
    <x v="1314"/>
    <x v="349"/>
    <x v="15"/>
    <x v="95"/>
    <x v="1137"/>
    <x v="15"/>
    <x v="2"/>
  </r>
  <r>
    <x v="2"/>
    <x v="1"/>
    <x v="8"/>
    <x v="3"/>
    <x v="4"/>
    <x v="2"/>
    <x v="68"/>
    <x v="69"/>
    <x v="59"/>
    <x v="66"/>
    <x v="220"/>
    <x v="155"/>
    <x v="1308"/>
    <x v="1255"/>
    <x v="1315"/>
    <x v="189"/>
    <x v="16"/>
    <x v="57"/>
    <x v="1138"/>
    <x v="16"/>
    <x v="2"/>
  </r>
  <r>
    <x v="55"/>
    <x v="0"/>
    <x v="1"/>
    <x v="2"/>
    <x v="6"/>
    <x v="1"/>
    <x v="75"/>
    <x v="47"/>
    <x v="32"/>
    <x v="2"/>
    <x v="425"/>
    <x v="949"/>
    <x v="1309"/>
    <x v="1256"/>
    <x v="1316"/>
    <x v="964"/>
    <x v="20"/>
    <x v="100"/>
    <x v="1139"/>
    <x v="20"/>
    <x v="2"/>
  </r>
  <r>
    <x v="40"/>
    <x v="1"/>
    <x v="0"/>
    <x v="3"/>
    <x v="0"/>
    <x v="3"/>
    <x v="79"/>
    <x v="22"/>
    <x v="14"/>
    <x v="144"/>
    <x v="368"/>
    <x v="1183"/>
    <x v="1310"/>
    <x v="1257"/>
    <x v="1317"/>
    <x v="655"/>
    <x v="61"/>
    <x v="36"/>
    <x v="294"/>
    <x v="61"/>
    <x v="2"/>
  </r>
  <r>
    <x v="55"/>
    <x v="1"/>
    <x v="9"/>
    <x v="1"/>
    <x v="4"/>
    <x v="1"/>
    <x v="65"/>
    <x v="63"/>
    <x v="49"/>
    <x v="17"/>
    <x v="106"/>
    <x v="1184"/>
    <x v="1311"/>
    <x v="1258"/>
    <x v="1318"/>
    <x v="965"/>
    <x v="56"/>
    <x v="45"/>
    <x v="868"/>
    <x v="56"/>
    <x v="2"/>
  </r>
  <r>
    <x v="34"/>
    <x v="1"/>
    <x v="4"/>
    <x v="2"/>
    <x v="1"/>
    <x v="3"/>
    <x v="31"/>
    <x v="36"/>
    <x v="22"/>
    <x v="154"/>
    <x v="267"/>
    <x v="1185"/>
    <x v="1312"/>
    <x v="1259"/>
    <x v="512"/>
    <x v="899"/>
    <x v="124"/>
    <x v="70"/>
    <x v="1140"/>
    <x v="124"/>
    <x v="2"/>
  </r>
  <r>
    <x v="43"/>
    <x v="1"/>
    <x v="2"/>
    <x v="3"/>
    <x v="6"/>
    <x v="1"/>
    <x v="46"/>
    <x v="48"/>
    <x v="28"/>
    <x v="141"/>
    <x v="426"/>
    <x v="1186"/>
    <x v="1313"/>
    <x v="1260"/>
    <x v="1319"/>
    <x v="94"/>
    <x v="53"/>
    <x v="142"/>
    <x v="1141"/>
    <x v="53"/>
    <x v="2"/>
  </r>
  <r>
    <x v="1"/>
    <x v="1"/>
    <x v="7"/>
    <x v="4"/>
    <x v="4"/>
    <x v="3"/>
    <x v="81"/>
    <x v="55"/>
    <x v="10"/>
    <x v="43"/>
    <x v="385"/>
    <x v="1187"/>
    <x v="1314"/>
    <x v="1261"/>
    <x v="1320"/>
    <x v="966"/>
    <x v="172"/>
    <x v="36"/>
    <x v="1142"/>
    <x v="172"/>
    <x v="1"/>
  </r>
  <r>
    <x v="24"/>
    <x v="1"/>
    <x v="0"/>
    <x v="4"/>
    <x v="4"/>
    <x v="3"/>
    <x v="85"/>
    <x v="71"/>
    <x v="68"/>
    <x v="114"/>
    <x v="160"/>
    <x v="1188"/>
    <x v="1315"/>
    <x v="1262"/>
    <x v="1321"/>
    <x v="930"/>
    <x v="163"/>
    <x v="62"/>
    <x v="1143"/>
    <x v="163"/>
    <x v="1"/>
  </r>
  <r>
    <x v="21"/>
    <x v="0"/>
    <x v="6"/>
    <x v="1"/>
    <x v="1"/>
    <x v="2"/>
    <x v="27"/>
    <x v="79"/>
    <x v="43"/>
    <x v="105"/>
    <x v="82"/>
    <x v="1189"/>
    <x v="1316"/>
    <x v="1263"/>
    <x v="1322"/>
    <x v="614"/>
    <x v="133"/>
    <x v="17"/>
    <x v="1144"/>
    <x v="133"/>
    <x v="0"/>
  </r>
  <r>
    <x v="8"/>
    <x v="1"/>
    <x v="5"/>
    <x v="1"/>
    <x v="6"/>
    <x v="2"/>
    <x v="38"/>
    <x v="3"/>
    <x v="35"/>
    <x v="61"/>
    <x v="175"/>
    <x v="1190"/>
    <x v="1317"/>
    <x v="1264"/>
    <x v="1277"/>
    <x v="344"/>
    <x v="83"/>
    <x v="75"/>
    <x v="1145"/>
    <x v="83"/>
    <x v="2"/>
  </r>
  <r>
    <x v="40"/>
    <x v="0"/>
    <x v="2"/>
    <x v="0"/>
    <x v="2"/>
    <x v="1"/>
    <x v="5"/>
    <x v="57"/>
    <x v="89"/>
    <x v="14"/>
    <x v="213"/>
    <x v="1191"/>
    <x v="1318"/>
    <x v="1265"/>
    <x v="1323"/>
    <x v="967"/>
    <x v="70"/>
    <x v="163"/>
    <x v="1146"/>
    <x v="70"/>
    <x v="2"/>
  </r>
  <r>
    <x v="52"/>
    <x v="1"/>
    <x v="7"/>
    <x v="2"/>
    <x v="4"/>
    <x v="2"/>
    <x v="113"/>
    <x v="41"/>
    <x v="65"/>
    <x v="61"/>
    <x v="44"/>
    <x v="1192"/>
    <x v="1319"/>
    <x v="1266"/>
    <x v="1324"/>
    <x v="830"/>
    <x v="143"/>
    <x v="7"/>
    <x v="561"/>
    <x v="143"/>
    <x v="2"/>
  </r>
  <r>
    <x v="33"/>
    <x v="0"/>
    <x v="5"/>
    <x v="3"/>
    <x v="3"/>
    <x v="3"/>
    <x v="38"/>
    <x v="66"/>
    <x v="75"/>
    <x v="152"/>
    <x v="348"/>
    <x v="1193"/>
    <x v="1320"/>
    <x v="1267"/>
    <x v="1325"/>
    <x v="197"/>
    <x v="60"/>
    <x v="189"/>
    <x v="1147"/>
    <x v="60"/>
    <x v="2"/>
  </r>
  <r>
    <x v="59"/>
    <x v="0"/>
    <x v="0"/>
    <x v="2"/>
    <x v="2"/>
    <x v="3"/>
    <x v="101"/>
    <x v="13"/>
    <x v="52"/>
    <x v="136"/>
    <x v="352"/>
    <x v="1194"/>
    <x v="1321"/>
    <x v="1268"/>
    <x v="1326"/>
    <x v="39"/>
    <x v="81"/>
    <x v="13"/>
    <x v="1148"/>
    <x v="81"/>
    <x v="0"/>
  </r>
  <r>
    <x v="39"/>
    <x v="1"/>
    <x v="6"/>
    <x v="4"/>
    <x v="2"/>
    <x v="3"/>
    <x v="106"/>
    <x v="1"/>
    <x v="3"/>
    <x v="75"/>
    <x v="151"/>
    <x v="1195"/>
    <x v="1322"/>
    <x v="1269"/>
    <x v="1327"/>
    <x v="968"/>
    <x v="133"/>
    <x v="54"/>
    <x v="543"/>
    <x v="133"/>
    <x v="2"/>
  </r>
  <r>
    <x v="46"/>
    <x v="1"/>
    <x v="4"/>
    <x v="3"/>
    <x v="1"/>
    <x v="1"/>
    <x v="81"/>
    <x v="42"/>
    <x v="65"/>
    <x v="97"/>
    <x v="164"/>
    <x v="1196"/>
    <x v="1323"/>
    <x v="1270"/>
    <x v="1328"/>
    <x v="969"/>
    <x v="128"/>
    <x v="95"/>
    <x v="1149"/>
    <x v="128"/>
    <x v="1"/>
  </r>
  <r>
    <x v="39"/>
    <x v="1"/>
    <x v="7"/>
    <x v="1"/>
    <x v="1"/>
    <x v="2"/>
    <x v="79"/>
    <x v="77"/>
    <x v="59"/>
    <x v="1"/>
    <x v="1"/>
    <x v="1197"/>
    <x v="1324"/>
    <x v="988"/>
    <x v="1329"/>
    <x v="425"/>
    <x v="22"/>
    <x v="38"/>
    <x v="1110"/>
    <x v="22"/>
    <x v="2"/>
  </r>
  <r>
    <x v="35"/>
    <x v="1"/>
    <x v="6"/>
    <x v="1"/>
    <x v="4"/>
    <x v="2"/>
    <x v="108"/>
    <x v="47"/>
    <x v="0"/>
    <x v="25"/>
    <x v="15"/>
    <x v="1198"/>
    <x v="1325"/>
    <x v="1271"/>
    <x v="1330"/>
    <x v="504"/>
    <x v="121"/>
    <x v="134"/>
    <x v="1150"/>
    <x v="121"/>
    <x v="2"/>
  </r>
  <r>
    <x v="1"/>
    <x v="0"/>
    <x v="4"/>
    <x v="4"/>
    <x v="1"/>
    <x v="3"/>
    <x v="34"/>
    <x v="6"/>
    <x v="31"/>
    <x v="158"/>
    <x v="188"/>
    <x v="1199"/>
    <x v="1326"/>
    <x v="1272"/>
    <x v="1331"/>
    <x v="970"/>
    <x v="184"/>
    <x v="112"/>
    <x v="1151"/>
    <x v="184"/>
    <x v="1"/>
  </r>
  <r>
    <x v="12"/>
    <x v="0"/>
    <x v="4"/>
    <x v="3"/>
    <x v="3"/>
    <x v="2"/>
    <x v="106"/>
    <x v="58"/>
    <x v="87"/>
    <x v="58"/>
    <x v="387"/>
    <x v="1200"/>
    <x v="1327"/>
    <x v="1273"/>
    <x v="1332"/>
    <x v="971"/>
    <x v="95"/>
    <x v="196"/>
    <x v="348"/>
    <x v="95"/>
    <x v="0"/>
  </r>
  <r>
    <x v="39"/>
    <x v="0"/>
    <x v="4"/>
    <x v="1"/>
    <x v="6"/>
    <x v="1"/>
    <x v="17"/>
    <x v="24"/>
    <x v="35"/>
    <x v="129"/>
    <x v="51"/>
    <x v="1201"/>
    <x v="1328"/>
    <x v="1274"/>
    <x v="1333"/>
    <x v="161"/>
    <x v="33"/>
    <x v="169"/>
    <x v="1152"/>
    <x v="33"/>
    <x v="2"/>
  </r>
  <r>
    <x v="59"/>
    <x v="0"/>
    <x v="3"/>
    <x v="4"/>
    <x v="1"/>
    <x v="0"/>
    <x v="112"/>
    <x v="75"/>
    <x v="40"/>
    <x v="134"/>
    <x v="329"/>
    <x v="638"/>
    <x v="1329"/>
    <x v="1155"/>
    <x v="1334"/>
    <x v="293"/>
    <x v="123"/>
    <x v="35"/>
    <x v="314"/>
    <x v="123"/>
    <x v="0"/>
  </r>
  <r>
    <x v="57"/>
    <x v="0"/>
    <x v="6"/>
    <x v="0"/>
    <x v="1"/>
    <x v="3"/>
    <x v="44"/>
    <x v="37"/>
    <x v="44"/>
    <x v="16"/>
    <x v="125"/>
    <x v="1202"/>
    <x v="1330"/>
    <x v="1275"/>
    <x v="1335"/>
    <x v="972"/>
    <x v="25"/>
    <x v="71"/>
    <x v="1153"/>
    <x v="25"/>
    <x v="0"/>
  </r>
  <r>
    <x v="17"/>
    <x v="1"/>
    <x v="0"/>
    <x v="1"/>
    <x v="1"/>
    <x v="3"/>
    <x v="113"/>
    <x v="0"/>
    <x v="45"/>
    <x v="128"/>
    <x v="254"/>
    <x v="218"/>
    <x v="1331"/>
    <x v="1276"/>
    <x v="1336"/>
    <x v="277"/>
    <x v="147"/>
    <x v="25"/>
    <x v="1154"/>
    <x v="147"/>
    <x v="1"/>
  </r>
  <r>
    <x v="51"/>
    <x v="1"/>
    <x v="6"/>
    <x v="3"/>
    <x v="5"/>
    <x v="0"/>
    <x v="1"/>
    <x v="51"/>
    <x v="45"/>
    <x v="85"/>
    <x v="131"/>
    <x v="1203"/>
    <x v="1332"/>
    <x v="1277"/>
    <x v="1337"/>
    <x v="373"/>
    <x v="61"/>
    <x v="14"/>
    <x v="1155"/>
    <x v="61"/>
    <x v="2"/>
  </r>
  <r>
    <x v="51"/>
    <x v="1"/>
    <x v="0"/>
    <x v="1"/>
    <x v="0"/>
    <x v="3"/>
    <x v="54"/>
    <x v="47"/>
    <x v="54"/>
    <x v="16"/>
    <x v="233"/>
    <x v="1204"/>
    <x v="1333"/>
    <x v="1278"/>
    <x v="1338"/>
    <x v="973"/>
    <x v="183"/>
    <x v="57"/>
    <x v="1156"/>
    <x v="183"/>
    <x v="2"/>
  </r>
  <r>
    <x v="51"/>
    <x v="0"/>
    <x v="5"/>
    <x v="2"/>
    <x v="3"/>
    <x v="2"/>
    <x v="28"/>
    <x v="37"/>
    <x v="64"/>
    <x v="75"/>
    <x v="0"/>
    <x v="1205"/>
    <x v="1334"/>
    <x v="1279"/>
    <x v="1339"/>
    <x v="974"/>
    <x v="19"/>
    <x v="50"/>
    <x v="1157"/>
    <x v="19"/>
    <x v="2"/>
  </r>
  <r>
    <x v="12"/>
    <x v="1"/>
    <x v="5"/>
    <x v="2"/>
    <x v="0"/>
    <x v="3"/>
    <x v="13"/>
    <x v="31"/>
    <x v="26"/>
    <x v="5"/>
    <x v="257"/>
    <x v="1206"/>
    <x v="1335"/>
    <x v="1280"/>
    <x v="1340"/>
    <x v="975"/>
    <x v="55"/>
    <x v="193"/>
    <x v="1158"/>
    <x v="55"/>
    <x v="0"/>
  </r>
  <r>
    <x v="10"/>
    <x v="0"/>
    <x v="0"/>
    <x v="4"/>
    <x v="0"/>
    <x v="2"/>
    <x v="22"/>
    <x v="77"/>
    <x v="45"/>
    <x v="151"/>
    <x v="166"/>
    <x v="1207"/>
    <x v="1336"/>
    <x v="1281"/>
    <x v="1341"/>
    <x v="254"/>
    <x v="76"/>
    <x v="20"/>
    <x v="1101"/>
    <x v="76"/>
    <x v="2"/>
  </r>
  <r>
    <x v="46"/>
    <x v="0"/>
    <x v="8"/>
    <x v="0"/>
    <x v="0"/>
    <x v="2"/>
    <x v="75"/>
    <x v="75"/>
    <x v="66"/>
    <x v="37"/>
    <x v="268"/>
    <x v="1208"/>
    <x v="1337"/>
    <x v="1282"/>
    <x v="1342"/>
    <x v="976"/>
    <x v="136"/>
    <x v="83"/>
    <x v="995"/>
    <x v="136"/>
    <x v="1"/>
  </r>
  <r>
    <x v="0"/>
    <x v="0"/>
    <x v="8"/>
    <x v="2"/>
    <x v="0"/>
    <x v="2"/>
    <x v="65"/>
    <x v="48"/>
    <x v="86"/>
    <x v="154"/>
    <x v="341"/>
    <x v="332"/>
    <x v="1338"/>
    <x v="1283"/>
    <x v="1343"/>
    <x v="533"/>
    <x v="55"/>
    <x v="161"/>
    <x v="1159"/>
    <x v="55"/>
    <x v="0"/>
  </r>
  <r>
    <x v="11"/>
    <x v="0"/>
    <x v="9"/>
    <x v="1"/>
    <x v="0"/>
    <x v="3"/>
    <x v="89"/>
    <x v="70"/>
    <x v="21"/>
    <x v="11"/>
    <x v="401"/>
    <x v="1209"/>
    <x v="1339"/>
    <x v="1284"/>
    <x v="1344"/>
    <x v="246"/>
    <x v="154"/>
    <x v="16"/>
    <x v="1160"/>
    <x v="154"/>
    <x v="1"/>
  </r>
  <r>
    <x v="17"/>
    <x v="0"/>
    <x v="4"/>
    <x v="2"/>
    <x v="1"/>
    <x v="1"/>
    <x v="106"/>
    <x v="23"/>
    <x v="61"/>
    <x v="21"/>
    <x v="235"/>
    <x v="1210"/>
    <x v="1340"/>
    <x v="1285"/>
    <x v="1345"/>
    <x v="401"/>
    <x v="88"/>
    <x v="136"/>
    <x v="1161"/>
    <x v="88"/>
    <x v="1"/>
  </r>
  <r>
    <x v="55"/>
    <x v="0"/>
    <x v="4"/>
    <x v="3"/>
    <x v="3"/>
    <x v="1"/>
    <x v="51"/>
    <x v="6"/>
    <x v="58"/>
    <x v="96"/>
    <x v="132"/>
    <x v="946"/>
    <x v="1341"/>
    <x v="1286"/>
    <x v="1346"/>
    <x v="977"/>
    <x v="9"/>
    <x v="208"/>
    <x v="91"/>
    <x v="9"/>
    <x v="2"/>
  </r>
  <r>
    <x v="15"/>
    <x v="0"/>
    <x v="8"/>
    <x v="2"/>
    <x v="5"/>
    <x v="2"/>
    <x v="52"/>
    <x v="66"/>
    <x v="2"/>
    <x v="19"/>
    <x v="276"/>
    <x v="1211"/>
    <x v="1342"/>
    <x v="1287"/>
    <x v="1347"/>
    <x v="978"/>
    <x v="91"/>
    <x v="114"/>
    <x v="1162"/>
    <x v="91"/>
    <x v="2"/>
  </r>
  <r>
    <x v="53"/>
    <x v="0"/>
    <x v="8"/>
    <x v="0"/>
    <x v="3"/>
    <x v="1"/>
    <x v="87"/>
    <x v="6"/>
    <x v="82"/>
    <x v="35"/>
    <x v="314"/>
    <x v="1212"/>
    <x v="1343"/>
    <x v="1288"/>
    <x v="1348"/>
    <x v="979"/>
    <x v="14"/>
    <x v="169"/>
    <x v="1163"/>
    <x v="14"/>
    <x v="1"/>
  </r>
  <r>
    <x v="53"/>
    <x v="1"/>
    <x v="9"/>
    <x v="4"/>
    <x v="3"/>
    <x v="2"/>
    <x v="8"/>
    <x v="17"/>
    <x v="10"/>
    <x v="125"/>
    <x v="153"/>
    <x v="1213"/>
    <x v="1344"/>
    <x v="842"/>
    <x v="1349"/>
    <x v="980"/>
    <x v="42"/>
    <x v="131"/>
    <x v="1164"/>
    <x v="42"/>
    <x v="1"/>
  </r>
  <r>
    <x v="26"/>
    <x v="1"/>
    <x v="9"/>
    <x v="4"/>
    <x v="5"/>
    <x v="1"/>
    <x v="105"/>
    <x v="45"/>
    <x v="77"/>
    <x v="109"/>
    <x v="137"/>
    <x v="805"/>
    <x v="1345"/>
    <x v="1289"/>
    <x v="1350"/>
    <x v="981"/>
    <x v="27"/>
    <x v="35"/>
    <x v="1165"/>
    <x v="27"/>
    <x v="2"/>
  </r>
  <r>
    <x v="10"/>
    <x v="0"/>
    <x v="5"/>
    <x v="1"/>
    <x v="4"/>
    <x v="2"/>
    <x v="65"/>
    <x v="50"/>
    <x v="38"/>
    <x v="51"/>
    <x v="427"/>
    <x v="815"/>
    <x v="1346"/>
    <x v="1290"/>
    <x v="1351"/>
    <x v="982"/>
    <x v="27"/>
    <x v="185"/>
    <x v="583"/>
    <x v="27"/>
    <x v="2"/>
  </r>
  <r>
    <x v="33"/>
    <x v="0"/>
    <x v="7"/>
    <x v="2"/>
    <x v="1"/>
    <x v="3"/>
    <x v="49"/>
    <x v="56"/>
    <x v="62"/>
    <x v="89"/>
    <x v="273"/>
    <x v="1031"/>
    <x v="1347"/>
    <x v="1291"/>
    <x v="1352"/>
    <x v="545"/>
    <x v="99"/>
    <x v="99"/>
    <x v="1166"/>
    <x v="99"/>
    <x v="2"/>
  </r>
  <r>
    <x v="23"/>
    <x v="1"/>
    <x v="2"/>
    <x v="1"/>
    <x v="4"/>
    <x v="1"/>
    <x v="2"/>
    <x v="18"/>
    <x v="24"/>
    <x v="93"/>
    <x v="7"/>
    <x v="1150"/>
    <x v="1348"/>
    <x v="1292"/>
    <x v="1353"/>
    <x v="783"/>
    <x v="78"/>
    <x v="178"/>
    <x v="1167"/>
    <x v="78"/>
    <x v="1"/>
  </r>
  <r>
    <x v="8"/>
    <x v="1"/>
    <x v="4"/>
    <x v="4"/>
    <x v="4"/>
    <x v="0"/>
    <x v="38"/>
    <x v="35"/>
    <x v="72"/>
    <x v="34"/>
    <x v="186"/>
    <x v="902"/>
    <x v="1349"/>
    <x v="1293"/>
    <x v="439"/>
    <x v="543"/>
    <x v="16"/>
    <x v="60"/>
    <x v="1168"/>
    <x v="16"/>
    <x v="2"/>
  </r>
  <r>
    <x v="47"/>
    <x v="0"/>
    <x v="2"/>
    <x v="2"/>
    <x v="5"/>
    <x v="1"/>
    <x v="112"/>
    <x v="41"/>
    <x v="7"/>
    <x v="129"/>
    <x v="197"/>
    <x v="1214"/>
    <x v="1350"/>
    <x v="1294"/>
    <x v="1354"/>
    <x v="305"/>
    <x v="64"/>
    <x v="177"/>
    <x v="1169"/>
    <x v="64"/>
    <x v="0"/>
  </r>
  <r>
    <x v="15"/>
    <x v="1"/>
    <x v="2"/>
    <x v="3"/>
    <x v="1"/>
    <x v="2"/>
    <x v="40"/>
    <x v="72"/>
    <x v="84"/>
    <x v="50"/>
    <x v="186"/>
    <x v="1189"/>
    <x v="1351"/>
    <x v="261"/>
    <x v="1355"/>
    <x v="870"/>
    <x v="46"/>
    <x v="80"/>
    <x v="1170"/>
    <x v="46"/>
    <x v="2"/>
  </r>
  <r>
    <x v="25"/>
    <x v="1"/>
    <x v="4"/>
    <x v="2"/>
    <x v="0"/>
    <x v="1"/>
    <x v="50"/>
    <x v="24"/>
    <x v="17"/>
    <x v="79"/>
    <x v="116"/>
    <x v="1215"/>
    <x v="1352"/>
    <x v="1295"/>
    <x v="1356"/>
    <x v="983"/>
    <x v="57"/>
    <x v="177"/>
    <x v="1109"/>
    <x v="57"/>
    <x v="0"/>
  </r>
  <r>
    <x v="1"/>
    <x v="0"/>
    <x v="8"/>
    <x v="3"/>
    <x v="6"/>
    <x v="2"/>
    <x v="102"/>
    <x v="68"/>
    <x v="19"/>
    <x v="78"/>
    <x v="238"/>
    <x v="1216"/>
    <x v="1353"/>
    <x v="1296"/>
    <x v="1357"/>
    <x v="984"/>
    <x v="161"/>
    <x v="119"/>
    <x v="1171"/>
    <x v="161"/>
    <x v="1"/>
  </r>
  <r>
    <x v="0"/>
    <x v="1"/>
    <x v="7"/>
    <x v="4"/>
    <x v="1"/>
    <x v="0"/>
    <x v="29"/>
    <x v="26"/>
    <x v="51"/>
    <x v="30"/>
    <x v="428"/>
    <x v="43"/>
    <x v="1354"/>
    <x v="17"/>
    <x v="1358"/>
    <x v="65"/>
    <x v="1"/>
    <x v="143"/>
    <x v="1172"/>
    <x v="1"/>
    <x v="0"/>
  </r>
  <r>
    <x v="12"/>
    <x v="0"/>
    <x v="4"/>
    <x v="2"/>
    <x v="6"/>
    <x v="1"/>
    <x v="5"/>
    <x v="27"/>
    <x v="25"/>
    <x v="118"/>
    <x v="387"/>
    <x v="421"/>
    <x v="1355"/>
    <x v="1297"/>
    <x v="1359"/>
    <x v="454"/>
    <x v="100"/>
    <x v="145"/>
    <x v="1173"/>
    <x v="100"/>
    <x v="0"/>
  </r>
  <r>
    <x v="7"/>
    <x v="0"/>
    <x v="4"/>
    <x v="4"/>
    <x v="5"/>
    <x v="3"/>
    <x v="79"/>
    <x v="11"/>
    <x v="39"/>
    <x v="87"/>
    <x v="53"/>
    <x v="845"/>
    <x v="1356"/>
    <x v="1298"/>
    <x v="1360"/>
    <x v="46"/>
    <x v="128"/>
    <x v="109"/>
    <x v="1174"/>
    <x v="128"/>
    <x v="2"/>
  </r>
  <r>
    <x v="25"/>
    <x v="0"/>
    <x v="7"/>
    <x v="3"/>
    <x v="3"/>
    <x v="3"/>
    <x v="47"/>
    <x v="37"/>
    <x v="8"/>
    <x v="155"/>
    <x v="424"/>
    <x v="1217"/>
    <x v="1357"/>
    <x v="1299"/>
    <x v="1361"/>
    <x v="750"/>
    <x v="18"/>
    <x v="105"/>
    <x v="1175"/>
    <x v="18"/>
    <x v="0"/>
  </r>
  <r>
    <x v="13"/>
    <x v="1"/>
    <x v="2"/>
    <x v="3"/>
    <x v="6"/>
    <x v="2"/>
    <x v="39"/>
    <x v="15"/>
    <x v="42"/>
    <x v="91"/>
    <x v="316"/>
    <x v="1218"/>
    <x v="1358"/>
    <x v="1300"/>
    <x v="1362"/>
    <x v="985"/>
    <x v="47"/>
    <x v="84"/>
    <x v="1176"/>
    <x v="47"/>
    <x v="2"/>
  </r>
  <r>
    <x v="4"/>
    <x v="0"/>
    <x v="9"/>
    <x v="2"/>
    <x v="3"/>
    <x v="0"/>
    <x v="62"/>
    <x v="68"/>
    <x v="19"/>
    <x v="10"/>
    <x v="357"/>
    <x v="1219"/>
    <x v="1359"/>
    <x v="423"/>
    <x v="1363"/>
    <x v="986"/>
    <x v="0"/>
    <x v="136"/>
    <x v="1177"/>
    <x v="0"/>
    <x v="1"/>
  </r>
  <r>
    <x v="5"/>
    <x v="0"/>
    <x v="9"/>
    <x v="4"/>
    <x v="0"/>
    <x v="3"/>
    <x v="63"/>
    <x v="48"/>
    <x v="1"/>
    <x v="29"/>
    <x v="325"/>
    <x v="1220"/>
    <x v="1360"/>
    <x v="1301"/>
    <x v="1364"/>
    <x v="880"/>
    <x v="157"/>
    <x v="177"/>
    <x v="1178"/>
    <x v="157"/>
    <x v="2"/>
  </r>
  <r>
    <x v="20"/>
    <x v="1"/>
    <x v="7"/>
    <x v="1"/>
    <x v="2"/>
    <x v="0"/>
    <x v="117"/>
    <x v="68"/>
    <x v="74"/>
    <x v="94"/>
    <x v="114"/>
    <x v="1221"/>
    <x v="1361"/>
    <x v="1302"/>
    <x v="1365"/>
    <x v="987"/>
    <x v="100"/>
    <x v="38"/>
    <x v="593"/>
    <x v="100"/>
    <x v="1"/>
  </r>
  <r>
    <x v="43"/>
    <x v="1"/>
    <x v="8"/>
    <x v="3"/>
    <x v="4"/>
    <x v="3"/>
    <x v="37"/>
    <x v="43"/>
    <x v="23"/>
    <x v="43"/>
    <x v="201"/>
    <x v="1222"/>
    <x v="1362"/>
    <x v="1303"/>
    <x v="1366"/>
    <x v="988"/>
    <x v="53"/>
    <x v="33"/>
    <x v="1179"/>
    <x v="53"/>
    <x v="2"/>
  </r>
  <r>
    <x v="40"/>
    <x v="1"/>
    <x v="8"/>
    <x v="4"/>
    <x v="3"/>
    <x v="2"/>
    <x v="98"/>
    <x v="2"/>
    <x v="53"/>
    <x v="127"/>
    <x v="167"/>
    <x v="1223"/>
    <x v="1363"/>
    <x v="1304"/>
    <x v="1367"/>
    <x v="989"/>
    <x v="185"/>
    <x v="96"/>
    <x v="1180"/>
    <x v="185"/>
    <x v="2"/>
  </r>
  <r>
    <x v="33"/>
    <x v="1"/>
    <x v="8"/>
    <x v="3"/>
    <x v="5"/>
    <x v="0"/>
    <x v="15"/>
    <x v="63"/>
    <x v="36"/>
    <x v="93"/>
    <x v="210"/>
    <x v="1224"/>
    <x v="1364"/>
    <x v="1305"/>
    <x v="1368"/>
    <x v="82"/>
    <x v="111"/>
    <x v="99"/>
    <x v="1181"/>
    <x v="111"/>
    <x v="2"/>
  </r>
  <r>
    <x v="46"/>
    <x v="1"/>
    <x v="0"/>
    <x v="4"/>
    <x v="2"/>
    <x v="2"/>
    <x v="90"/>
    <x v="77"/>
    <x v="5"/>
    <x v="30"/>
    <x v="87"/>
    <x v="1225"/>
    <x v="1365"/>
    <x v="1306"/>
    <x v="1369"/>
    <x v="990"/>
    <x v="110"/>
    <x v="150"/>
    <x v="1182"/>
    <x v="110"/>
    <x v="1"/>
  </r>
  <r>
    <x v="36"/>
    <x v="0"/>
    <x v="7"/>
    <x v="1"/>
    <x v="5"/>
    <x v="2"/>
    <x v="37"/>
    <x v="13"/>
    <x v="26"/>
    <x v="96"/>
    <x v="299"/>
    <x v="1226"/>
    <x v="1366"/>
    <x v="1307"/>
    <x v="1370"/>
    <x v="734"/>
    <x v="146"/>
    <x v="207"/>
    <x v="138"/>
    <x v="146"/>
    <x v="1"/>
  </r>
  <r>
    <x v="11"/>
    <x v="0"/>
    <x v="7"/>
    <x v="4"/>
    <x v="6"/>
    <x v="1"/>
    <x v="98"/>
    <x v="77"/>
    <x v="81"/>
    <x v="136"/>
    <x v="222"/>
    <x v="1071"/>
    <x v="1367"/>
    <x v="1308"/>
    <x v="1371"/>
    <x v="991"/>
    <x v="133"/>
    <x v="79"/>
    <x v="705"/>
    <x v="133"/>
    <x v="1"/>
  </r>
  <r>
    <x v="59"/>
    <x v="0"/>
    <x v="7"/>
    <x v="2"/>
    <x v="6"/>
    <x v="0"/>
    <x v="112"/>
    <x v="69"/>
    <x v="16"/>
    <x v="98"/>
    <x v="91"/>
    <x v="1227"/>
    <x v="1368"/>
    <x v="1309"/>
    <x v="1372"/>
    <x v="992"/>
    <x v="49"/>
    <x v="156"/>
    <x v="1183"/>
    <x v="49"/>
    <x v="0"/>
  </r>
  <r>
    <x v="56"/>
    <x v="1"/>
    <x v="2"/>
    <x v="1"/>
    <x v="0"/>
    <x v="3"/>
    <x v="46"/>
    <x v="62"/>
    <x v="75"/>
    <x v="7"/>
    <x v="148"/>
    <x v="589"/>
    <x v="1369"/>
    <x v="1310"/>
    <x v="1373"/>
    <x v="319"/>
    <x v="102"/>
    <x v="11"/>
    <x v="1184"/>
    <x v="102"/>
    <x v="2"/>
  </r>
  <r>
    <x v="46"/>
    <x v="0"/>
    <x v="0"/>
    <x v="4"/>
    <x v="6"/>
    <x v="0"/>
    <x v="98"/>
    <x v="53"/>
    <x v="43"/>
    <x v="143"/>
    <x v="404"/>
    <x v="1228"/>
    <x v="1370"/>
    <x v="1311"/>
    <x v="1374"/>
    <x v="993"/>
    <x v="16"/>
    <x v="2"/>
    <x v="1185"/>
    <x v="16"/>
    <x v="1"/>
  </r>
  <r>
    <x v="50"/>
    <x v="0"/>
    <x v="7"/>
    <x v="4"/>
    <x v="4"/>
    <x v="3"/>
    <x v="55"/>
    <x v="14"/>
    <x v="19"/>
    <x v="26"/>
    <x v="185"/>
    <x v="1229"/>
    <x v="1371"/>
    <x v="1312"/>
    <x v="1375"/>
    <x v="805"/>
    <x v="88"/>
    <x v="70"/>
    <x v="269"/>
    <x v="88"/>
    <x v="2"/>
  </r>
  <r>
    <x v="34"/>
    <x v="0"/>
    <x v="7"/>
    <x v="0"/>
    <x v="1"/>
    <x v="1"/>
    <x v="89"/>
    <x v="71"/>
    <x v="56"/>
    <x v="132"/>
    <x v="22"/>
    <x v="1230"/>
    <x v="1372"/>
    <x v="1313"/>
    <x v="1376"/>
    <x v="994"/>
    <x v="185"/>
    <x v="137"/>
    <x v="1186"/>
    <x v="185"/>
    <x v="2"/>
  </r>
  <r>
    <x v="24"/>
    <x v="0"/>
    <x v="6"/>
    <x v="2"/>
    <x v="4"/>
    <x v="1"/>
    <x v="44"/>
    <x v="9"/>
    <x v="44"/>
    <x v="88"/>
    <x v="429"/>
    <x v="1231"/>
    <x v="1373"/>
    <x v="1314"/>
    <x v="1377"/>
    <x v="381"/>
    <x v="57"/>
    <x v="92"/>
    <x v="1187"/>
    <x v="57"/>
    <x v="1"/>
  </r>
  <r>
    <x v="23"/>
    <x v="1"/>
    <x v="9"/>
    <x v="4"/>
    <x v="3"/>
    <x v="1"/>
    <x v="28"/>
    <x v="22"/>
    <x v="88"/>
    <x v="38"/>
    <x v="392"/>
    <x v="1232"/>
    <x v="1374"/>
    <x v="1315"/>
    <x v="1378"/>
    <x v="195"/>
    <x v="60"/>
    <x v="177"/>
    <x v="1188"/>
    <x v="60"/>
    <x v="1"/>
  </r>
  <r>
    <x v="11"/>
    <x v="1"/>
    <x v="2"/>
    <x v="2"/>
    <x v="5"/>
    <x v="1"/>
    <x v="58"/>
    <x v="46"/>
    <x v="58"/>
    <x v="2"/>
    <x v="150"/>
    <x v="440"/>
    <x v="1375"/>
    <x v="1316"/>
    <x v="1379"/>
    <x v="995"/>
    <x v="139"/>
    <x v="33"/>
    <x v="91"/>
    <x v="139"/>
    <x v="1"/>
  </r>
  <r>
    <x v="38"/>
    <x v="1"/>
    <x v="5"/>
    <x v="0"/>
    <x v="1"/>
    <x v="3"/>
    <x v="21"/>
    <x v="65"/>
    <x v="85"/>
    <x v="119"/>
    <x v="5"/>
    <x v="1233"/>
    <x v="1376"/>
    <x v="1317"/>
    <x v="1380"/>
    <x v="996"/>
    <x v="71"/>
    <x v="148"/>
    <x v="1189"/>
    <x v="71"/>
    <x v="2"/>
  </r>
  <r>
    <x v="7"/>
    <x v="1"/>
    <x v="2"/>
    <x v="0"/>
    <x v="0"/>
    <x v="2"/>
    <x v="62"/>
    <x v="60"/>
    <x v="49"/>
    <x v="145"/>
    <x v="113"/>
    <x v="1234"/>
    <x v="1377"/>
    <x v="1318"/>
    <x v="1381"/>
    <x v="997"/>
    <x v="147"/>
    <x v="176"/>
    <x v="1190"/>
    <x v="147"/>
    <x v="2"/>
  </r>
  <r>
    <x v="5"/>
    <x v="0"/>
    <x v="5"/>
    <x v="2"/>
    <x v="6"/>
    <x v="2"/>
    <x v="39"/>
    <x v="8"/>
    <x v="40"/>
    <x v="89"/>
    <x v="54"/>
    <x v="1235"/>
    <x v="1378"/>
    <x v="1319"/>
    <x v="1382"/>
    <x v="998"/>
    <x v="79"/>
    <x v="72"/>
    <x v="1191"/>
    <x v="79"/>
    <x v="2"/>
  </r>
  <r>
    <x v="7"/>
    <x v="1"/>
    <x v="4"/>
    <x v="3"/>
    <x v="1"/>
    <x v="1"/>
    <x v="66"/>
    <x v="10"/>
    <x v="41"/>
    <x v="113"/>
    <x v="132"/>
    <x v="747"/>
    <x v="1379"/>
    <x v="1320"/>
    <x v="1383"/>
    <x v="843"/>
    <x v="173"/>
    <x v="134"/>
    <x v="872"/>
    <x v="173"/>
    <x v="2"/>
  </r>
  <r>
    <x v="26"/>
    <x v="0"/>
    <x v="8"/>
    <x v="0"/>
    <x v="1"/>
    <x v="1"/>
    <x v="18"/>
    <x v="27"/>
    <x v="41"/>
    <x v="151"/>
    <x v="281"/>
    <x v="1236"/>
    <x v="1380"/>
    <x v="1321"/>
    <x v="1384"/>
    <x v="999"/>
    <x v="44"/>
    <x v="56"/>
    <x v="1192"/>
    <x v="44"/>
    <x v="2"/>
  </r>
  <r>
    <x v="50"/>
    <x v="0"/>
    <x v="3"/>
    <x v="0"/>
    <x v="4"/>
    <x v="2"/>
    <x v="77"/>
    <x v="34"/>
    <x v="78"/>
    <x v="105"/>
    <x v="200"/>
    <x v="1237"/>
    <x v="1381"/>
    <x v="1322"/>
    <x v="1385"/>
    <x v="1000"/>
    <x v="18"/>
    <x v="213"/>
    <x v="1193"/>
    <x v="18"/>
    <x v="2"/>
  </r>
  <r>
    <x v="44"/>
    <x v="0"/>
    <x v="2"/>
    <x v="2"/>
    <x v="2"/>
    <x v="3"/>
    <x v="88"/>
    <x v="78"/>
    <x v="18"/>
    <x v="11"/>
    <x v="12"/>
    <x v="1238"/>
    <x v="1382"/>
    <x v="1323"/>
    <x v="1386"/>
    <x v="300"/>
    <x v="14"/>
    <x v="73"/>
    <x v="1194"/>
    <x v="14"/>
    <x v="2"/>
  </r>
  <r>
    <x v="39"/>
    <x v="0"/>
    <x v="5"/>
    <x v="2"/>
    <x v="5"/>
    <x v="3"/>
    <x v="108"/>
    <x v="29"/>
    <x v="2"/>
    <x v="130"/>
    <x v="9"/>
    <x v="1239"/>
    <x v="1383"/>
    <x v="1324"/>
    <x v="1387"/>
    <x v="1001"/>
    <x v="186"/>
    <x v="81"/>
    <x v="1195"/>
    <x v="186"/>
    <x v="2"/>
  </r>
  <r>
    <x v="16"/>
    <x v="1"/>
    <x v="9"/>
    <x v="0"/>
    <x v="0"/>
    <x v="2"/>
    <x v="18"/>
    <x v="26"/>
    <x v="28"/>
    <x v="142"/>
    <x v="264"/>
    <x v="1240"/>
    <x v="1384"/>
    <x v="1325"/>
    <x v="1388"/>
    <x v="158"/>
    <x v="66"/>
    <x v="107"/>
    <x v="1196"/>
    <x v="66"/>
    <x v="0"/>
  </r>
  <r>
    <x v="3"/>
    <x v="0"/>
    <x v="9"/>
    <x v="1"/>
    <x v="0"/>
    <x v="3"/>
    <x v="19"/>
    <x v="33"/>
    <x v="64"/>
    <x v="18"/>
    <x v="54"/>
    <x v="1241"/>
    <x v="1385"/>
    <x v="1326"/>
    <x v="1389"/>
    <x v="1002"/>
    <x v="136"/>
    <x v="102"/>
    <x v="1197"/>
    <x v="136"/>
    <x v="0"/>
  </r>
  <r>
    <x v="54"/>
    <x v="1"/>
    <x v="7"/>
    <x v="1"/>
    <x v="6"/>
    <x v="0"/>
    <x v="58"/>
    <x v="41"/>
    <x v="50"/>
    <x v="55"/>
    <x v="351"/>
    <x v="1242"/>
    <x v="1386"/>
    <x v="1327"/>
    <x v="1390"/>
    <x v="1003"/>
    <x v="35"/>
    <x v="56"/>
    <x v="1198"/>
    <x v="35"/>
    <x v="0"/>
  </r>
  <r>
    <x v="28"/>
    <x v="1"/>
    <x v="2"/>
    <x v="4"/>
    <x v="3"/>
    <x v="3"/>
    <x v="54"/>
    <x v="19"/>
    <x v="6"/>
    <x v="87"/>
    <x v="350"/>
    <x v="1243"/>
    <x v="1387"/>
    <x v="1328"/>
    <x v="1391"/>
    <x v="1004"/>
    <x v="162"/>
    <x v="65"/>
    <x v="139"/>
    <x v="162"/>
    <x v="0"/>
  </r>
  <r>
    <x v="41"/>
    <x v="0"/>
    <x v="1"/>
    <x v="2"/>
    <x v="3"/>
    <x v="1"/>
    <x v="4"/>
    <x v="33"/>
    <x v="60"/>
    <x v="11"/>
    <x v="377"/>
    <x v="1176"/>
    <x v="1388"/>
    <x v="1329"/>
    <x v="1392"/>
    <x v="213"/>
    <x v="174"/>
    <x v="219"/>
    <x v="1199"/>
    <x v="174"/>
    <x v="2"/>
  </r>
  <r>
    <x v="35"/>
    <x v="1"/>
    <x v="9"/>
    <x v="1"/>
    <x v="0"/>
    <x v="3"/>
    <x v="85"/>
    <x v="72"/>
    <x v="40"/>
    <x v="32"/>
    <x v="341"/>
    <x v="633"/>
    <x v="1389"/>
    <x v="1330"/>
    <x v="1393"/>
    <x v="1005"/>
    <x v="82"/>
    <x v="173"/>
    <x v="1200"/>
    <x v="82"/>
    <x v="2"/>
  </r>
  <r>
    <x v="36"/>
    <x v="1"/>
    <x v="9"/>
    <x v="3"/>
    <x v="3"/>
    <x v="3"/>
    <x v="104"/>
    <x v="70"/>
    <x v="55"/>
    <x v="126"/>
    <x v="88"/>
    <x v="1244"/>
    <x v="1390"/>
    <x v="1331"/>
    <x v="1394"/>
    <x v="1006"/>
    <x v="118"/>
    <x v="39"/>
    <x v="1201"/>
    <x v="118"/>
    <x v="1"/>
  </r>
  <r>
    <x v="22"/>
    <x v="1"/>
    <x v="3"/>
    <x v="0"/>
    <x v="4"/>
    <x v="0"/>
    <x v="85"/>
    <x v="36"/>
    <x v="62"/>
    <x v="49"/>
    <x v="78"/>
    <x v="1245"/>
    <x v="1391"/>
    <x v="1332"/>
    <x v="1395"/>
    <x v="1007"/>
    <x v="10"/>
    <x v="208"/>
    <x v="1202"/>
    <x v="10"/>
    <x v="0"/>
  </r>
  <r>
    <x v="25"/>
    <x v="1"/>
    <x v="3"/>
    <x v="0"/>
    <x v="6"/>
    <x v="1"/>
    <x v="16"/>
    <x v="68"/>
    <x v="46"/>
    <x v="154"/>
    <x v="233"/>
    <x v="1246"/>
    <x v="1392"/>
    <x v="1333"/>
    <x v="1396"/>
    <x v="701"/>
    <x v="61"/>
    <x v="19"/>
    <x v="1203"/>
    <x v="61"/>
    <x v="0"/>
  </r>
  <r>
    <x v="5"/>
    <x v="0"/>
    <x v="9"/>
    <x v="3"/>
    <x v="2"/>
    <x v="2"/>
    <x v="7"/>
    <x v="6"/>
    <x v="46"/>
    <x v="78"/>
    <x v="133"/>
    <x v="704"/>
    <x v="1393"/>
    <x v="1334"/>
    <x v="1397"/>
    <x v="1008"/>
    <x v="53"/>
    <x v="154"/>
    <x v="883"/>
    <x v="53"/>
    <x v="2"/>
  </r>
  <r>
    <x v="2"/>
    <x v="1"/>
    <x v="8"/>
    <x v="0"/>
    <x v="2"/>
    <x v="0"/>
    <x v="53"/>
    <x v="67"/>
    <x v="86"/>
    <x v="72"/>
    <x v="233"/>
    <x v="1247"/>
    <x v="1394"/>
    <x v="1335"/>
    <x v="1398"/>
    <x v="1009"/>
    <x v="57"/>
    <x v="118"/>
    <x v="1204"/>
    <x v="57"/>
    <x v="2"/>
  </r>
  <r>
    <x v="39"/>
    <x v="1"/>
    <x v="8"/>
    <x v="1"/>
    <x v="0"/>
    <x v="0"/>
    <x v="49"/>
    <x v="70"/>
    <x v="48"/>
    <x v="5"/>
    <x v="210"/>
    <x v="1248"/>
    <x v="1395"/>
    <x v="1336"/>
    <x v="1399"/>
    <x v="1010"/>
    <x v="123"/>
    <x v="219"/>
    <x v="1205"/>
    <x v="123"/>
    <x v="2"/>
  </r>
  <r>
    <x v="42"/>
    <x v="0"/>
    <x v="8"/>
    <x v="2"/>
    <x v="3"/>
    <x v="2"/>
    <x v="81"/>
    <x v="27"/>
    <x v="42"/>
    <x v="57"/>
    <x v="197"/>
    <x v="1249"/>
    <x v="1396"/>
    <x v="1337"/>
    <x v="1400"/>
    <x v="695"/>
    <x v="110"/>
    <x v="65"/>
    <x v="1206"/>
    <x v="110"/>
    <x v="2"/>
  </r>
  <r>
    <x v="51"/>
    <x v="1"/>
    <x v="5"/>
    <x v="3"/>
    <x v="3"/>
    <x v="3"/>
    <x v="104"/>
    <x v="14"/>
    <x v="48"/>
    <x v="148"/>
    <x v="430"/>
    <x v="1250"/>
    <x v="1397"/>
    <x v="1338"/>
    <x v="1401"/>
    <x v="1011"/>
    <x v="70"/>
    <x v="210"/>
    <x v="1207"/>
    <x v="70"/>
    <x v="2"/>
  </r>
  <r>
    <x v="12"/>
    <x v="0"/>
    <x v="9"/>
    <x v="1"/>
    <x v="3"/>
    <x v="0"/>
    <x v="29"/>
    <x v="61"/>
    <x v="59"/>
    <x v="103"/>
    <x v="230"/>
    <x v="1251"/>
    <x v="880"/>
    <x v="1339"/>
    <x v="1402"/>
    <x v="95"/>
    <x v="123"/>
    <x v="25"/>
    <x v="1208"/>
    <x v="123"/>
    <x v="0"/>
  </r>
  <r>
    <x v="6"/>
    <x v="0"/>
    <x v="7"/>
    <x v="2"/>
    <x v="3"/>
    <x v="2"/>
    <x v="12"/>
    <x v="43"/>
    <x v="39"/>
    <x v="77"/>
    <x v="243"/>
    <x v="1252"/>
    <x v="1398"/>
    <x v="1340"/>
    <x v="1403"/>
    <x v="372"/>
    <x v="16"/>
    <x v="148"/>
    <x v="237"/>
    <x v="16"/>
    <x v="2"/>
  </r>
  <r>
    <x v="4"/>
    <x v="1"/>
    <x v="9"/>
    <x v="3"/>
    <x v="5"/>
    <x v="1"/>
    <x v="117"/>
    <x v="72"/>
    <x v="9"/>
    <x v="105"/>
    <x v="427"/>
    <x v="1253"/>
    <x v="1399"/>
    <x v="1341"/>
    <x v="1404"/>
    <x v="1012"/>
    <x v="70"/>
    <x v="220"/>
    <x v="355"/>
    <x v="70"/>
    <x v="1"/>
  </r>
  <r>
    <x v="14"/>
    <x v="0"/>
    <x v="4"/>
    <x v="1"/>
    <x v="2"/>
    <x v="3"/>
    <x v="102"/>
    <x v="44"/>
    <x v="66"/>
    <x v="81"/>
    <x v="198"/>
    <x v="840"/>
    <x v="1400"/>
    <x v="1342"/>
    <x v="1405"/>
    <x v="502"/>
    <x v="126"/>
    <x v="165"/>
    <x v="721"/>
    <x v="126"/>
    <x v="2"/>
  </r>
  <r>
    <x v="37"/>
    <x v="0"/>
    <x v="4"/>
    <x v="2"/>
    <x v="3"/>
    <x v="3"/>
    <x v="35"/>
    <x v="11"/>
    <x v="58"/>
    <x v="133"/>
    <x v="17"/>
    <x v="1254"/>
    <x v="1401"/>
    <x v="1343"/>
    <x v="1406"/>
    <x v="120"/>
    <x v="86"/>
    <x v="124"/>
    <x v="91"/>
    <x v="86"/>
    <x v="2"/>
  </r>
  <r>
    <x v="55"/>
    <x v="1"/>
    <x v="1"/>
    <x v="4"/>
    <x v="5"/>
    <x v="3"/>
    <x v="62"/>
    <x v="52"/>
    <x v="34"/>
    <x v="107"/>
    <x v="142"/>
    <x v="1255"/>
    <x v="1402"/>
    <x v="1344"/>
    <x v="1407"/>
    <x v="495"/>
    <x v="106"/>
    <x v="55"/>
    <x v="1209"/>
    <x v="106"/>
    <x v="2"/>
  </r>
  <r>
    <x v="15"/>
    <x v="1"/>
    <x v="7"/>
    <x v="2"/>
    <x v="3"/>
    <x v="0"/>
    <x v="8"/>
    <x v="9"/>
    <x v="38"/>
    <x v="117"/>
    <x v="431"/>
    <x v="76"/>
    <x v="1403"/>
    <x v="1345"/>
    <x v="1408"/>
    <x v="727"/>
    <x v="68"/>
    <x v="192"/>
    <x v="1210"/>
    <x v="68"/>
    <x v="2"/>
  </r>
  <r>
    <x v="35"/>
    <x v="1"/>
    <x v="6"/>
    <x v="1"/>
    <x v="4"/>
    <x v="3"/>
    <x v="83"/>
    <x v="22"/>
    <x v="9"/>
    <x v="131"/>
    <x v="265"/>
    <x v="1256"/>
    <x v="1404"/>
    <x v="1346"/>
    <x v="1409"/>
    <x v="1013"/>
    <x v="143"/>
    <x v="94"/>
    <x v="1211"/>
    <x v="143"/>
    <x v="2"/>
  </r>
  <r>
    <x v="14"/>
    <x v="1"/>
    <x v="7"/>
    <x v="4"/>
    <x v="6"/>
    <x v="1"/>
    <x v="42"/>
    <x v="17"/>
    <x v="61"/>
    <x v="64"/>
    <x v="134"/>
    <x v="1257"/>
    <x v="350"/>
    <x v="1347"/>
    <x v="1410"/>
    <x v="1014"/>
    <x v="92"/>
    <x v="91"/>
    <x v="1212"/>
    <x v="92"/>
    <x v="2"/>
  </r>
  <r>
    <x v="43"/>
    <x v="0"/>
    <x v="4"/>
    <x v="2"/>
    <x v="5"/>
    <x v="0"/>
    <x v="70"/>
    <x v="20"/>
    <x v="44"/>
    <x v="34"/>
    <x v="154"/>
    <x v="1258"/>
    <x v="1405"/>
    <x v="1348"/>
    <x v="1411"/>
    <x v="926"/>
    <x v="51"/>
    <x v="56"/>
    <x v="1213"/>
    <x v="51"/>
    <x v="2"/>
  </r>
  <r>
    <x v="39"/>
    <x v="0"/>
    <x v="3"/>
    <x v="2"/>
    <x v="6"/>
    <x v="2"/>
    <x v="27"/>
    <x v="78"/>
    <x v="21"/>
    <x v="92"/>
    <x v="266"/>
    <x v="1259"/>
    <x v="1406"/>
    <x v="1349"/>
    <x v="1412"/>
    <x v="629"/>
    <x v="78"/>
    <x v="114"/>
    <x v="1214"/>
    <x v="78"/>
    <x v="2"/>
  </r>
  <r>
    <x v="30"/>
    <x v="0"/>
    <x v="1"/>
    <x v="4"/>
    <x v="6"/>
    <x v="2"/>
    <x v="44"/>
    <x v="25"/>
    <x v="67"/>
    <x v="24"/>
    <x v="118"/>
    <x v="1260"/>
    <x v="1407"/>
    <x v="1350"/>
    <x v="1413"/>
    <x v="1015"/>
    <x v="141"/>
    <x v="94"/>
    <x v="1215"/>
    <x v="141"/>
    <x v="1"/>
  </r>
  <r>
    <x v="42"/>
    <x v="0"/>
    <x v="2"/>
    <x v="4"/>
    <x v="0"/>
    <x v="0"/>
    <x v="83"/>
    <x v="47"/>
    <x v="60"/>
    <x v="101"/>
    <x v="398"/>
    <x v="1261"/>
    <x v="1408"/>
    <x v="1351"/>
    <x v="1414"/>
    <x v="841"/>
    <x v="134"/>
    <x v="111"/>
    <x v="1216"/>
    <x v="134"/>
    <x v="2"/>
  </r>
  <r>
    <x v="46"/>
    <x v="1"/>
    <x v="8"/>
    <x v="0"/>
    <x v="4"/>
    <x v="2"/>
    <x v="76"/>
    <x v="73"/>
    <x v="41"/>
    <x v="147"/>
    <x v="134"/>
    <x v="56"/>
    <x v="1409"/>
    <x v="1352"/>
    <x v="1415"/>
    <x v="566"/>
    <x v="100"/>
    <x v="137"/>
    <x v="1217"/>
    <x v="100"/>
    <x v="1"/>
  </r>
  <r>
    <x v="7"/>
    <x v="0"/>
    <x v="9"/>
    <x v="4"/>
    <x v="4"/>
    <x v="2"/>
    <x v="78"/>
    <x v="27"/>
    <x v="5"/>
    <x v="142"/>
    <x v="199"/>
    <x v="1262"/>
    <x v="1410"/>
    <x v="1353"/>
    <x v="1416"/>
    <x v="1016"/>
    <x v="118"/>
    <x v="183"/>
    <x v="1218"/>
    <x v="118"/>
    <x v="2"/>
  </r>
  <r>
    <x v="6"/>
    <x v="0"/>
    <x v="4"/>
    <x v="3"/>
    <x v="5"/>
    <x v="3"/>
    <x v="77"/>
    <x v="14"/>
    <x v="54"/>
    <x v="20"/>
    <x v="122"/>
    <x v="1263"/>
    <x v="1411"/>
    <x v="1354"/>
    <x v="1417"/>
    <x v="31"/>
    <x v="124"/>
    <x v="74"/>
    <x v="1219"/>
    <x v="124"/>
    <x v="2"/>
  </r>
  <r>
    <x v="3"/>
    <x v="1"/>
    <x v="1"/>
    <x v="0"/>
    <x v="0"/>
    <x v="3"/>
    <x v="92"/>
    <x v="8"/>
    <x v="55"/>
    <x v="101"/>
    <x v="422"/>
    <x v="1264"/>
    <x v="1412"/>
    <x v="1355"/>
    <x v="1418"/>
    <x v="62"/>
    <x v="0"/>
    <x v="33"/>
    <x v="324"/>
    <x v="0"/>
    <x v="0"/>
  </r>
  <r>
    <x v="20"/>
    <x v="0"/>
    <x v="9"/>
    <x v="4"/>
    <x v="6"/>
    <x v="0"/>
    <x v="54"/>
    <x v="44"/>
    <x v="30"/>
    <x v="147"/>
    <x v="26"/>
    <x v="144"/>
    <x v="1413"/>
    <x v="1356"/>
    <x v="1419"/>
    <x v="1017"/>
    <x v="144"/>
    <x v="128"/>
    <x v="325"/>
    <x v="144"/>
    <x v="1"/>
  </r>
  <r>
    <x v="31"/>
    <x v="1"/>
    <x v="5"/>
    <x v="3"/>
    <x v="2"/>
    <x v="3"/>
    <x v="1"/>
    <x v="16"/>
    <x v="30"/>
    <x v="117"/>
    <x v="71"/>
    <x v="376"/>
    <x v="1414"/>
    <x v="1357"/>
    <x v="1420"/>
    <x v="1018"/>
    <x v="68"/>
    <x v="69"/>
    <x v="678"/>
    <x v="68"/>
    <x v="2"/>
  </r>
  <r>
    <x v="12"/>
    <x v="0"/>
    <x v="3"/>
    <x v="3"/>
    <x v="6"/>
    <x v="1"/>
    <x v="67"/>
    <x v="16"/>
    <x v="77"/>
    <x v="109"/>
    <x v="315"/>
    <x v="1265"/>
    <x v="1415"/>
    <x v="1358"/>
    <x v="1421"/>
    <x v="416"/>
    <x v="22"/>
    <x v="72"/>
    <x v="1220"/>
    <x v="22"/>
    <x v="0"/>
  </r>
  <r>
    <x v="48"/>
    <x v="0"/>
    <x v="0"/>
    <x v="3"/>
    <x v="3"/>
    <x v="1"/>
    <x v="35"/>
    <x v="18"/>
    <x v="37"/>
    <x v="134"/>
    <x v="417"/>
    <x v="1266"/>
    <x v="1416"/>
    <x v="1359"/>
    <x v="1422"/>
    <x v="1019"/>
    <x v="93"/>
    <x v="86"/>
    <x v="1221"/>
    <x v="93"/>
    <x v="2"/>
  </r>
  <r>
    <x v="34"/>
    <x v="1"/>
    <x v="5"/>
    <x v="0"/>
    <x v="2"/>
    <x v="1"/>
    <x v="104"/>
    <x v="61"/>
    <x v="61"/>
    <x v="60"/>
    <x v="226"/>
    <x v="331"/>
    <x v="1417"/>
    <x v="1360"/>
    <x v="1423"/>
    <x v="229"/>
    <x v="56"/>
    <x v="221"/>
    <x v="1222"/>
    <x v="56"/>
    <x v="2"/>
  </r>
  <r>
    <x v="38"/>
    <x v="0"/>
    <x v="5"/>
    <x v="4"/>
    <x v="2"/>
    <x v="1"/>
    <x v="106"/>
    <x v="14"/>
    <x v="44"/>
    <x v="158"/>
    <x v="118"/>
    <x v="107"/>
    <x v="1418"/>
    <x v="1361"/>
    <x v="1424"/>
    <x v="1020"/>
    <x v="78"/>
    <x v="8"/>
    <x v="1223"/>
    <x v="78"/>
    <x v="2"/>
  </r>
  <r>
    <x v="52"/>
    <x v="1"/>
    <x v="5"/>
    <x v="3"/>
    <x v="1"/>
    <x v="2"/>
    <x v="60"/>
    <x v="23"/>
    <x v="55"/>
    <x v="28"/>
    <x v="266"/>
    <x v="1267"/>
    <x v="1419"/>
    <x v="1362"/>
    <x v="1425"/>
    <x v="1021"/>
    <x v="61"/>
    <x v="67"/>
    <x v="1224"/>
    <x v="61"/>
    <x v="2"/>
  </r>
  <r>
    <x v="18"/>
    <x v="1"/>
    <x v="2"/>
    <x v="1"/>
    <x v="4"/>
    <x v="1"/>
    <x v="57"/>
    <x v="51"/>
    <x v="23"/>
    <x v="137"/>
    <x v="235"/>
    <x v="926"/>
    <x v="1420"/>
    <x v="1363"/>
    <x v="1426"/>
    <x v="1022"/>
    <x v="9"/>
    <x v="167"/>
    <x v="1225"/>
    <x v="9"/>
    <x v="2"/>
  </r>
  <r>
    <x v="13"/>
    <x v="0"/>
    <x v="4"/>
    <x v="1"/>
    <x v="4"/>
    <x v="3"/>
    <x v="90"/>
    <x v="7"/>
    <x v="1"/>
    <x v="136"/>
    <x v="272"/>
    <x v="1171"/>
    <x v="1421"/>
    <x v="1364"/>
    <x v="1427"/>
    <x v="695"/>
    <x v="72"/>
    <x v="193"/>
    <x v="1226"/>
    <x v="72"/>
    <x v="2"/>
  </r>
  <r>
    <x v="40"/>
    <x v="1"/>
    <x v="3"/>
    <x v="2"/>
    <x v="6"/>
    <x v="2"/>
    <x v="71"/>
    <x v="32"/>
    <x v="14"/>
    <x v="151"/>
    <x v="140"/>
    <x v="1268"/>
    <x v="1422"/>
    <x v="1365"/>
    <x v="1428"/>
    <x v="1023"/>
    <x v="62"/>
    <x v="52"/>
    <x v="1227"/>
    <x v="62"/>
    <x v="2"/>
  </r>
  <r>
    <x v="43"/>
    <x v="1"/>
    <x v="4"/>
    <x v="0"/>
    <x v="4"/>
    <x v="1"/>
    <x v="101"/>
    <x v="5"/>
    <x v="0"/>
    <x v="24"/>
    <x v="140"/>
    <x v="1269"/>
    <x v="1423"/>
    <x v="1366"/>
    <x v="1429"/>
    <x v="1024"/>
    <x v="96"/>
    <x v="146"/>
    <x v="1228"/>
    <x v="96"/>
    <x v="2"/>
  </r>
  <r>
    <x v="52"/>
    <x v="0"/>
    <x v="3"/>
    <x v="2"/>
    <x v="5"/>
    <x v="2"/>
    <x v="52"/>
    <x v="0"/>
    <x v="78"/>
    <x v="129"/>
    <x v="168"/>
    <x v="1182"/>
    <x v="1424"/>
    <x v="1367"/>
    <x v="1430"/>
    <x v="1025"/>
    <x v="184"/>
    <x v="125"/>
    <x v="1229"/>
    <x v="184"/>
    <x v="2"/>
  </r>
  <r>
    <x v="52"/>
    <x v="1"/>
    <x v="6"/>
    <x v="4"/>
    <x v="5"/>
    <x v="3"/>
    <x v="2"/>
    <x v="8"/>
    <x v="50"/>
    <x v="71"/>
    <x v="166"/>
    <x v="43"/>
    <x v="1425"/>
    <x v="1368"/>
    <x v="1431"/>
    <x v="1026"/>
    <x v="141"/>
    <x v="110"/>
    <x v="1230"/>
    <x v="141"/>
    <x v="2"/>
  </r>
  <r>
    <x v="20"/>
    <x v="1"/>
    <x v="6"/>
    <x v="4"/>
    <x v="4"/>
    <x v="0"/>
    <x v="118"/>
    <x v="8"/>
    <x v="61"/>
    <x v="49"/>
    <x v="276"/>
    <x v="1270"/>
    <x v="1426"/>
    <x v="1369"/>
    <x v="1432"/>
    <x v="452"/>
    <x v="68"/>
    <x v="195"/>
    <x v="1231"/>
    <x v="68"/>
    <x v="1"/>
  </r>
  <r>
    <x v="30"/>
    <x v="1"/>
    <x v="5"/>
    <x v="2"/>
    <x v="1"/>
    <x v="0"/>
    <x v="55"/>
    <x v="19"/>
    <x v="44"/>
    <x v="117"/>
    <x v="42"/>
    <x v="1271"/>
    <x v="1427"/>
    <x v="1370"/>
    <x v="1433"/>
    <x v="1027"/>
    <x v="98"/>
    <x v="81"/>
    <x v="160"/>
    <x v="98"/>
    <x v="1"/>
  </r>
  <r>
    <x v="31"/>
    <x v="0"/>
    <x v="6"/>
    <x v="1"/>
    <x v="3"/>
    <x v="1"/>
    <x v="54"/>
    <x v="17"/>
    <x v="29"/>
    <x v="45"/>
    <x v="217"/>
    <x v="1272"/>
    <x v="1428"/>
    <x v="1371"/>
    <x v="1434"/>
    <x v="630"/>
    <x v="157"/>
    <x v="162"/>
    <x v="1232"/>
    <x v="157"/>
    <x v="2"/>
  </r>
  <r>
    <x v="33"/>
    <x v="1"/>
    <x v="2"/>
    <x v="0"/>
    <x v="0"/>
    <x v="2"/>
    <x v="66"/>
    <x v="46"/>
    <x v="40"/>
    <x v="26"/>
    <x v="307"/>
    <x v="148"/>
    <x v="1429"/>
    <x v="1372"/>
    <x v="1435"/>
    <x v="1028"/>
    <x v="66"/>
    <x v="8"/>
    <x v="976"/>
    <x v="66"/>
    <x v="2"/>
  </r>
  <r>
    <x v="57"/>
    <x v="1"/>
    <x v="3"/>
    <x v="3"/>
    <x v="3"/>
    <x v="3"/>
    <x v="36"/>
    <x v="64"/>
    <x v="64"/>
    <x v="128"/>
    <x v="149"/>
    <x v="1273"/>
    <x v="1430"/>
    <x v="895"/>
    <x v="1436"/>
    <x v="1014"/>
    <x v="138"/>
    <x v="90"/>
    <x v="1233"/>
    <x v="138"/>
    <x v="0"/>
  </r>
  <r>
    <x v="38"/>
    <x v="0"/>
    <x v="7"/>
    <x v="1"/>
    <x v="2"/>
    <x v="0"/>
    <x v="9"/>
    <x v="52"/>
    <x v="29"/>
    <x v="52"/>
    <x v="86"/>
    <x v="1274"/>
    <x v="1431"/>
    <x v="1373"/>
    <x v="1437"/>
    <x v="1029"/>
    <x v="70"/>
    <x v="189"/>
    <x v="1234"/>
    <x v="70"/>
    <x v="2"/>
  </r>
  <r>
    <x v="49"/>
    <x v="0"/>
    <x v="7"/>
    <x v="1"/>
    <x v="3"/>
    <x v="0"/>
    <x v="72"/>
    <x v="78"/>
    <x v="78"/>
    <x v="134"/>
    <x v="414"/>
    <x v="1275"/>
    <x v="1432"/>
    <x v="1374"/>
    <x v="1438"/>
    <x v="247"/>
    <x v="160"/>
    <x v="72"/>
    <x v="1235"/>
    <x v="160"/>
    <x v="1"/>
  </r>
  <r>
    <x v="10"/>
    <x v="0"/>
    <x v="0"/>
    <x v="1"/>
    <x v="4"/>
    <x v="3"/>
    <x v="70"/>
    <x v="53"/>
    <x v="86"/>
    <x v="81"/>
    <x v="186"/>
    <x v="559"/>
    <x v="1433"/>
    <x v="1375"/>
    <x v="1439"/>
    <x v="584"/>
    <x v="105"/>
    <x v="60"/>
    <x v="1236"/>
    <x v="105"/>
    <x v="2"/>
  </r>
  <r>
    <x v="20"/>
    <x v="1"/>
    <x v="4"/>
    <x v="1"/>
    <x v="6"/>
    <x v="1"/>
    <x v="93"/>
    <x v="40"/>
    <x v="75"/>
    <x v="89"/>
    <x v="370"/>
    <x v="1276"/>
    <x v="1434"/>
    <x v="1376"/>
    <x v="1440"/>
    <x v="506"/>
    <x v="66"/>
    <x v="119"/>
    <x v="941"/>
    <x v="66"/>
    <x v="1"/>
  </r>
  <r>
    <x v="35"/>
    <x v="0"/>
    <x v="4"/>
    <x v="4"/>
    <x v="0"/>
    <x v="0"/>
    <x v="61"/>
    <x v="50"/>
    <x v="5"/>
    <x v="52"/>
    <x v="105"/>
    <x v="1277"/>
    <x v="1435"/>
    <x v="1188"/>
    <x v="1441"/>
    <x v="1030"/>
    <x v="21"/>
    <x v="21"/>
    <x v="93"/>
    <x v="21"/>
    <x v="2"/>
  </r>
  <r>
    <x v="31"/>
    <x v="0"/>
    <x v="5"/>
    <x v="2"/>
    <x v="4"/>
    <x v="2"/>
    <x v="26"/>
    <x v="0"/>
    <x v="3"/>
    <x v="151"/>
    <x v="357"/>
    <x v="1278"/>
    <x v="1436"/>
    <x v="1377"/>
    <x v="1442"/>
    <x v="1031"/>
    <x v="119"/>
    <x v="161"/>
    <x v="471"/>
    <x v="119"/>
    <x v="2"/>
  </r>
  <r>
    <x v="48"/>
    <x v="1"/>
    <x v="5"/>
    <x v="1"/>
    <x v="2"/>
    <x v="3"/>
    <x v="68"/>
    <x v="16"/>
    <x v="45"/>
    <x v="60"/>
    <x v="21"/>
    <x v="783"/>
    <x v="1437"/>
    <x v="1378"/>
    <x v="1443"/>
    <x v="1032"/>
    <x v="60"/>
    <x v="212"/>
    <x v="1237"/>
    <x v="60"/>
    <x v="2"/>
  </r>
  <r>
    <x v="33"/>
    <x v="1"/>
    <x v="5"/>
    <x v="2"/>
    <x v="2"/>
    <x v="2"/>
    <x v="0"/>
    <x v="58"/>
    <x v="45"/>
    <x v="60"/>
    <x v="223"/>
    <x v="1279"/>
    <x v="1438"/>
    <x v="1379"/>
    <x v="1444"/>
    <x v="649"/>
    <x v="135"/>
    <x v="222"/>
    <x v="775"/>
    <x v="135"/>
    <x v="2"/>
  </r>
  <r>
    <x v="59"/>
    <x v="0"/>
    <x v="0"/>
    <x v="2"/>
    <x v="0"/>
    <x v="3"/>
    <x v="99"/>
    <x v="31"/>
    <x v="80"/>
    <x v="113"/>
    <x v="211"/>
    <x v="1280"/>
    <x v="1439"/>
    <x v="1380"/>
    <x v="1445"/>
    <x v="1033"/>
    <x v="124"/>
    <x v="126"/>
    <x v="1238"/>
    <x v="124"/>
    <x v="0"/>
  </r>
  <r>
    <x v="39"/>
    <x v="1"/>
    <x v="8"/>
    <x v="3"/>
    <x v="1"/>
    <x v="2"/>
    <x v="80"/>
    <x v="59"/>
    <x v="19"/>
    <x v="34"/>
    <x v="19"/>
    <x v="1281"/>
    <x v="1440"/>
    <x v="1381"/>
    <x v="1446"/>
    <x v="1034"/>
    <x v="24"/>
    <x v="138"/>
    <x v="482"/>
    <x v="24"/>
    <x v="2"/>
  </r>
  <r>
    <x v="25"/>
    <x v="0"/>
    <x v="1"/>
    <x v="3"/>
    <x v="3"/>
    <x v="0"/>
    <x v="85"/>
    <x v="61"/>
    <x v="72"/>
    <x v="140"/>
    <x v="212"/>
    <x v="1282"/>
    <x v="1441"/>
    <x v="1382"/>
    <x v="1447"/>
    <x v="1035"/>
    <x v="34"/>
    <x v="212"/>
    <x v="1239"/>
    <x v="34"/>
    <x v="0"/>
  </r>
  <r>
    <x v="58"/>
    <x v="1"/>
    <x v="6"/>
    <x v="0"/>
    <x v="5"/>
    <x v="3"/>
    <x v="57"/>
    <x v="3"/>
    <x v="79"/>
    <x v="129"/>
    <x v="164"/>
    <x v="1283"/>
    <x v="1442"/>
    <x v="1383"/>
    <x v="1448"/>
    <x v="1036"/>
    <x v="121"/>
    <x v="181"/>
    <x v="1240"/>
    <x v="121"/>
    <x v="0"/>
  </r>
  <r>
    <x v="2"/>
    <x v="0"/>
    <x v="2"/>
    <x v="3"/>
    <x v="4"/>
    <x v="3"/>
    <x v="81"/>
    <x v="20"/>
    <x v="80"/>
    <x v="79"/>
    <x v="339"/>
    <x v="1284"/>
    <x v="1443"/>
    <x v="1384"/>
    <x v="1449"/>
    <x v="405"/>
    <x v="94"/>
    <x v="91"/>
    <x v="1241"/>
    <x v="94"/>
    <x v="2"/>
  </r>
  <r>
    <x v="29"/>
    <x v="0"/>
    <x v="7"/>
    <x v="3"/>
    <x v="3"/>
    <x v="3"/>
    <x v="99"/>
    <x v="59"/>
    <x v="51"/>
    <x v="110"/>
    <x v="345"/>
    <x v="1285"/>
    <x v="1444"/>
    <x v="1385"/>
    <x v="1450"/>
    <x v="1037"/>
    <x v="49"/>
    <x v="81"/>
    <x v="1242"/>
    <x v="49"/>
    <x v="2"/>
  </r>
  <r>
    <x v="54"/>
    <x v="0"/>
    <x v="4"/>
    <x v="2"/>
    <x v="5"/>
    <x v="2"/>
    <x v="118"/>
    <x v="50"/>
    <x v="62"/>
    <x v="86"/>
    <x v="103"/>
    <x v="1286"/>
    <x v="1445"/>
    <x v="243"/>
    <x v="1451"/>
    <x v="1038"/>
    <x v="88"/>
    <x v="37"/>
    <x v="1243"/>
    <x v="88"/>
    <x v="0"/>
  </r>
  <r>
    <x v="36"/>
    <x v="1"/>
    <x v="9"/>
    <x v="4"/>
    <x v="1"/>
    <x v="0"/>
    <x v="43"/>
    <x v="7"/>
    <x v="50"/>
    <x v="135"/>
    <x v="191"/>
    <x v="1287"/>
    <x v="1446"/>
    <x v="1386"/>
    <x v="1452"/>
    <x v="828"/>
    <x v="142"/>
    <x v="35"/>
    <x v="596"/>
    <x v="142"/>
    <x v="1"/>
  </r>
  <r>
    <x v="42"/>
    <x v="0"/>
    <x v="2"/>
    <x v="3"/>
    <x v="6"/>
    <x v="3"/>
    <x v="101"/>
    <x v="50"/>
    <x v="13"/>
    <x v="106"/>
    <x v="173"/>
    <x v="1106"/>
    <x v="701"/>
    <x v="1387"/>
    <x v="1453"/>
    <x v="1039"/>
    <x v="28"/>
    <x v="198"/>
    <x v="1244"/>
    <x v="28"/>
    <x v="2"/>
  </r>
  <r>
    <x v="9"/>
    <x v="0"/>
    <x v="5"/>
    <x v="0"/>
    <x v="2"/>
    <x v="2"/>
    <x v="92"/>
    <x v="39"/>
    <x v="2"/>
    <x v="45"/>
    <x v="351"/>
    <x v="1288"/>
    <x v="1447"/>
    <x v="1388"/>
    <x v="1454"/>
    <x v="1040"/>
    <x v="40"/>
    <x v="131"/>
    <x v="16"/>
    <x v="40"/>
    <x v="0"/>
  </r>
  <r>
    <x v="27"/>
    <x v="0"/>
    <x v="4"/>
    <x v="1"/>
    <x v="5"/>
    <x v="0"/>
    <x v="113"/>
    <x v="34"/>
    <x v="14"/>
    <x v="93"/>
    <x v="304"/>
    <x v="1289"/>
    <x v="1448"/>
    <x v="1389"/>
    <x v="1455"/>
    <x v="399"/>
    <x v="142"/>
    <x v="160"/>
    <x v="943"/>
    <x v="142"/>
    <x v="0"/>
  </r>
  <r>
    <x v="45"/>
    <x v="1"/>
    <x v="9"/>
    <x v="1"/>
    <x v="0"/>
    <x v="0"/>
    <x v="38"/>
    <x v="28"/>
    <x v="75"/>
    <x v="133"/>
    <x v="402"/>
    <x v="982"/>
    <x v="1449"/>
    <x v="1390"/>
    <x v="1456"/>
    <x v="1041"/>
    <x v="85"/>
    <x v="158"/>
    <x v="160"/>
    <x v="85"/>
    <x v="2"/>
  </r>
  <r>
    <x v="17"/>
    <x v="0"/>
    <x v="7"/>
    <x v="1"/>
    <x v="6"/>
    <x v="0"/>
    <x v="29"/>
    <x v="24"/>
    <x v="58"/>
    <x v="7"/>
    <x v="319"/>
    <x v="1290"/>
    <x v="1450"/>
    <x v="1391"/>
    <x v="1457"/>
    <x v="402"/>
    <x v="30"/>
    <x v="161"/>
    <x v="91"/>
    <x v="30"/>
    <x v="1"/>
  </r>
  <r>
    <x v="55"/>
    <x v="1"/>
    <x v="2"/>
    <x v="1"/>
    <x v="4"/>
    <x v="3"/>
    <x v="18"/>
    <x v="7"/>
    <x v="7"/>
    <x v="94"/>
    <x v="59"/>
    <x v="1125"/>
    <x v="1451"/>
    <x v="95"/>
    <x v="1458"/>
    <x v="1042"/>
    <x v="180"/>
    <x v="111"/>
    <x v="785"/>
    <x v="180"/>
    <x v="2"/>
  </r>
  <r>
    <x v="15"/>
    <x v="0"/>
    <x v="1"/>
    <x v="2"/>
    <x v="5"/>
    <x v="3"/>
    <x v="42"/>
    <x v="53"/>
    <x v="5"/>
    <x v="37"/>
    <x v="298"/>
    <x v="1144"/>
    <x v="1452"/>
    <x v="1392"/>
    <x v="1459"/>
    <x v="1043"/>
    <x v="178"/>
    <x v="156"/>
    <x v="1245"/>
    <x v="178"/>
    <x v="2"/>
  </r>
  <r>
    <x v="0"/>
    <x v="0"/>
    <x v="3"/>
    <x v="2"/>
    <x v="6"/>
    <x v="2"/>
    <x v="50"/>
    <x v="43"/>
    <x v="20"/>
    <x v="126"/>
    <x v="400"/>
    <x v="1291"/>
    <x v="1453"/>
    <x v="1393"/>
    <x v="1460"/>
    <x v="730"/>
    <x v="173"/>
    <x v="155"/>
    <x v="1246"/>
    <x v="173"/>
    <x v="0"/>
  </r>
  <r>
    <x v="42"/>
    <x v="0"/>
    <x v="2"/>
    <x v="3"/>
    <x v="5"/>
    <x v="1"/>
    <x v="11"/>
    <x v="34"/>
    <x v="15"/>
    <x v="88"/>
    <x v="76"/>
    <x v="1292"/>
    <x v="1454"/>
    <x v="1394"/>
    <x v="1461"/>
    <x v="168"/>
    <x v="158"/>
    <x v="99"/>
    <x v="491"/>
    <x v="158"/>
    <x v="2"/>
  </r>
  <r>
    <x v="4"/>
    <x v="0"/>
    <x v="0"/>
    <x v="3"/>
    <x v="3"/>
    <x v="0"/>
    <x v="72"/>
    <x v="28"/>
    <x v="4"/>
    <x v="0"/>
    <x v="432"/>
    <x v="1293"/>
    <x v="1455"/>
    <x v="1395"/>
    <x v="1462"/>
    <x v="347"/>
    <x v="77"/>
    <x v="105"/>
    <x v="1247"/>
    <x v="77"/>
    <x v="1"/>
  </r>
  <r>
    <x v="53"/>
    <x v="1"/>
    <x v="8"/>
    <x v="1"/>
    <x v="4"/>
    <x v="3"/>
    <x v="94"/>
    <x v="59"/>
    <x v="33"/>
    <x v="4"/>
    <x v="291"/>
    <x v="1294"/>
    <x v="1456"/>
    <x v="1396"/>
    <x v="1463"/>
    <x v="1044"/>
    <x v="23"/>
    <x v="190"/>
    <x v="1248"/>
    <x v="23"/>
    <x v="1"/>
  </r>
  <r>
    <x v="30"/>
    <x v="1"/>
    <x v="1"/>
    <x v="0"/>
    <x v="0"/>
    <x v="1"/>
    <x v="101"/>
    <x v="28"/>
    <x v="29"/>
    <x v="142"/>
    <x v="7"/>
    <x v="1295"/>
    <x v="1457"/>
    <x v="1397"/>
    <x v="1464"/>
    <x v="479"/>
    <x v="20"/>
    <x v="192"/>
    <x v="1249"/>
    <x v="20"/>
    <x v="1"/>
  </r>
  <r>
    <x v="2"/>
    <x v="1"/>
    <x v="1"/>
    <x v="0"/>
    <x v="3"/>
    <x v="0"/>
    <x v="101"/>
    <x v="52"/>
    <x v="46"/>
    <x v="72"/>
    <x v="143"/>
    <x v="1296"/>
    <x v="1458"/>
    <x v="1398"/>
    <x v="1465"/>
    <x v="1045"/>
    <x v="49"/>
    <x v="95"/>
    <x v="1250"/>
    <x v="49"/>
    <x v="2"/>
  </r>
  <r>
    <x v="10"/>
    <x v="0"/>
    <x v="5"/>
    <x v="1"/>
    <x v="5"/>
    <x v="0"/>
    <x v="108"/>
    <x v="9"/>
    <x v="19"/>
    <x v="41"/>
    <x v="161"/>
    <x v="592"/>
    <x v="1459"/>
    <x v="1399"/>
    <x v="1466"/>
    <x v="1046"/>
    <x v="137"/>
    <x v="26"/>
    <x v="1251"/>
    <x v="137"/>
    <x v="2"/>
  </r>
  <r>
    <x v="53"/>
    <x v="0"/>
    <x v="0"/>
    <x v="0"/>
    <x v="1"/>
    <x v="1"/>
    <x v="89"/>
    <x v="26"/>
    <x v="60"/>
    <x v="87"/>
    <x v="31"/>
    <x v="1297"/>
    <x v="1460"/>
    <x v="1400"/>
    <x v="1467"/>
    <x v="887"/>
    <x v="20"/>
    <x v="126"/>
    <x v="267"/>
    <x v="20"/>
    <x v="1"/>
  </r>
  <r>
    <x v="37"/>
    <x v="0"/>
    <x v="1"/>
    <x v="1"/>
    <x v="6"/>
    <x v="3"/>
    <x v="52"/>
    <x v="36"/>
    <x v="62"/>
    <x v="38"/>
    <x v="102"/>
    <x v="1298"/>
    <x v="1461"/>
    <x v="1401"/>
    <x v="1468"/>
    <x v="1047"/>
    <x v="152"/>
    <x v="157"/>
    <x v="1252"/>
    <x v="152"/>
    <x v="2"/>
  </r>
  <r>
    <x v="11"/>
    <x v="1"/>
    <x v="1"/>
    <x v="3"/>
    <x v="1"/>
    <x v="0"/>
    <x v="100"/>
    <x v="1"/>
    <x v="53"/>
    <x v="157"/>
    <x v="368"/>
    <x v="1299"/>
    <x v="1462"/>
    <x v="1402"/>
    <x v="1469"/>
    <x v="1048"/>
    <x v="64"/>
    <x v="93"/>
    <x v="1253"/>
    <x v="64"/>
    <x v="1"/>
  </r>
  <r>
    <x v="56"/>
    <x v="1"/>
    <x v="7"/>
    <x v="0"/>
    <x v="6"/>
    <x v="3"/>
    <x v="118"/>
    <x v="67"/>
    <x v="54"/>
    <x v="148"/>
    <x v="168"/>
    <x v="569"/>
    <x v="1463"/>
    <x v="1403"/>
    <x v="1470"/>
    <x v="1049"/>
    <x v="15"/>
    <x v="211"/>
    <x v="1254"/>
    <x v="15"/>
    <x v="2"/>
  </r>
  <r>
    <x v="15"/>
    <x v="1"/>
    <x v="8"/>
    <x v="1"/>
    <x v="3"/>
    <x v="2"/>
    <x v="55"/>
    <x v="17"/>
    <x v="10"/>
    <x v="12"/>
    <x v="9"/>
    <x v="1300"/>
    <x v="1464"/>
    <x v="1404"/>
    <x v="1471"/>
    <x v="1050"/>
    <x v="53"/>
    <x v="0"/>
    <x v="1255"/>
    <x v="53"/>
    <x v="2"/>
  </r>
  <r>
    <x v="51"/>
    <x v="0"/>
    <x v="4"/>
    <x v="1"/>
    <x v="2"/>
    <x v="2"/>
    <x v="110"/>
    <x v="44"/>
    <x v="80"/>
    <x v="21"/>
    <x v="314"/>
    <x v="1301"/>
    <x v="1465"/>
    <x v="1405"/>
    <x v="1472"/>
    <x v="934"/>
    <x v="78"/>
    <x v="163"/>
    <x v="1256"/>
    <x v="78"/>
    <x v="2"/>
  </r>
  <r>
    <x v="43"/>
    <x v="1"/>
    <x v="1"/>
    <x v="4"/>
    <x v="0"/>
    <x v="2"/>
    <x v="46"/>
    <x v="60"/>
    <x v="35"/>
    <x v="87"/>
    <x v="252"/>
    <x v="591"/>
    <x v="1466"/>
    <x v="763"/>
    <x v="1473"/>
    <x v="616"/>
    <x v="187"/>
    <x v="79"/>
    <x v="1257"/>
    <x v="187"/>
    <x v="2"/>
  </r>
  <r>
    <x v="7"/>
    <x v="1"/>
    <x v="0"/>
    <x v="3"/>
    <x v="4"/>
    <x v="1"/>
    <x v="106"/>
    <x v="60"/>
    <x v="14"/>
    <x v="28"/>
    <x v="370"/>
    <x v="1302"/>
    <x v="1467"/>
    <x v="1406"/>
    <x v="1474"/>
    <x v="1051"/>
    <x v="46"/>
    <x v="84"/>
    <x v="101"/>
    <x v="46"/>
    <x v="2"/>
  </r>
  <r>
    <x v="51"/>
    <x v="1"/>
    <x v="1"/>
    <x v="4"/>
    <x v="0"/>
    <x v="3"/>
    <x v="61"/>
    <x v="31"/>
    <x v="9"/>
    <x v="156"/>
    <x v="103"/>
    <x v="1303"/>
    <x v="1468"/>
    <x v="1407"/>
    <x v="1475"/>
    <x v="298"/>
    <x v="144"/>
    <x v="2"/>
    <x v="1258"/>
    <x v="144"/>
    <x v="2"/>
  </r>
  <r>
    <x v="56"/>
    <x v="1"/>
    <x v="1"/>
    <x v="3"/>
    <x v="4"/>
    <x v="0"/>
    <x v="74"/>
    <x v="38"/>
    <x v="73"/>
    <x v="5"/>
    <x v="359"/>
    <x v="1304"/>
    <x v="1469"/>
    <x v="1408"/>
    <x v="1476"/>
    <x v="1052"/>
    <x v="139"/>
    <x v="220"/>
    <x v="1259"/>
    <x v="139"/>
    <x v="2"/>
  </r>
  <r>
    <x v="33"/>
    <x v="0"/>
    <x v="4"/>
    <x v="1"/>
    <x v="2"/>
    <x v="1"/>
    <x v="52"/>
    <x v="12"/>
    <x v="67"/>
    <x v="106"/>
    <x v="327"/>
    <x v="1305"/>
    <x v="1470"/>
    <x v="1409"/>
    <x v="1477"/>
    <x v="430"/>
    <x v="80"/>
    <x v="111"/>
    <x v="125"/>
    <x v="80"/>
    <x v="2"/>
  </r>
  <r>
    <x v="38"/>
    <x v="1"/>
    <x v="2"/>
    <x v="4"/>
    <x v="2"/>
    <x v="1"/>
    <x v="13"/>
    <x v="78"/>
    <x v="8"/>
    <x v="114"/>
    <x v="413"/>
    <x v="1306"/>
    <x v="1471"/>
    <x v="1410"/>
    <x v="1478"/>
    <x v="29"/>
    <x v="148"/>
    <x v="168"/>
    <x v="1260"/>
    <x v="148"/>
    <x v="2"/>
  </r>
  <r>
    <x v="2"/>
    <x v="1"/>
    <x v="6"/>
    <x v="4"/>
    <x v="2"/>
    <x v="2"/>
    <x v="26"/>
    <x v="26"/>
    <x v="7"/>
    <x v="52"/>
    <x v="368"/>
    <x v="1307"/>
    <x v="1472"/>
    <x v="1411"/>
    <x v="1479"/>
    <x v="319"/>
    <x v="108"/>
    <x v="6"/>
    <x v="1261"/>
    <x v="108"/>
    <x v="2"/>
  </r>
  <r>
    <x v="4"/>
    <x v="1"/>
    <x v="1"/>
    <x v="1"/>
    <x v="2"/>
    <x v="1"/>
    <x v="36"/>
    <x v="60"/>
    <x v="54"/>
    <x v="104"/>
    <x v="433"/>
    <x v="1308"/>
    <x v="1473"/>
    <x v="1412"/>
    <x v="1480"/>
    <x v="1053"/>
    <x v="118"/>
    <x v="126"/>
    <x v="236"/>
    <x v="118"/>
    <x v="1"/>
  </r>
  <r>
    <x v="39"/>
    <x v="1"/>
    <x v="7"/>
    <x v="4"/>
    <x v="3"/>
    <x v="3"/>
    <x v="39"/>
    <x v="10"/>
    <x v="47"/>
    <x v="158"/>
    <x v="417"/>
    <x v="1309"/>
    <x v="1474"/>
    <x v="1413"/>
    <x v="1481"/>
    <x v="879"/>
    <x v="111"/>
    <x v="111"/>
    <x v="1262"/>
    <x v="111"/>
    <x v="2"/>
  </r>
  <r>
    <x v="24"/>
    <x v="0"/>
    <x v="1"/>
    <x v="3"/>
    <x v="1"/>
    <x v="2"/>
    <x v="7"/>
    <x v="65"/>
    <x v="53"/>
    <x v="71"/>
    <x v="31"/>
    <x v="1310"/>
    <x v="1475"/>
    <x v="1414"/>
    <x v="1482"/>
    <x v="1054"/>
    <x v="37"/>
    <x v="72"/>
    <x v="1263"/>
    <x v="37"/>
    <x v="1"/>
  </r>
  <r>
    <x v="21"/>
    <x v="0"/>
    <x v="2"/>
    <x v="2"/>
    <x v="2"/>
    <x v="3"/>
    <x v="44"/>
    <x v="49"/>
    <x v="16"/>
    <x v="32"/>
    <x v="172"/>
    <x v="467"/>
    <x v="1476"/>
    <x v="1415"/>
    <x v="1483"/>
    <x v="1055"/>
    <x v="110"/>
    <x v="163"/>
    <x v="1264"/>
    <x v="110"/>
    <x v="0"/>
  </r>
  <r>
    <x v="41"/>
    <x v="0"/>
    <x v="7"/>
    <x v="4"/>
    <x v="2"/>
    <x v="1"/>
    <x v="65"/>
    <x v="76"/>
    <x v="79"/>
    <x v="153"/>
    <x v="178"/>
    <x v="1311"/>
    <x v="1477"/>
    <x v="1416"/>
    <x v="1484"/>
    <x v="35"/>
    <x v="71"/>
    <x v="138"/>
    <x v="1265"/>
    <x v="71"/>
    <x v="2"/>
  </r>
  <r>
    <x v="11"/>
    <x v="0"/>
    <x v="5"/>
    <x v="0"/>
    <x v="6"/>
    <x v="0"/>
    <x v="59"/>
    <x v="8"/>
    <x v="3"/>
    <x v="108"/>
    <x v="4"/>
    <x v="1312"/>
    <x v="1478"/>
    <x v="1417"/>
    <x v="1485"/>
    <x v="377"/>
    <x v="119"/>
    <x v="139"/>
    <x v="471"/>
    <x v="119"/>
    <x v="1"/>
  </r>
  <r>
    <x v="35"/>
    <x v="0"/>
    <x v="1"/>
    <x v="0"/>
    <x v="3"/>
    <x v="0"/>
    <x v="38"/>
    <x v="35"/>
    <x v="85"/>
    <x v="9"/>
    <x v="60"/>
    <x v="1313"/>
    <x v="767"/>
    <x v="1418"/>
    <x v="1486"/>
    <x v="612"/>
    <x v="16"/>
    <x v="59"/>
    <x v="1266"/>
    <x v="16"/>
    <x v="2"/>
  </r>
  <r>
    <x v="53"/>
    <x v="0"/>
    <x v="8"/>
    <x v="0"/>
    <x v="6"/>
    <x v="3"/>
    <x v="2"/>
    <x v="37"/>
    <x v="6"/>
    <x v="31"/>
    <x v="272"/>
    <x v="1314"/>
    <x v="1479"/>
    <x v="1419"/>
    <x v="1487"/>
    <x v="1056"/>
    <x v="54"/>
    <x v="89"/>
    <x v="1267"/>
    <x v="54"/>
    <x v="1"/>
  </r>
  <r>
    <x v="0"/>
    <x v="0"/>
    <x v="1"/>
    <x v="0"/>
    <x v="3"/>
    <x v="1"/>
    <x v="55"/>
    <x v="50"/>
    <x v="29"/>
    <x v="32"/>
    <x v="348"/>
    <x v="1315"/>
    <x v="1480"/>
    <x v="1420"/>
    <x v="1488"/>
    <x v="1057"/>
    <x v="42"/>
    <x v="11"/>
    <x v="527"/>
    <x v="42"/>
    <x v="0"/>
  </r>
  <r>
    <x v="25"/>
    <x v="1"/>
    <x v="1"/>
    <x v="0"/>
    <x v="0"/>
    <x v="2"/>
    <x v="32"/>
    <x v="61"/>
    <x v="66"/>
    <x v="19"/>
    <x v="31"/>
    <x v="1316"/>
    <x v="1481"/>
    <x v="1421"/>
    <x v="1489"/>
    <x v="1058"/>
    <x v="86"/>
    <x v="106"/>
    <x v="1268"/>
    <x v="86"/>
    <x v="0"/>
  </r>
  <r>
    <x v="12"/>
    <x v="0"/>
    <x v="9"/>
    <x v="0"/>
    <x v="1"/>
    <x v="0"/>
    <x v="39"/>
    <x v="18"/>
    <x v="25"/>
    <x v="73"/>
    <x v="315"/>
    <x v="1317"/>
    <x v="1482"/>
    <x v="1106"/>
    <x v="419"/>
    <x v="1059"/>
    <x v="25"/>
    <x v="37"/>
    <x v="1269"/>
    <x v="25"/>
    <x v="0"/>
  </r>
  <r>
    <x v="16"/>
    <x v="0"/>
    <x v="1"/>
    <x v="2"/>
    <x v="6"/>
    <x v="1"/>
    <x v="56"/>
    <x v="38"/>
    <x v="7"/>
    <x v="158"/>
    <x v="395"/>
    <x v="396"/>
    <x v="1483"/>
    <x v="1422"/>
    <x v="1490"/>
    <x v="1060"/>
    <x v="81"/>
    <x v="199"/>
    <x v="1270"/>
    <x v="81"/>
    <x v="0"/>
  </r>
  <r>
    <x v="7"/>
    <x v="1"/>
    <x v="3"/>
    <x v="1"/>
    <x v="1"/>
    <x v="2"/>
    <x v="99"/>
    <x v="34"/>
    <x v="79"/>
    <x v="43"/>
    <x v="399"/>
    <x v="1318"/>
    <x v="1484"/>
    <x v="1423"/>
    <x v="1491"/>
    <x v="1004"/>
    <x v="155"/>
    <x v="71"/>
    <x v="1271"/>
    <x v="155"/>
    <x v="2"/>
  </r>
  <r>
    <x v="50"/>
    <x v="1"/>
    <x v="9"/>
    <x v="1"/>
    <x v="2"/>
    <x v="2"/>
    <x v="15"/>
    <x v="17"/>
    <x v="35"/>
    <x v="140"/>
    <x v="434"/>
    <x v="1319"/>
    <x v="1485"/>
    <x v="1424"/>
    <x v="1492"/>
    <x v="1061"/>
    <x v="1"/>
    <x v="121"/>
    <x v="53"/>
    <x v="1"/>
    <x v="2"/>
  </r>
  <r>
    <x v="16"/>
    <x v="1"/>
    <x v="2"/>
    <x v="4"/>
    <x v="5"/>
    <x v="3"/>
    <x v="72"/>
    <x v="29"/>
    <x v="56"/>
    <x v="57"/>
    <x v="384"/>
    <x v="1320"/>
    <x v="1486"/>
    <x v="1425"/>
    <x v="1493"/>
    <x v="466"/>
    <x v="17"/>
    <x v="211"/>
    <x v="114"/>
    <x v="17"/>
    <x v="0"/>
  </r>
  <r>
    <x v="15"/>
    <x v="0"/>
    <x v="3"/>
    <x v="0"/>
    <x v="2"/>
    <x v="2"/>
    <x v="18"/>
    <x v="56"/>
    <x v="67"/>
    <x v="58"/>
    <x v="345"/>
    <x v="1321"/>
    <x v="1487"/>
    <x v="9"/>
    <x v="1494"/>
    <x v="0"/>
    <x v="124"/>
    <x v="185"/>
    <x v="1272"/>
    <x v="124"/>
    <x v="2"/>
  </r>
  <r>
    <x v="35"/>
    <x v="0"/>
    <x v="1"/>
    <x v="2"/>
    <x v="4"/>
    <x v="3"/>
    <x v="96"/>
    <x v="7"/>
    <x v="67"/>
    <x v="2"/>
    <x v="435"/>
    <x v="1322"/>
    <x v="1488"/>
    <x v="1426"/>
    <x v="1495"/>
    <x v="1062"/>
    <x v="111"/>
    <x v="146"/>
    <x v="1273"/>
    <x v="111"/>
    <x v="2"/>
  </r>
  <r>
    <x v="41"/>
    <x v="1"/>
    <x v="2"/>
    <x v="2"/>
    <x v="3"/>
    <x v="3"/>
    <x v="96"/>
    <x v="43"/>
    <x v="11"/>
    <x v="64"/>
    <x v="73"/>
    <x v="1323"/>
    <x v="1489"/>
    <x v="1427"/>
    <x v="1496"/>
    <x v="1063"/>
    <x v="144"/>
    <x v="189"/>
    <x v="1274"/>
    <x v="144"/>
    <x v="2"/>
  </r>
  <r>
    <x v="49"/>
    <x v="1"/>
    <x v="2"/>
    <x v="2"/>
    <x v="0"/>
    <x v="0"/>
    <x v="105"/>
    <x v="21"/>
    <x v="8"/>
    <x v="90"/>
    <x v="321"/>
    <x v="1324"/>
    <x v="1490"/>
    <x v="1423"/>
    <x v="1497"/>
    <x v="1064"/>
    <x v="8"/>
    <x v="76"/>
    <x v="8"/>
    <x v="8"/>
    <x v="1"/>
  </r>
  <r>
    <x v="9"/>
    <x v="1"/>
    <x v="9"/>
    <x v="1"/>
    <x v="0"/>
    <x v="3"/>
    <x v="48"/>
    <x v="58"/>
    <x v="21"/>
    <x v="37"/>
    <x v="247"/>
    <x v="1325"/>
    <x v="1491"/>
    <x v="33"/>
    <x v="1498"/>
    <x v="39"/>
    <x v="34"/>
    <x v="54"/>
    <x v="1275"/>
    <x v="34"/>
    <x v="0"/>
  </r>
  <r>
    <x v="56"/>
    <x v="0"/>
    <x v="1"/>
    <x v="3"/>
    <x v="0"/>
    <x v="1"/>
    <x v="6"/>
    <x v="62"/>
    <x v="42"/>
    <x v="145"/>
    <x v="93"/>
    <x v="7"/>
    <x v="1492"/>
    <x v="1428"/>
    <x v="1499"/>
    <x v="112"/>
    <x v="50"/>
    <x v="5"/>
    <x v="1276"/>
    <x v="50"/>
    <x v="2"/>
  </r>
  <r>
    <x v="25"/>
    <x v="0"/>
    <x v="7"/>
    <x v="1"/>
    <x v="5"/>
    <x v="2"/>
    <x v="54"/>
    <x v="63"/>
    <x v="22"/>
    <x v="141"/>
    <x v="30"/>
    <x v="0"/>
    <x v="1493"/>
    <x v="1429"/>
    <x v="1500"/>
    <x v="1065"/>
    <x v="100"/>
    <x v="126"/>
    <x v="1277"/>
    <x v="100"/>
    <x v="0"/>
  </r>
  <r>
    <x v="20"/>
    <x v="0"/>
    <x v="5"/>
    <x v="0"/>
    <x v="0"/>
    <x v="0"/>
    <x v="67"/>
    <x v="27"/>
    <x v="54"/>
    <x v="23"/>
    <x v="216"/>
    <x v="1326"/>
    <x v="1494"/>
    <x v="1430"/>
    <x v="1501"/>
    <x v="82"/>
    <x v="6"/>
    <x v="33"/>
    <x v="1278"/>
    <x v="6"/>
    <x v="1"/>
  </r>
  <r>
    <x v="32"/>
    <x v="0"/>
    <x v="9"/>
    <x v="1"/>
    <x v="5"/>
    <x v="2"/>
    <x v="93"/>
    <x v="41"/>
    <x v="79"/>
    <x v="66"/>
    <x v="281"/>
    <x v="1327"/>
    <x v="1495"/>
    <x v="1431"/>
    <x v="1502"/>
    <x v="1066"/>
    <x v="30"/>
    <x v="0"/>
    <x v="1279"/>
    <x v="30"/>
    <x v="1"/>
  </r>
  <r>
    <x v="39"/>
    <x v="1"/>
    <x v="5"/>
    <x v="4"/>
    <x v="0"/>
    <x v="3"/>
    <x v="44"/>
    <x v="79"/>
    <x v="50"/>
    <x v="132"/>
    <x v="330"/>
    <x v="1328"/>
    <x v="1496"/>
    <x v="1432"/>
    <x v="1503"/>
    <x v="1067"/>
    <x v="66"/>
    <x v="200"/>
    <x v="370"/>
    <x v="66"/>
    <x v="2"/>
  </r>
  <r>
    <x v="42"/>
    <x v="1"/>
    <x v="2"/>
    <x v="0"/>
    <x v="4"/>
    <x v="2"/>
    <x v="11"/>
    <x v="62"/>
    <x v="27"/>
    <x v="47"/>
    <x v="201"/>
    <x v="1329"/>
    <x v="1497"/>
    <x v="1433"/>
    <x v="1504"/>
    <x v="935"/>
    <x v="34"/>
    <x v="80"/>
    <x v="1280"/>
    <x v="34"/>
    <x v="2"/>
  </r>
  <r>
    <x v="37"/>
    <x v="0"/>
    <x v="1"/>
    <x v="4"/>
    <x v="5"/>
    <x v="3"/>
    <x v="36"/>
    <x v="15"/>
    <x v="80"/>
    <x v="78"/>
    <x v="130"/>
    <x v="1330"/>
    <x v="1498"/>
    <x v="1434"/>
    <x v="1505"/>
    <x v="968"/>
    <x v="51"/>
    <x v="61"/>
    <x v="1281"/>
    <x v="51"/>
    <x v="2"/>
  </r>
  <r>
    <x v="8"/>
    <x v="1"/>
    <x v="5"/>
    <x v="0"/>
    <x v="3"/>
    <x v="1"/>
    <x v="75"/>
    <x v="33"/>
    <x v="87"/>
    <x v="96"/>
    <x v="70"/>
    <x v="1331"/>
    <x v="1499"/>
    <x v="1435"/>
    <x v="1506"/>
    <x v="980"/>
    <x v="7"/>
    <x v="43"/>
    <x v="721"/>
    <x v="7"/>
    <x v="2"/>
  </r>
  <r>
    <x v="41"/>
    <x v="1"/>
    <x v="7"/>
    <x v="2"/>
    <x v="2"/>
    <x v="0"/>
    <x v="38"/>
    <x v="47"/>
    <x v="26"/>
    <x v="29"/>
    <x v="5"/>
    <x v="1332"/>
    <x v="1500"/>
    <x v="1436"/>
    <x v="1507"/>
    <x v="1068"/>
    <x v="5"/>
    <x v="114"/>
    <x v="1282"/>
    <x v="5"/>
    <x v="2"/>
  </r>
  <r>
    <x v="32"/>
    <x v="0"/>
    <x v="0"/>
    <x v="2"/>
    <x v="0"/>
    <x v="0"/>
    <x v="3"/>
    <x v="21"/>
    <x v="64"/>
    <x v="29"/>
    <x v="436"/>
    <x v="1333"/>
    <x v="1501"/>
    <x v="1437"/>
    <x v="1508"/>
    <x v="1069"/>
    <x v="140"/>
    <x v="117"/>
    <x v="681"/>
    <x v="140"/>
    <x v="1"/>
  </r>
  <r>
    <x v="49"/>
    <x v="1"/>
    <x v="7"/>
    <x v="0"/>
    <x v="1"/>
    <x v="1"/>
    <x v="46"/>
    <x v="40"/>
    <x v="73"/>
    <x v="149"/>
    <x v="58"/>
    <x v="1334"/>
    <x v="1502"/>
    <x v="1438"/>
    <x v="1509"/>
    <x v="658"/>
    <x v="161"/>
    <x v="151"/>
    <x v="1283"/>
    <x v="161"/>
    <x v="1"/>
  </r>
  <r>
    <x v="2"/>
    <x v="1"/>
    <x v="4"/>
    <x v="3"/>
    <x v="2"/>
    <x v="3"/>
    <x v="18"/>
    <x v="63"/>
    <x v="1"/>
    <x v="18"/>
    <x v="350"/>
    <x v="1335"/>
    <x v="1503"/>
    <x v="1439"/>
    <x v="1510"/>
    <x v="1070"/>
    <x v="59"/>
    <x v="173"/>
    <x v="1284"/>
    <x v="59"/>
    <x v="2"/>
  </r>
  <r>
    <x v="23"/>
    <x v="1"/>
    <x v="5"/>
    <x v="2"/>
    <x v="5"/>
    <x v="2"/>
    <x v="34"/>
    <x v="52"/>
    <x v="77"/>
    <x v="146"/>
    <x v="110"/>
    <x v="793"/>
    <x v="1504"/>
    <x v="1440"/>
    <x v="1511"/>
    <x v="834"/>
    <x v="75"/>
    <x v="65"/>
    <x v="1285"/>
    <x v="75"/>
    <x v="1"/>
  </r>
  <r>
    <x v="0"/>
    <x v="1"/>
    <x v="5"/>
    <x v="1"/>
    <x v="5"/>
    <x v="0"/>
    <x v="79"/>
    <x v="19"/>
    <x v="37"/>
    <x v="17"/>
    <x v="104"/>
    <x v="1336"/>
    <x v="1505"/>
    <x v="1441"/>
    <x v="1512"/>
    <x v="1071"/>
    <x v="65"/>
    <x v="138"/>
    <x v="631"/>
    <x v="65"/>
    <x v="0"/>
  </r>
  <r>
    <x v="31"/>
    <x v="1"/>
    <x v="5"/>
    <x v="2"/>
    <x v="2"/>
    <x v="3"/>
    <x v="73"/>
    <x v="57"/>
    <x v="27"/>
    <x v="22"/>
    <x v="410"/>
    <x v="851"/>
    <x v="1506"/>
    <x v="1442"/>
    <x v="1513"/>
    <x v="334"/>
    <x v="86"/>
    <x v="132"/>
    <x v="1286"/>
    <x v="86"/>
    <x v="2"/>
  </r>
  <r>
    <x v="28"/>
    <x v="0"/>
    <x v="9"/>
    <x v="2"/>
    <x v="6"/>
    <x v="0"/>
    <x v="36"/>
    <x v="12"/>
    <x v="83"/>
    <x v="20"/>
    <x v="16"/>
    <x v="1337"/>
    <x v="1507"/>
    <x v="1443"/>
    <x v="1514"/>
    <x v="206"/>
    <x v="141"/>
    <x v="149"/>
    <x v="1287"/>
    <x v="141"/>
    <x v="0"/>
  </r>
  <r>
    <x v="36"/>
    <x v="1"/>
    <x v="8"/>
    <x v="4"/>
    <x v="2"/>
    <x v="1"/>
    <x v="55"/>
    <x v="66"/>
    <x v="84"/>
    <x v="83"/>
    <x v="155"/>
    <x v="1338"/>
    <x v="1508"/>
    <x v="1444"/>
    <x v="1515"/>
    <x v="1072"/>
    <x v="78"/>
    <x v="147"/>
    <x v="1288"/>
    <x v="78"/>
    <x v="1"/>
  </r>
  <r>
    <x v="3"/>
    <x v="1"/>
    <x v="9"/>
    <x v="4"/>
    <x v="2"/>
    <x v="1"/>
    <x v="64"/>
    <x v="79"/>
    <x v="15"/>
    <x v="41"/>
    <x v="257"/>
    <x v="1339"/>
    <x v="1509"/>
    <x v="1445"/>
    <x v="1516"/>
    <x v="1073"/>
    <x v="20"/>
    <x v="55"/>
    <x v="390"/>
    <x v="20"/>
    <x v="0"/>
  </r>
  <r>
    <x v="59"/>
    <x v="0"/>
    <x v="3"/>
    <x v="1"/>
    <x v="1"/>
    <x v="2"/>
    <x v="7"/>
    <x v="45"/>
    <x v="30"/>
    <x v="22"/>
    <x v="389"/>
    <x v="1340"/>
    <x v="1510"/>
    <x v="1446"/>
    <x v="1517"/>
    <x v="529"/>
    <x v="142"/>
    <x v="8"/>
    <x v="1289"/>
    <x v="142"/>
    <x v="0"/>
  </r>
  <r>
    <x v="2"/>
    <x v="1"/>
    <x v="0"/>
    <x v="1"/>
    <x v="2"/>
    <x v="3"/>
    <x v="4"/>
    <x v="76"/>
    <x v="80"/>
    <x v="66"/>
    <x v="437"/>
    <x v="1341"/>
    <x v="1511"/>
    <x v="1447"/>
    <x v="1518"/>
    <x v="1074"/>
    <x v="104"/>
    <x v="96"/>
    <x v="1290"/>
    <x v="104"/>
    <x v="2"/>
  </r>
  <r>
    <x v="5"/>
    <x v="0"/>
    <x v="0"/>
    <x v="1"/>
    <x v="1"/>
    <x v="2"/>
    <x v="99"/>
    <x v="30"/>
    <x v="53"/>
    <x v="156"/>
    <x v="285"/>
    <x v="1049"/>
    <x v="1512"/>
    <x v="1448"/>
    <x v="1519"/>
    <x v="1075"/>
    <x v="41"/>
    <x v="133"/>
    <x v="1291"/>
    <x v="41"/>
    <x v="2"/>
  </r>
  <r>
    <x v="55"/>
    <x v="0"/>
    <x v="3"/>
    <x v="3"/>
    <x v="3"/>
    <x v="0"/>
    <x v="74"/>
    <x v="27"/>
    <x v="24"/>
    <x v="157"/>
    <x v="389"/>
    <x v="1342"/>
    <x v="1513"/>
    <x v="1449"/>
    <x v="1520"/>
    <x v="130"/>
    <x v="15"/>
    <x v="105"/>
    <x v="1292"/>
    <x v="15"/>
    <x v="2"/>
  </r>
  <r>
    <x v="45"/>
    <x v="0"/>
    <x v="1"/>
    <x v="2"/>
    <x v="5"/>
    <x v="2"/>
    <x v="66"/>
    <x v="8"/>
    <x v="8"/>
    <x v="125"/>
    <x v="232"/>
    <x v="1343"/>
    <x v="1514"/>
    <x v="1450"/>
    <x v="1521"/>
    <x v="1076"/>
    <x v="106"/>
    <x v="158"/>
    <x v="1293"/>
    <x v="106"/>
    <x v="2"/>
  </r>
  <r>
    <x v="16"/>
    <x v="0"/>
    <x v="2"/>
    <x v="4"/>
    <x v="4"/>
    <x v="0"/>
    <x v="73"/>
    <x v="34"/>
    <x v="42"/>
    <x v="138"/>
    <x v="97"/>
    <x v="1344"/>
    <x v="1515"/>
    <x v="710"/>
    <x v="1522"/>
    <x v="400"/>
    <x v="132"/>
    <x v="119"/>
    <x v="772"/>
    <x v="132"/>
    <x v="0"/>
  </r>
  <r>
    <x v="15"/>
    <x v="1"/>
    <x v="2"/>
    <x v="3"/>
    <x v="0"/>
    <x v="1"/>
    <x v="76"/>
    <x v="47"/>
    <x v="40"/>
    <x v="152"/>
    <x v="380"/>
    <x v="1345"/>
    <x v="1516"/>
    <x v="1451"/>
    <x v="1523"/>
    <x v="712"/>
    <x v="43"/>
    <x v="181"/>
    <x v="1294"/>
    <x v="43"/>
    <x v="2"/>
  </r>
  <r>
    <x v="3"/>
    <x v="0"/>
    <x v="2"/>
    <x v="0"/>
    <x v="4"/>
    <x v="3"/>
    <x v="66"/>
    <x v="3"/>
    <x v="5"/>
    <x v="32"/>
    <x v="184"/>
    <x v="1346"/>
    <x v="1517"/>
    <x v="1452"/>
    <x v="1524"/>
    <x v="1077"/>
    <x v="68"/>
    <x v="66"/>
    <x v="1295"/>
    <x v="68"/>
    <x v="0"/>
  </r>
  <r>
    <x v="35"/>
    <x v="1"/>
    <x v="4"/>
    <x v="4"/>
    <x v="5"/>
    <x v="1"/>
    <x v="56"/>
    <x v="14"/>
    <x v="54"/>
    <x v="81"/>
    <x v="91"/>
    <x v="1347"/>
    <x v="1518"/>
    <x v="1453"/>
    <x v="1525"/>
    <x v="719"/>
    <x v="132"/>
    <x v="52"/>
    <x v="1296"/>
    <x v="132"/>
    <x v="2"/>
  </r>
  <r>
    <x v="28"/>
    <x v="1"/>
    <x v="8"/>
    <x v="3"/>
    <x v="4"/>
    <x v="3"/>
    <x v="86"/>
    <x v="27"/>
    <x v="39"/>
    <x v="76"/>
    <x v="212"/>
    <x v="1348"/>
    <x v="1519"/>
    <x v="1454"/>
    <x v="1526"/>
    <x v="1078"/>
    <x v="20"/>
    <x v="204"/>
    <x v="1297"/>
    <x v="20"/>
    <x v="0"/>
  </r>
  <r>
    <x v="38"/>
    <x v="0"/>
    <x v="9"/>
    <x v="4"/>
    <x v="6"/>
    <x v="3"/>
    <x v="46"/>
    <x v="25"/>
    <x v="57"/>
    <x v="49"/>
    <x v="161"/>
    <x v="664"/>
    <x v="1520"/>
    <x v="1455"/>
    <x v="1527"/>
    <x v="6"/>
    <x v="19"/>
    <x v="88"/>
    <x v="1298"/>
    <x v="19"/>
    <x v="2"/>
  </r>
  <r>
    <x v="23"/>
    <x v="0"/>
    <x v="4"/>
    <x v="2"/>
    <x v="6"/>
    <x v="0"/>
    <x v="81"/>
    <x v="19"/>
    <x v="85"/>
    <x v="113"/>
    <x v="148"/>
    <x v="1349"/>
    <x v="1521"/>
    <x v="1456"/>
    <x v="1528"/>
    <x v="225"/>
    <x v="150"/>
    <x v="51"/>
    <x v="1299"/>
    <x v="150"/>
    <x v="1"/>
  </r>
  <r>
    <x v="9"/>
    <x v="1"/>
    <x v="0"/>
    <x v="4"/>
    <x v="5"/>
    <x v="0"/>
    <x v="52"/>
    <x v="14"/>
    <x v="28"/>
    <x v="85"/>
    <x v="153"/>
    <x v="1350"/>
    <x v="1522"/>
    <x v="1192"/>
    <x v="1529"/>
    <x v="577"/>
    <x v="71"/>
    <x v="130"/>
    <x v="1300"/>
    <x v="71"/>
    <x v="0"/>
  </r>
  <r>
    <x v="33"/>
    <x v="1"/>
    <x v="5"/>
    <x v="0"/>
    <x v="6"/>
    <x v="0"/>
    <x v="75"/>
    <x v="7"/>
    <x v="25"/>
    <x v="121"/>
    <x v="200"/>
    <x v="1351"/>
    <x v="1523"/>
    <x v="1457"/>
    <x v="1530"/>
    <x v="450"/>
    <x v="188"/>
    <x v="73"/>
    <x v="1301"/>
    <x v="188"/>
    <x v="2"/>
  </r>
  <r>
    <x v="25"/>
    <x v="0"/>
    <x v="5"/>
    <x v="3"/>
    <x v="3"/>
    <x v="2"/>
    <x v="20"/>
    <x v="4"/>
    <x v="31"/>
    <x v="49"/>
    <x v="83"/>
    <x v="1352"/>
    <x v="1524"/>
    <x v="1458"/>
    <x v="1531"/>
    <x v="1079"/>
    <x v="12"/>
    <x v="150"/>
    <x v="200"/>
    <x v="12"/>
    <x v="0"/>
  </r>
  <r>
    <x v="53"/>
    <x v="1"/>
    <x v="3"/>
    <x v="3"/>
    <x v="3"/>
    <x v="0"/>
    <x v="88"/>
    <x v="16"/>
    <x v="6"/>
    <x v="19"/>
    <x v="5"/>
    <x v="1353"/>
    <x v="1525"/>
    <x v="1459"/>
    <x v="1532"/>
    <x v="948"/>
    <x v="57"/>
    <x v="18"/>
    <x v="1302"/>
    <x v="57"/>
    <x v="1"/>
  </r>
  <r>
    <x v="10"/>
    <x v="0"/>
    <x v="9"/>
    <x v="1"/>
    <x v="5"/>
    <x v="3"/>
    <x v="63"/>
    <x v="69"/>
    <x v="5"/>
    <x v="81"/>
    <x v="429"/>
    <x v="1354"/>
    <x v="1526"/>
    <x v="1460"/>
    <x v="1533"/>
    <x v="490"/>
    <x v="98"/>
    <x v="218"/>
    <x v="1303"/>
    <x v="98"/>
    <x v="2"/>
  </r>
  <r>
    <x v="32"/>
    <x v="1"/>
    <x v="8"/>
    <x v="1"/>
    <x v="3"/>
    <x v="1"/>
    <x v="25"/>
    <x v="51"/>
    <x v="27"/>
    <x v="68"/>
    <x v="188"/>
    <x v="1355"/>
    <x v="1527"/>
    <x v="1461"/>
    <x v="1534"/>
    <x v="746"/>
    <x v="42"/>
    <x v="41"/>
    <x v="1304"/>
    <x v="42"/>
    <x v="1"/>
  </r>
  <r>
    <x v="43"/>
    <x v="1"/>
    <x v="5"/>
    <x v="2"/>
    <x v="6"/>
    <x v="2"/>
    <x v="52"/>
    <x v="47"/>
    <x v="70"/>
    <x v="120"/>
    <x v="306"/>
    <x v="1356"/>
    <x v="1528"/>
    <x v="1462"/>
    <x v="1535"/>
    <x v="980"/>
    <x v="122"/>
    <x v="26"/>
    <x v="1305"/>
    <x v="122"/>
    <x v="2"/>
  </r>
  <r>
    <x v="45"/>
    <x v="1"/>
    <x v="4"/>
    <x v="1"/>
    <x v="4"/>
    <x v="3"/>
    <x v="29"/>
    <x v="49"/>
    <x v="7"/>
    <x v="8"/>
    <x v="152"/>
    <x v="1357"/>
    <x v="1529"/>
    <x v="1463"/>
    <x v="1536"/>
    <x v="715"/>
    <x v="98"/>
    <x v="83"/>
    <x v="1306"/>
    <x v="98"/>
    <x v="2"/>
  </r>
  <r>
    <x v="29"/>
    <x v="1"/>
    <x v="6"/>
    <x v="4"/>
    <x v="4"/>
    <x v="1"/>
    <x v="67"/>
    <x v="54"/>
    <x v="26"/>
    <x v="105"/>
    <x v="267"/>
    <x v="1358"/>
    <x v="1530"/>
    <x v="1464"/>
    <x v="1537"/>
    <x v="1040"/>
    <x v="113"/>
    <x v="202"/>
    <x v="295"/>
    <x v="113"/>
    <x v="2"/>
  </r>
  <r>
    <x v="41"/>
    <x v="1"/>
    <x v="2"/>
    <x v="0"/>
    <x v="5"/>
    <x v="1"/>
    <x v="6"/>
    <x v="71"/>
    <x v="8"/>
    <x v="123"/>
    <x v="233"/>
    <x v="1359"/>
    <x v="1531"/>
    <x v="1465"/>
    <x v="1538"/>
    <x v="1080"/>
    <x v="18"/>
    <x v="63"/>
    <x v="1175"/>
    <x v="18"/>
    <x v="2"/>
  </r>
  <r>
    <x v="28"/>
    <x v="0"/>
    <x v="6"/>
    <x v="0"/>
    <x v="4"/>
    <x v="0"/>
    <x v="66"/>
    <x v="8"/>
    <x v="21"/>
    <x v="70"/>
    <x v="410"/>
    <x v="1360"/>
    <x v="1532"/>
    <x v="1466"/>
    <x v="1539"/>
    <x v="79"/>
    <x v="106"/>
    <x v="70"/>
    <x v="1307"/>
    <x v="106"/>
    <x v="0"/>
  </r>
  <r>
    <x v="58"/>
    <x v="1"/>
    <x v="7"/>
    <x v="2"/>
    <x v="1"/>
    <x v="3"/>
    <x v="11"/>
    <x v="32"/>
    <x v="74"/>
    <x v="139"/>
    <x v="404"/>
    <x v="1361"/>
    <x v="1533"/>
    <x v="1467"/>
    <x v="1540"/>
    <x v="61"/>
    <x v="136"/>
    <x v="100"/>
    <x v="1308"/>
    <x v="136"/>
    <x v="0"/>
  </r>
  <r>
    <x v="19"/>
    <x v="0"/>
    <x v="5"/>
    <x v="3"/>
    <x v="0"/>
    <x v="1"/>
    <x v="66"/>
    <x v="64"/>
    <x v="30"/>
    <x v="103"/>
    <x v="327"/>
    <x v="1362"/>
    <x v="1534"/>
    <x v="1468"/>
    <x v="1541"/>
    <x v="829"/>
    <x v="12"/>
    <x v="148"/>
    <x v="1309"/>
    <x v="12"/>
    <x v="1"/>
  </r>
  <r>
    <x v="5"/>
    <x v="0"/>
    <x v="0"/>
    <x v="3"/>
    <x v="5"/>
    <x v="3"/>
    <x v="82"/>
    <x v="29"/>
    <x v="23"/>
    <x v="53"/>
    <x v="136"/>
    <x v="1363"/>
    <x v="1535"/>
    <x v="1469"/>
    <x v="1542"/>
    <x v="1081"/>
    <x v="15"/>
    <x v="53"/>
    <x v="1310"/>
    <x v="15"/>
    <x v="2"/>
  </r>
  <r>
    <x v="13"/>
    <x v="1"/>
    <x v="0"/>
    <x v="2"/>
    <x v="4"/>
    <x v="0"/>
    <x v="87"/>
    <x v="72"/>
    <x v="46"/>
    <x v="128"/>
    <x v="358"/>
    <x v="1364"/>
    <x v="1536"/>
    <x v="1470"/>
    <x v="1543"/>
    <x v="365"/>
    <x v="132"/>
    <x v="118"/>
    <x v="786"/>
    <x v="132"/>
    <x v="2"/>
  </r>
  <r>
    <x v="8"/>
    <x v="0"/>
    <x v="7"/>
    <x v="3"/>
    <x v="3"/>
    <x v="0"/>
    <x v="27"/>
    <x v="3"/>
    <x v="28"/>
    <x v="73"/>
    <x v="413"/>
    <x v="1365"/>
    <x v="1537"/>
    <x v="1471"/>
    <x v="1544"/>
    <x v="842"/>
    <x v="24"/>
    <x v="31"/>
    <x v="1311"/>
    <x v="24"/>
    <x v="2"/>
  </r>
  <r>
    <x v="24"/>
    <x v="1"/>
    <x v="3"/>
    <x v="0"/>
    <x v="1"/>
    <x v="2"/>
    <x v="53"/>
    <x v="17"/>
    <x v="37"/>
    <x v="157"/>
    <x v="336"/>
    <x v="108"/>
    <x v="1538"/>
    <x v="1472"/>
    <x v="1545"/>
    <x v="275"/>
    <x v="103"/>
    <x v="31"/>
    <x v="1312"/>
    <x v="103"/>
    <x v="1"/>
  </r>
  <r>
    <x v="51"/>
    <x v="0"/>
    <x v="7"/>
    <x v="4"/>
    <x v="5"/>
    <x v="3"/>
    <x v="35"/>
    <x v="70"/>
    <x v="35"/>
    <x v="72"/>
    <x v="47"/>
    <x v="1366"/>
    <x v="1539"/>
    <x v="1473"/>
    <x v="1546"/>
    <x v="133"/>
    <x v="13"/>
    <x v="180"/>
    <x v="116"/>
    <x v="13"/>
    <x v="2"/>
  </r>
  <r>
    <x v="5"/>
    <x v="1"/>
    <x v="2"/>
    <x v="3"/>
    <x v="5"/>
    <x v="3"/>
    <x v="0"/>
    <x v="45"/>
    <x v="16"/>
    <x v="94"/>
    <x v="28"/>
    <x v="624"/>
    <x v="1540"/>
    <x v="652"/>
    <x v="1547"/>
    <x v="1082"/>
    <x v="104"/>
    <x v="87"/>
    <x v="883"/>
    <x v="104"/>
    <x v="2"/>
  </r>
  <r>
    <x v="56"/>
    <x v="0"/>
    <x v="3"/>
    <x v="1"/>
    <x v="6"/>
    <x v="0"/>
    <x v="104"/>
    <x v="31"/>
    <x v="54"/>
    <x v="157"/>
    <x v="253"/>
    <x v="1351"/>
    <x v="1541"/>
    <x v="1474"/>
    <x v="1548"/>
    <x v="1083"/>
    <x v="151"/>
    <x v="95"/>
    <x v="1313"/>
    <x v="151"/>
    <x v="2"/>
  </r>
  <r>
    <x v="32"/>
    <x v="1"/>
    <x v="8"/>
    <x v="3"/>
    <x v="3"/>
    <x v="1"/>
    <x v="53"/>
    <x v="35"/>
    <x v="40"/>
    <x v="139"/>
    <x v="192"/>
    <x v="1367"/>
    <x v="1542"/>
    <x v="1475"/>
    <x v="1549"/>
    <x v="1002"/>
    <x v="30"/>
    <x v="27"/>
    <x v="1314"/>
    <x v="30"/>
    <x v="1"/>
  </r>
  <r>
    <x v="22"/>
    <x v="1"/>
    <x v="6"/>
    <x v="1"/>
    <x v="0"/>
    <x v="2"/>
    <x v="115"/>
    <x v="34"/>
    <x v="68"/>
    <x v="135"/>
    <x v="50"/>
    <x v="1368"/>
    <x v="1543"/>
    <x v="1476"/>
    <x v="1550"/>
    <x v="1084"/>
    <x v="146"/>
    <x v="106"/>
    <x v="1315"/>
    <x v="146"/>
    <x v="0"/>
  </r>
  <r>
    <x v="59"/>
    <x v="1"/>
    <x v="9"/>
    <x v="4"/>
    <x v="4"/>
    <x v="3"/>
    <x v="28"/>
    <x v="39"/>
    <x v="68"/>
    <x v="128"/>
    <x v="39"/>
    <x v="1369"/>
    <x v="1544"/>
    <x v="1477"/>
    <x v="1551"/>
    <x v="73"/>
    <x v="164"/>
    <x v="34"/>
    <x v="1316"/>
    <x v="164"/>
    <x v="0"/>
  </r>
  <r>
    <x v="52"/>
    <x v="1"/>
    <x v="8"/>
    <x v="2"/>
    <x v="3"/>
    <x v="1"/>
    <x v="36"/>
    <x v="16"/>
    <x v="88"/>
    <x v="136"/>
    <x v="390"/>
    <x v="1370"/>
    <x v="1545"/>
    <x v="1478"/>
    <x v="1552"/>
    <x v="1085"/>
    <x v="6"/>
    <x v="82"/>
    <x v="1317"/>
    <x v="6"/>
    <x v="2"/>
  </r>
  <r>
    <x v="52"/>
    <x v="0"/>
    <x v="7"/>
    <x v="2"/>
    <x v="5"/>
    <x v="3"/>
    <x v="31"/>
    <x v="30"/>
    <x v="41"/>
    <x v="77"/>
    <x v="282"/>
    <x v="1371"/>
    <x v="1546"/>
    <x v="1479"/>
    <x v="1553"/>
    <x v="1086"/>
    <x v="28"/>
    <x v="109"/>
    <x v="1318"/>
    <x v="28"/>
    <x v="2"/>
  </r>
  <r>
    <x v="27"/>
    <x v="1"/>
    <x v="5"/>
    <x v="0"/>
    <x v="5"/>
    <x v="3"/>
    <x v="79"/>
    <x v="60"/>
    <x v="60"/>
    <x v="93"/>
    <x v="300"/>
    <x v="1372"/>
    <x v="1547"/>
    <x v="1480"/>
    <x v="1554"/>
    <x v="1030"/>
    <x v="1"/>
    <x v="10"/>
    <x v="1319"/>
    <x v="1"/>
    <x v="0"/>
  </r>
  <r>
    <x v="45"/>
    <x v="0"/>
    <x v="0"/>
    <x v="3"/>
    <x v="3"/>
    <x v="1"/>
    <x v="94"/>
    <x v="41"/>
    <x v="30"/>
    <x v="50"/>
    <x v="311"/>
    <x v="1373"/>
    <x v="1548"/>
    <x v="1481"/>
    <x v="1555"/>
    <x v="1087"/>
    <x v="104"/>
    <x v="176"/>
    <x v="314"/>
    <x v="104"/>
    <x v="2"/>
  </r>
  <r>
    <x v="30"/>
    <x v="1"/>
    <x v="8"/>
    <x v="3"/>
    <x v="6"/>
    <x v="3"/>
    <x v="63"/>
    <x v="37"/>
    <x v="45"/>
    <x v="116"/>
    <x v="22"/>
    <x v="1374"/>
    <x v="1549"/>
    <x v="1482"/>
    <x v="1556"/>
    <x v="988"/>
    <x v="23"/>
    <x v="109"/>
    <x v="1320"/>
    <x v="23"/>
    <x v="1"/>
  </r>
  <r>
    <x v="2"/>
    <x v="0"/>
    <x v="5"/>
    <x v="0"/>
    <x v="6"/>
    <x v="1"/>
    <x v="6"/>
    <x v="38"/>
    <x v="43"/>
    <x v="148"/>
    <x v="184"/>
    <x v="233"/>
    <x v="1550"/>
    <x v="1483"/>
    <x v="1557"/>
    <x v="197"/>
    <x v="146"/>
    <x v="158"/>
    <x v="1321"/>
    <x v="146"/>
    <x v="2"/>
  </r>
  <r>
    <x v="41"/>
    <x v="0"/>
    <x v="1"/>
    <x v="0"/>
    <x v="4"/>
    <x v="0"/>
    <x v="41"/>
    <x v="40"/>
    <x v="72"/>
    <x v="58"/>
    <x v="289"/>
    <x v="1144"/>
    <x v="1551"/>
    <x v="990"/>
    <x v="1558"/>
    <x v="749"/>
    <x v="28"/>
    <x v="16"/>
    <x v="1322"/>
    <x v="28"/>
    <x v="2"/>
  </r>
  <r>
    <x v="46"/>
    <x v="0"/>
    <x v="3"/>
    <x v="1"/>
    <x v="4"/>
    <x v="1"/>
    <x v="88"/>
    <x v="30"/>
    <x v="83"/>
    <x v="127"/>
    <x v="19"/>
    <x v="35"/>
    <x v="1552"/>
    <x v="1484"/>
    <x v="1559"/>
    <x v="1088"/>
    <x v="70"/>
    <x v="86"/>
    <x v="1323"/>
    <x v="70"/>
    <x v="1"/>
  </r>
  <r>
    <x v="9"/>
    <x v="0"/>
    <x v="4"/>
    <x v="1"/>
    <x v="3"/>
    <x v="0"/>
    <x v="110"/>
    <x v="15"/>
    <x v="8"/>
    <x v="65"/>
    <x v="225"/>
    <x v="1235"/>
    <x v="1553"/>
    <x v="1485"/>
    <x v="1560"/>
    <x v="1041"/>
    <x v="67"/>
    <x v="56"/>
    <x v="48"/>
    <x v="67"/>
    <x v="0"/>
  </r>
  <r>
    <x v="15"/>
    <x v="0"/>
    <x v="3"/>
    <x v="0"/>
    <x v="0"/>
    <x v="2"/>
    <x v="56"/>
    <x v="22"/>
    <x v="42"/>
    <x v="103"/>
    <x v="349"/>
    <x v="214"/>
    <x v="1554"/>
    <x v="1486"/>
    <x v="1561"/>
    <x v="264"/>
    <x v="49"/>
    <x v="198"/>
    <x v="1324"/>
    <x v="49"/>
    <x v="2"/>
  </r>
  <r>
    <x v="19"/>
    <x v="1"/>
    <x v="5"/>
    <x v="4"/>
    <x v="1"/>
    <x v="3"/>
    <x v="34"/>
    <x v="67"/>
    <x v="61"/>
    <x v="65"/>
    <x v="7"/>
    <x v="622"/>
    <x v="1553"/>
    <x v="1487"/>
    <x v="1562"/>
    <x v="1089"/>
    <x v="170"/>
    <x v="117"/>
    <x v="1325"/>
    <x v="170"/>
    <x v="1"/>
  </r>
  <r>
    <x v="8"/>
    <x v="0"/>
    <x v="3"/>
    <x v="2"/>
    <x v="0"/>
    <x v="1"/>
    <x v="80"/>
    <x v="26"/>
    <x v="51"/>
    <x v="16"/>
    <x v="3"/>
    <x v="564"/>
    <x v="1555"/>
    <x v="1488"/>
    <x v="1563"/>
    <x v="1090"/>
    <x v="35"/>
    <x v="9"/>
    <x v="1326"/>
    <x v="35"/>
    <x v="2"/>
  </r>
  <r>
    <x v="19"/>
    <x v="1"/>
    <x v="6"/>
    <x v="0"/>
    <x v="6"/>
    <x v="0"/>
    <x v="114"/>
    <x v="45"/>
    <x v="14"/>
    <x v="109"/>
    <x v="384"/>
    <x v="1375"/>
    <x v="1556"/>
    <x v="1489"/>
    <x v="1564"/>
    <x v="257"/>
    <x v="15"/>
    <x v="35"/>
    <x v="117"/>
    <x v="15"/>
    <x v="1"/>
  </r>
  <r>
    <x v="11"/>
    <x v="1"/>
    <x v="6"/>
    <x v="2"/>
    <x v="2"/>
    <x v="2"/>
    <x v="25"/>
    <x v="11"/>
    <x v="44"/>
    <x v="19"/>
    <x v="385"/>
    <x v="690"/>
    <x v="1557"/>
    <x v="1490"/>
    <x v="1565"/>
    <x v="823"/>
    <x v="38"/>
    <x v="110"/>
    <x v="1327"/>
    <x v="38"/>
    <x v="1"/>
  </r>
  <r>
    <x v="23"/>
    <x v="1"/>
    <x v="9"/>
    <x v="4"/>
    <x v="4"/>
    <x v="0"/>
    <x v="29"/>
    <x v="54"/>
    <x v="68"/>
    <x v="149"/>
    <x v="378"/>
    <x v="1376"/>
    <x v="1558"/>
    <x v="1491"/>
    <x v="1566"/>
    <x v="528"/>
    <x v="74"/>
    <x v="15"/>
    <x v="839"/>
    <x v="74"/>
    <x v="1"/>
  </r>
  <r>
    <x v="8"/>
    <x v="1"/>
    <x v="4"/>
    <x v="1"/>
    <x v="0"/>
    <x v="3"/>
    <x v="4"/>
    <x v="65"/>
    <x v="21"/>
    <x v="3"/>
    <x v="97"/>
    <x v="1377"/>
    <x v="1559"/>
    <x v="1492"/>
    <x v="1567"/>
    <x v="1005"/>
    <x v="143"/>
    <x v="108"/>
    <x v="1328"/>
    <x v="143"/>
    <x v="2"/>
  </r>
  <r>
    <x v="16"/>
    <x v="1"/>
    <x v="0"/>
    <x v="2"/>
    <x v="2"/>
    <x v="0"/>
    <x v="49"/>
    <x v="25"/>
    <x v="48"/>
    <x v="98"/>
    <x v="322"/>
    <x v="1358"/>
    <x v="1560"/>
    <x v="1493"/>
    <x v="1568"/>
    <x v="1091"/>
    <x v="35"/>
    <x v="161"/>
    <x v="1329"/>
    <x v="35"/>
    <x v="0"/>
  </r>
  <r>
    <x v="8"/>
    <x v="1"/>
    <x v="7"/>
    <x v="3"/>
    <x v="0"/>
    <x v="1"/>
    <x v="32"/>
    <x v="22"/>
    <x v="54"/>
    <x v="127"/>
    <x v="188"/>
    <x v="1288"/>
    <x v="1561"/>
    <x v="1494"/>
    <x v="1569"/>
    <x v="853"/>
    <x v="169"/>
    <x v="183"/>
    <x v="1330"/>
    <x v="169"/>
    <x v="2"/>
  </r>
  <r>
    <x v="38"/>
    <x v="1"/>
    <x v="1"/>
    <x v="2"/>
    <x v="4"/>
    <x v="2"/>
    <x v="58"/>
    <x v="51"/>
    <x v="67"/>
    <x v="39"/>
    <x v="296"/>
    <x v="1378"/>
    <x v="1562"/>
    <x v="441"/>
    <x v="1570"/>
    <x v="867"/>
    <x v="86"/>
    <x v="128"/>
    <x v="1331"/>
    <x v="86"/>
    <x v="2"/>
  </r>
  <r>
    <x v="45"/>
    <x v="0"/>
    <x v="7"/>
    <x v="2"/>
    <x v="3"/>
    <x v="2"/>
    <x v="59"/>
    <x v="30"/>
    <x v="15"/>
    <x v="137"/>
    <x v="165"/>
    <x v="1379"/>
    <x v="1563"/>
    <x v="1495"/>
    <x v="1571"/>
    <x v="221"/>
    <x v="97"/>
    <x v="150"/>
    <x v="736"/>
    <x v="97"/>
    <x v="2"/>
  </r>
  <r>
    <x v="39"/>
    <x v="0"/>
    <x v="8"/>
    <x v="1"/>
    <x v="6"/>
    <x v="2"/>
    <x v="58"/>
    <x v="61"/>
    <x v="54"/>
    <x v="60"/>
    <x v="9"/>
    <x v="1380"/>
    <x v="1564"/>
    <x v="1496"/>
    <x v="1572"/>
    <x v="130"/>
    <x v="15"/>
    <x v="221"/>
    <x v="1254"/>
    <x v="15"/>
    <x v="2"/>
  </r>
  <r>
    <x v="41"/>
    <x v="0"/>
    <x v="2"/>
    <x v="2"/>
    <x v="3"/>
    <x v="1"/>
    <x v="66"/>
    <x v="50"/>
    <x v="58"/>
    <x v="61"/>
    <x v="277"/>
    <x v="1381"/>
    <x v="1565"/>
    <x v="1497"/>
    <x v="1573"/>
    <x v="802"/>
    <x v="98"/>
    <x v="138"/>
    <x v="91"/>
    <x v="98"/>
    <x v="2"/>
  </r>
  <r>
    <x v="17"/>
    <x v="1"/>
    <x v="0"/>
    <x v="1"/>
    <x v="4"/>
    <x v="1"/>
    <x v="79"/>
    <x v="7"/>
    <x v="33"/>
    <x v="98"/>
    <x v="140"/>
    <x v="1382"/>
    <x v="1566"/>
    <x v="1498"/>
    <x v="1574"/>
    <x v="51"/>
    <x v="132"/>
    <x v="199"/>
    <x v="1332"/>
    <x v="132"/>
    <x v="1"/>
  </r>
  <r>
    <x v="1"/>
    <x v="0"/>
    <x v="5"/>
    <x v="2"/>
    <x v="5"/>
    <x v="2"/>
    <x v="58"/>
    <x v="28"/>
    <x v="78"/>
    <x v="7"/>
    <x v="89"/>
    <x v="1383"/>
    <x v="1567"/>
    <x v="411"/>
    <x v="1575"/>
    <x v="2"/>
    <x v="91"/>
    <x v="182"/>
    <x v="169"/>
    <x v="91"/>
    <x v="1"/>
  </r>
  <r>
    <x v="24"/>
    <x v="0"/>
    <x v="2"/>
    <x v="1"/>
    <x v="5"/>
    <x v="0"/>
    <x v="92"/>
    <x v="39"/>
    <x v="5"/>
    <x v="4"/>
    <x v="432"/>
    <x v="1384"/>
    <x v="1568"/>
    <x v="1499"/>
    <x v="1576"/>
    <x v="1092"/>
    <x v="40"/>
    <x v="106"/>
    <x v="1333"/>
    <x v="40"/>
    <x v="1"/>
  </r>
  <r>
    <x v="0"/>
    <x v="1"/>
    <x v="3"/>
    <x v="4"/>
    <x v="0"/>
    <x v="1"/>
    <x v="38"/>
    <x v="40"/>
    <x v="13"/>
    <x v="8"/>
    <x v="423"/>
    <x v="1385"/>
    <x v="1569"/>
    <x v="1500"/>
    <x v="1577"/>
    <x v="748"/>
    <x v="46"/>
    <x v="97"/>
    <x v="1334"/>
    <x v="46"/>
    <x v="0"/>
  </r>
  <r>
    <x v="44"/>
    <x v="0"/>
    <x v="1"/>
    <x v="4"/>
    <x v="5"/>
    <x v="2"/>
    <x v="72"/>
    <x v="22"/>
    <x v="84"/>
    <x v="124"/>
    <x v="428"/>
    <x v="1386"/>
    <x v="1570"/>
    <x v="1501"/>
    <x v="1578"/>
    <x v="604"/>
    <x v="12"/>
    <x v="205"/>
    <x v="1335"/>
    <x v="12"/>
    <x v="2"/>
  </r>
  <r>
    <x v="43"/>
    <x v="0"/>
    <x v="0"/>
    <x v="2"/>
    <x v="1"/>
    <x v="2"/>
    <x v="42"/>
    <x v="73"/>
    <x v="58"/>
    <x v="66"/>
    <x v="344"/>
    <x v="1387"/>
    <x v="1571"/>
    <x v="695"/>
    <x v="1579"/>
    <x v="308"/>
    <x v="114"/>
    <x v="198"/>
    <x v="91"/>
    <x v="114"/>
    <x v="2"/>
  </r>
  <r>
    <x v="57"/>
    <x v="0"/>
    <x v="8"/>
    <x v="3"/>
    <x v="2"/>
    <x v="3"/>
    <x v="93"/>
    <x v="59"/>
    <x v="17"/>
    <x v="21"/>
    <x v="170"/>
    <x v="1388"/>
    <x v="1572"/>
    <x v="1502"/>
    <x v="1580"/>
    <x v="931"/>
    <x v="94"/>
    <x v="151"/>
    <x v="1336"/>
    <x v="94"/>
    <x v="0"/>
  </r>
  <r>
    <x v="35"/>
    <x v="0"/>
    <x v="2"/>
    <x v="3"/>
    <x v="0"/>
    <x v="2"/>
    <x v="117"/>
    <x v="49"/>
    <x v="76"/>
    <x v="45"/>
    <x v="217"/>
    <x v="1389"/>
    <x v="1573"/>
    <x v="1503"/>
    <x v="1581"/>
    <x v="831"/>
    <x v="178"/>
    <x v="103"/>
    <x v="1337"/>
    <x v="178"/>
    <x v="2"/>
  </r>
  <r>
    <x v="54"/>
    <x v="1"/>
    <x v="6"/>
    <x v="1"/>
    <x v="4"/>
    <x v="0"/>
    <x v="79"/>
    <x v="49"/>
    <x v="21"/>
    <x v="133"/>
    <x v="275"/>
    <x v="1390"/>
    <x v="1574"/>
    <x v="1504"/>
    <x v="1582"/>
    <x v="1093"/>
    <x v="144"/>
    <x v="181"/>
    <x v="629"/>
    <x v="144"/>
    <x v="0"/>
  </r>
  <r>
    <x v="41"/>
    <x v="0"/>
    <x v="1"/>
    <x v="2"/>
    <x v="0"/>
    <x v="3"/>
    <x v="47"/>
    <x v="62"/>
    <x v="55"/>
    <x v="64"/>
    <x v="293"/>
    <x v="1391"/>
    <x v="1575"/>
    <x v="1505"/>
    <x v="1583"/>
    <x v="902"/>
    <x v="133"/>
    <x v="37"/>
    <x v="1338"/>
    <x v="133"/>
    <x v="2"/>
  </r>
  <r>
    <x v="24"/>
    <x v="1"/>
    <x v="7"/>
    <x v="0"/>
    <x v="5"/>
    <x v="2"/>
    <x v="79"/>
    <x v="15"/>
    <x v="87"/>
    <x v="76"/>
    <x v="438"/>
    <x v="1392"/>
    <x v="1576"/>
    <x v="1506"/>
    <x v="1584"/>
    <x v="1094"/>
    <x v="79"/>
    <x v="159"/>
    <x v="1339"/>
    <x v="79"/>
    <x v="1"/>
  </r>
  <r>
    <x v="26"/>
    <x v="0"/>
    <x v="0"/>
    <x v="1"/>
    <x v="6"/>
    <x v="1"/>
    <x v="42"/>
    <x v="6"/>
    <x v="80"/>
    <x v="14"/>
    <x v="168"/>
    <x v="573"/>
    <x v="1577"/>
    <x v="1507"/>
    <x v="1585"/>
    <x v="766"/>
    <x v="152"/>
    <x v="39"/>
    <x v="1340"/>
    <x v="152"/>
    <x v="2"/>
  </r>
  <r>
    <x v="19"/>
    <x v="0"/>
    <x v="8"/>
    <x v="0"/>
    <x v="3"/>
    <x v="0"/>
    <x v="3"/>
    <x v="50"/>
    <x v="18"/>
    <x v="11"/>
    <x v="235"/>
    <x v="1393"/>
    <x v="1578"/>
    <x v="1508"/>
    <x v="1586"/>
    <x v="691"/>
    <x v="64"/>
    <x v="54"/>
    <x v="513"/>
    <x v="64"/>
    <x v="1"/>
  </r>
  <r>
    <x v="7"/>
    <x v="1"/>
    <x v="1"/>
    <x v="2"/>
    <x v="3"/>
    <x v="1"/>
    <x v="50"/>
    <x v="55"/>
    <x v="15"/>
    <x v="39"/>
    <x v="328"/>
    <x v="816"/>
    <x v="1579"/>
    <x v="1509"/>
    <x v="1587"/>
    <x v="1095"/>
    <x v="22"/>
    <x v="21"/>
    <x v="1341"/>
    <x v="22"/>
    <x v="2"/>
  </r>
  <r>
    <x v="33"/>
    <x v="0"/>
    <x v="5"/>
    <x v="1"/>
    <x v="2"/>
    <x v="2"/>
    <x v="2"/>
    <x v="74"/>
    <x v="45"/>
    <x v="92"/>
    <x v="19"/>
    <x v="1394"/>
    <x v="1580"/>
    <x v="1510"/>
    <x v="1588"/>
    <x v="1096"/>
    <x v="104"/>
    <x v="106"/>
    <x v="914"/>
    <x v="104"/>
    <x v="2"/>
  </r>
  <r>
    <x v="33"/>
    <x v="1"/>
    <x v="9"/>
    <x v="0"/>
    <x v="1"/>
    <x v="1"/>
    <x v="3"/>
    <x v="52"/>
    <x v="6"/>
    <x v="116"/>
    <x v="187"/>
    <x v="1395"/>
    <x v="1581"/>
    <x v="1511"/>
    <x v="1589"/>
    <x v="528"/>
    <x v="11"/>
    <x v="103"/>
    <x v="1342"/>
    <x v="11"/>
    <x v="2"/>
  </r>
  <r>
    <x v="25"/>
    <x v="1"/>
    <x v="7"/>
    <x v="2"/>
    <x v="5"/>
    <x v="1"/>
    <x v="16"/>
    <x v="9"/>
    <x v="78"/>
    <x v="140"/>
    <x v="245"/>
    <x v="1396"/>
    <x v="1582"/>
    <x v="1087"/>
    <x v="1590"/>
    <x v="1097"/>
    <x v="26"/>
    <x v="31"/>
    <x v="992"/>
    <x v="26"/>
    <x v="0"/>
  </r>
  <r>
    <x v="49"/>
    <x v="1"/>
    <x v="0"/>
    <x v="3"/>
    <x v="3"/>
    <x v="1"/>
    <x v="7"/>
    <x v="76"/>
    <x v="85"/>
    <x v="75"/>
    <x v="207"/>
    <x v="1397"/>
    <x v="1583"/>
    <x v="1512"/>
    <x v="1591"/>
    <x v="655"/>
    <x v="29"/>
    <x v="132"/>
    <x v="1343"/>
    <x v="29"/>
    <x v="1"/>
  </r>
  <r>
    <x v="55"/>
    <x v="0"/>
    <x v="7"/>
    <x v="0"/>
    <x v="4"/>
    <x v="0"/>
    <x v="31"/>
    <x v="61"/>
    <x v="39"/>
    <x v="32"/>
    <x v="376"/>
    <x v="1398"/>
    <x v="1584"/>
    <x v="1513"/>
    <x v="346"/>
    <x v="1098"/>
    <x v="2"/>
    <x v="180"/>
    <x v="1125"/>
    <x v="2"/>
    <x v="2"/>
  </r>
  <r>
    <x v="4"/>
    <x v="0"/>
    <x v="2"/>
    <x v="2"/>
    <x v="4"/>
    <x v="2"/>
    <x v="26"/>
    <x v="76"/>
    <x v="37"/>
    <x v="101"/>
    <x v="218"/>
    <x v="1399"/>
    <x v="1585"/>
    <x v="1514"/>
    <x v="1592"/>
    <x v="1099"/>
    <x v="113"/>
    <x v="182"/>
    <x v="1344"/>
    <x v="113"/>
    <x v="1"/>
  </r>
  <r>
    <x v="51"/>
    <x v="0"/>
    <x v="3"/>
    <x v="0"/>
    <x v="5"/>
    <x v="1"/>
    <x v="105"/>
    <x v="33"/>
    <x v="59"/>
    <x v="130"/>
    <x v="296"/>
    <x v="1400"/>
    <x v="1586"/>
    <x v="1515"/>
    <x v="1593"/>
    <x v="654"/>
    <x v="98"/>
    <x v="117"/>
    <x v="328"/>
    <x v="98"/>
    <x v="2"/>
  </r>
  <r>
    <x v="1"/>
    <x v="1"/>
    <x v="8"/>
    <x v="2"/>
    <x v="6"/>
    <x v="3"/>
    <x v="89"/>
    <x v="21"/>
    <x v="86"/>
    <x v="14"/>
    <x v="396"/>
    <x v="443"/>
    <x v="1587"/>
    <x v="1516"/>
    <x v="1594"/>
    <x v="1100"/>
    <x v="142"/>
    <x v="140"/>
    <x v="1345"/>
    <x v="142"/>
    <x v="1"/>
  </r>
  <r>
    <x v="23"/>
    <x v="0"/>
    <x v="1"/>
    <x v="4"/>
    <x v="2"/>
    <x v="0"/>
    <x v="54"/>
    <x v="76"/>
    <x v="32"/>
    <x v="111"/>
    <x v="113"/>
    <x v="1401"/>
    <x v="1588"/>
    <x v="1517"/>
    <x v="1595"/>
    <x v="1101"/>
    <x v="148"/>
    <x v="209"/>
    <x v="933"/>
    <x v="148"/>
    <x v="1"/>
  </r>
  <r>
    <x v="44"/>
    <x v="0"/>
    <x v="7"/>
    <x v="1"/>
    <x v="4"/>
    <x v="2"/>
    <x v="65"/>
    <x v="14"/>
    <x v="57"/>
    <x v="66"/>
    <x v="349"/>
    <x v="1402"/>
    <x v="1589"/>
    <x v="968"/>
    <x v="1596"/>
    <x v="1102"/>
    <x v="108"/>
    <x v="111"/>
    <x v="1113"/>
    <x v="108"/>
    <x v="2"/>
  </r>
  <r>
    <x v="10"/>
    <x v="1"/>
    <x v="0"/>
    <x v="4"/>
    <x v="1"/>
    <x v="2"/>
    <x v="48"/>
    <x v="26"/>
    <x v="72"/>
    <x v="111"/>
    <x v="400"/>
    <x v="357"/>
    <x v="1590"/>
    <x v="1518"/>
    <x v="1597"/>
    <x v="1103"/>
    <x v="23"/>
    <x v="58"/>
    <x v="1346"/>
    <x v="23"/>
    <x v="2"/>
  </r>
  <r>
    <x v="54"/>
    <x v="1"/>
    <x v="2"/>
    <x v="3"/>
    <x v="6"/>
    <x v="3"/>
    <x v="37"/>
    <x v="63"/>
    <x v="14"/>
    <x v="20"/>
    <x v="135"/>
    <x v="1403"/>
    <x v="1591"/>
    <x v="1111"/>
    <x v="1598"/>
    <x v="712"/>
    <x v="135"/>
    <x v="49"/>
    <x v="52"/>
    <x v="135"/>
    <x v="0"/>
  </r>
  <r>
    <x v="23"/>
    <x v="0"/>
    <x v="7"/>
    <x v="4"/>
    <x v="0"/>
    <x v="2"/>
    <x v="75"/>
    <x v="3"/>
    <x v="19"/>
    <x v="84"/>
    <x v="137"/>
    <x v="1404"/>
    <x v="1592"/>
    <x v="1519"/>
    <x v="1599"/>
    <x v="1104"/>
    <x v="19"/>
    <x v="88"/>
    <x v="1347"/>
    <x v="19"/>
    <x v="1"/>
  </r>
  <r>
    <x v="17"/>
    <x v="0"/>
    <x v="8"/>
    <x v="1"/>
    <x v="2"/>
    <x v="2"/>
    <x v="77"/>
    <x v="40"/>
    <x v="44"/>
    <x v="48"/>
    <x v="213"/>
    <x v="1405"/>
    <x v="1593"/>
    <x v="1520"/>
    <x v="1600"/>
    <x v="1105"/>
    <x v="133"/>
    <x v="117"/>
    <x v="516"/>
    <x v="133"/>
    <x v="1"/>
  </r>
  <r>
    <x v="23"/>
    <x v="0"/>
    <x v="2"/>
    <x v="2"/>
    <x v="5"/>
    <x v="1"/>
    <x v="8"/>
    <x v="1"/>
    <x v="72"/>
    <x v="60"/>
    <x v="81"/>
    <x v="1406"/>
    <x v="1594"/>
    <x v="1521"/>
    <x v="1601"/>
    <x v="716"/>
    <x v="25"/>
    <x v="64"/>
    <x v="1348"/>
    <x v="25"/>
    <x v="1"/>
  </r>
  <r>
    <x v="0"/>
    <x v="0"/>
    <x v="9"/>
    <x v="3"/>
    <x v="5"/>
    <x v="3"/>
    <x v="67"/>
    <x v="30"/>
    <x v="76"/>
    <x v="5"/>
    <x v="100"/>
    <x v="1407"/>
    <x v="1595"/>
    <x v="1522"/>
    <x v="1602"/>
    <x v="1106"/>
    <x v="129"/>
    <x v="11"/>
    <x v="1349"/>
    <x v="129"/>
    <x v="0"/>
  </r>
  <r>
    <x v="44"/>
    <x v="0"/>
    <x v="1"/>
    <x v="3"/>
    <x v="0"/>
    <x v="3"/>
    <x v="107"/>
    <x v="34"/>
    <x v="46"/>
    <x v="65"/>
    <x v="71"/>
    <x v="1408"/>
    <x v="1596"/>
    <x v="1523"/>
    <x v="1603"/>
    <x v="1026"/>
    <x v="166"/>
    <x v="166"/>
    <x v="1350"/>
    <x v="166"/>
    <x v="2"/>
  </r>
  <r>
    <x v="54"/>
    <x v="1"/>
    <x v="4"/>
    <x v="1"/>
    <x v="2"/>
    <x v="2"/>
    <x v="48"/>
    <x v="9"/>
    <x v="51"/>
    <x v="69"/>
    <x v="298"/>
    <x v="1409"/>
    <x v="1597"/>
    <x v="1524"/>
    <x v="1604"/>
    <x v="1072"/>
    <x v="116"/>
    <x v="69"/>
    <x v="1351"/>
    <x v="116"/>
    <x v="0"/>
  </r>
  <r>
    <x v="41"/>
    <x v="0"/>
    <x v="5"/>
    <x v="4"/>
    <x v="0"/>
    <x v="2"/>
    <x v="99"/>
    <x v="17"/>
    <x v="55"/>
    <x v="51"/>
    <x v="342"/>
    <x v="979"/>
    <x v="1598"/>
    <x v="1525"/>
    <x v="1605"/>
    <x v="1107"/>
    <x v="120"/>
    <x v="175"/>
    <x v="1352"/>
    <x v="120"/>
    <x v="2"/>
  </r>
  <r>
    <x v="12"/>
    <x v="1"/>
    <x v="9"/>
    <x v="3"/>
    <x v="1"/>
    <x v="0"/>
    <x v="46"/>
    <x v="24"/>
    <x v="69"/>
    <x v="102"/>
    <x v="325"/>
    <x v="1410"/>
    <x v="1599"/>
    <x v="1526"/>
    <x v="1606"/>
    <x v="626"/>
    <x v="16"/>
    <x v="134"/>
    <x v="1353"/>
    <x v="16"/>
    <x v="0"/>
  </r>
  <r>
    <x v="20"/>
    <x v="0"/>
    <x v="0"/>
    <x v="2"/>
    <x v="6"/>
    <x v="0"/>
    <x v="91"/>
    <x v="70"/>
    <x v="61"/>
    <x v="143"/>
    <x v="88"/>
    <x v="1411"/>
    <x v="1600"/>
    <x v="1527"/>
    <x v="1607"/>
    <x v="1108"/>
    <x v="28"/>
    <x v="179"/>
    <x v="143"/>
    <x v="28"/>
    <x v="1"/>
  </r>
  <r>
    <x v="26"/>
    <x v="1"/>
    <x v="1"/>
    <x v="4"/>
    <x v="2"/>
    <x v="2"/>
    <x v="64"/>
    <x v="76"/>
    <x v="85"/>
    <x v="147"/>
    <x v="292"/>
    <x v="1412"/>
    <x v="1601"/>
    <x v="113"/>
    <x v="1608"/>
    <x v="1109"/>
    <x v="76"/>
    <x v="95"/>
    <x v="51"/>
    <x v="76"/>
    <x v="2"/>
  </r>
  <r>
    <x v="16"/>
    <x v="0"/>
    <x v="8"/>
    <x v="0"/>
    <x v="5"/>
    <x v="3"/>
    <x v="62"/>
    <x v="73"/>
    <x v="14"/>
    <x v="139"/>
    <x v="371"/>
    <x v="1413"/>
    <x v="1602"/>
    <x v="1528"/>
    <x v="1609"/>
    <x v="1110"/>
    <x v="148"/>
    <x v="186"/>
    <x v="1354"/>
    <x v="148"/>
    <x v="0"/>
  </r>
  <r>
    <x v="22"/>
    <x v="0"/>
    <x v="9"/>
    <x v="2"/>
    <x v="1"/>
    <x v="1"/>
    <x v="117"/>
    <x v="54"/>
    <x v="81"/>
    <x v="15"/>
    <x v="74"/>
    <x v="1414"/>
    <x v="1603"/>
    <x v="1529"/>
    <x v="1610"/>
    <x v="1111"/>
    <x v="14"/>
    <x v="23"/>
    <x v="1355"/>
    <x v="14"/>
    <x v="0"/>
  </r>
  <r>
    <x v="22"/>
    <x v="1"/>
    <x v="5"/>
    <x v="1"/>
    <x v="5"/>
    <x v="3"/>
    <x v="83"/>
    <x v="24"/>
    <x v="80"/>
    <x v="138"/>
    <x v="121"/>
    <x v="1415"/>
    <x v="1604"/>
    <x v="1530"/>
    <x v="1611"/>
    <x v="1112"/>
    <x v="25"/>
    <x v="40"/>
    <x v="1356"/>
    <x v="25"/>
    <x v="0"/>
  </r>
  <r>
    <x v="52"/>
    <x v="0"/>
    <x v="6"/>
    <x v="2"/>
    <x v="5"/>
    <x v="1"/>
    <x v="110"/>
    <x v="50"/>
    <x v="38"/>
    <x v="48"/>
    <x v="222"/>
    <x v="1416"/>
    <x v="1605"/>
    <x v="1531"/>
    <x v="1612"/>
    <x v="778"/>
    <x v="18"/>
    <x v="131"/>
    <x v="1123"/>
    <x v="18"/>
    <x v="2"/>
  </r>
  <r>
    <x v="59"/>
    <x v="1"/>
    <x v="4"/>
    <x v="1"/>
    <x v="2"/>
    <x v="2"/>
    <x v="34"/>
    <x v="41"/>
    <x v="2"/>
    <x v="8"/>
    <x v="294"/>
    <x v="1375"/>
    <x v="841"/>
    <x v="1532"/>
    <x v="1613"/>
    <x v="1113"/>
    <x v="110"/>
    <x v="149"/>
    <x v="1357"/>
    <x v="110"/>
    <x v="0"/>
  </r>
  <r>
    <x v="50"/>
    <x v="1"/>
    <x v="8"/>
    <x v="4"/>
    <x v="3"/>
    <x v="1"/>
    <x v="16"/>
    <x v="46"/>
    <x v="51"/>
    <x v="74"/>
    <x v="199"/>
    <x v="1417"/>
    <x v="1606"/>
    <x v="1533"/>
    <x v="1614"/>
    <x v="340"/>
    <x v="62"/>
    <x v="140"/>
    <x v="1358"/>
    <x v="62"/>
    <x v="2"/>
  </r>
  <r>
    <x v="52"/>
    <x v="0"/>
    <x v="0"/>
    <x v="3"/>
    <x v="0"/>
    <x v="0"/>
    <x v="21"/>
    <x v="52"/>
    <x v="19"/>
    <x v="21"/>
    <x v="30"/>
    <x v="1418"/>
    <x v="1607"/>
    <x v="1534"/>
    <x v="1615"/>
    <x v="473"/>
    <x v="168"/>
    <x v="15"/>
    <x v="117"/>
    <x v="168"/>
    <x v="2"/>
  </r>
  <r>
    <x v="52"/>
    <x v="0"/>
    <x v="2"/>
    <x v="1"/>
    <x v="5"/>
    <x v="0"/>
    <x v="50"/>
    <x v="45"/>
    <x v="71"/>
    <x v="125"/>
    <x v="52"/>
    <x v="1419"/>
    <x v="1608"/>
    <x v="1535"/>
    <x v="1616"/>
    <x v="957"/>
    <x v="139"/>
    <x v="48"/>
    <x v="1359"/>
    <x v="139"/>
    <x v="2"/>
  </r>
  <r>
    <x v="27"/>
    <x v="1"/>
    <x v="5"/>
    <x v="0"/>
    <x v="5"/>
    <x v="0"/>
    <x v="64"/>
    <x v="6"/>
    <x v="83"/>
    <x v="93"/>
    <x v="305"/>
    <x v="1420"/>
    <x v="1609"/>
    <x v="1536"/>
    <x v="1617"/>
    <x v="1114"/>
    <x v="80"/>
    <x v="77"/>
    <x v="574"/>
    <x v="80"/>
    <x v="0"/>
  </r>
  <r>
    <x v="32"/>
    <x v="1"/>
    <x v="5"/>
    <x v="4"/>
    <x v="2"/>
    <x v="2"/>
    <x v="69"/>
    <x v="46"/>
    <x v="47"/>
    <x v="101"/>
    <x v="235"/>
    <x v="1090"/>
    <x v="1610"/>
    <x v="1537"/>
    <x v="1618"/>
    <x v="1115"/>
    <x v="96"/>
    <x v="11"/>
    <x v="48"/>
    <x v="96"/>
    <x v="1"/>
  </r>
  <r>
    <x v="17"/>
    <x v="0"/>
    <x v="6"/>
    <x v="3"/>
    <x v="4"/>
    <x v="0"/>
    <x v="118"/>
    <x v="3"/>
    <x v="19"/>
    <x v="104"/>
    <x v="249"/>
    <x v="1421"/>
    <x v="1611"/>
    <x v="1538"/>
    <x v="1619"/>
    <x v="857"/>
    <x v="132"/>
    <x v="155"/>
    <x v="430"/>
    <x v="132"/>
    <x v="1"/>
  </r>
  <r>
    <x v="41"/>
    <x v="1"/>
    <x v="5"/>
    <x v="4"/>
    <x v="2"/>
    <x v="3"/>
    <x v="73"/>
    <x v="47"/>
    <x v="47"/>
    <x v="103"/>
    <x v="169"/>
    <x v="1069"/>
    <x v="1612"/>
    <x v="1539"/>
    <x v="1620"/>
    <x v="1062"/>
    <x v="137"/>
    <x v="110"/>
    <x v="1360"/>
    <x v="137"/>
    <x v="2"/>
  </r>
  <r>
    <x v="9"/>
    <x v="0"/>
    <x v="8"/>
    <x v="4"/>
    <x v="5"/>
    <x v="1"/>
    <x v="68"/>
    <x v="4"/>
    <x v="36"/>
    <x v="149"/>
    <x v="145"/>
    <x v="1422"/>
    <x v="1613"/>
    <x v="1540"/>
    <x v="1621"/>
    <x v="531"/>
    <x v="24"/>
    <x v="9"/>
    <x v="767"/>
    <x v="24"/>
    <x v="0"/>
  </r>
  <r>
    <x v="35"/>
    <x v="1"/>
    <x v="4"/>
    <x v="4"/>
    <x v="0"/>
    <x v="1"/>
    <x v="75"/>
    <x v="29"/>
    <x v="71"/>
    <x v="40"/>
    <x v="261"/>
    <x v="1423"/>
    <x v="1614"/>
    <x v="1541"/>
    <x v="1622"/>
    <x v="1116"/>
    <x v="120"/>
    <x v="128"/>
    <x v="1361"/>
    <x v="120"/>
    <x v="2"/>
  </r>
  <r>
    <x v="14"/>
    <x v="0"/>
    <x v="5"/>
    <x v="4"/>
    <x v="4"/>
    <x v="1"/>
    <x v="41"/>
    <x v="62"/>
    <x v="7"/>
    <x v="83"/>
    <x v="439"/>
    <x v="1424"/>
    <x v="1615"/>
    <x v="1542"/>
    <x v="1623"/>
    <x v="128"/>
    <x v="16"/>
    <x v="183"/>
    <x v="1362"/>
    <x v="16"/>
    <x v="2"/>
  </r>
  <r>
    <x v="42"/>
    <x v="1"/>
    <x v="0"/>
    <x v="3"/>
    <x v="2"/>
    <x v="1"/>
    <x v="114"/>
    <x v="30"/>
    <x v="87"/>
    <x v="70"/>
    <x v="225"/>
    <x v="1425"/>
    <x v="1616"/>
    <x v="1543"/>
    <x v="1624"/>
    <x v="342"/>
    <x v="12"/>
    <x v="30"/>
    <x v="867"/>
    <x v="12"/>
    <x v="2"/>
  </r>
  <r>
    <x v="0"/>
    <x v="1"/>
    <x v="6"/>
    <x v="2"/>
    <x v="4"/>
    <x v="0"/>
    <x v="78"/>
    <x v="6"/>
    <x v="68"/>
    <x v="140"/>
    <x v="257"/>
    <x v="1426"/>
    <x v="65"/>
    <x v="1544"/>
    <x v="1625"/>
    <x v="1117"/>
    <x v="21"/>
    <x v="119"/>
    <x v="1363"/>
    <x v="21"/>
    <x v="0"/>
  </r>
  <r>
    <x v="12"/>
    <x v="1"/>
    <x v="7"/>
    <x v="3"/>
    <x v="4"/>
    <x v="3"/>
    <x v="34"/>
    <x v="77"/>
    <x v="23"/>
    <x v="36"/>
    <x v="45"/>
    <x v="1427"/>
    <x v="1617"/>
    <x v="1545"/>
    <x v="1626"/>
    <x v="1118"/>
    <x v="121"/>
    <x v="200"/>
    <x v="1364"/>
    <x v="121"/>
    <x v="0"/>
  </r>
  <r>
    <x v="54"/>
    <x v="1"/>
    <x v="5"/>
    <x v="4"/>
    <x v="4"/>
    <x v="3"/>
    <x v="12"/>
    <x v="21"/>
    <x v="23"/>
    <x v="89"/>
    <x v="29"/>
    <x v="1363"/>
    <x v="1618"/>
    <x v="1546"/>
    <x v="1627"/>
    <x v="16"/>
    <x v="67"/>
    <x v="70"/>
    <x v="1365"/>
    <x v="67"/>
    <x v="0"/>
  </r>
  <r>
    <x v="10"/>
    <x v="0"/>
    <x v="4"/>
    <x v="3"/>
    <x v="0"/>
    <x v="3"/>
    <x v="100"/>
    <x v="69"/>
    <x v="50"/>
    <x v="153"/>
    <x v="216"/>
    <x v="1428"/>
    <x v="1619"/>
    <x v="1547"/>
    <x v="1628"/>
    <x v="217"/>
    <x v="117"/>
    <x v="74"/>
    <x v="49"/>
    <x v="117"/>
    <x v="2"/>
  </r>
  <r>
    <x v="4"/>
    <x v="1"/>
    <x v="5"/>
    <x v="3"/>
    <x v="6"/>
    <x v="0"/>
    <x v="34"/>
    <x v="52"/>
    <x v="40"/>
    <x v="43"/>
    <x v="67"/>
    <x v="1429"/>
    <x v="1620"/>
    <x v="1548"/>
    <x v="1629"/>
    <x v="613"/>
    <x v="75"/>
    <x v="22"/>
    <x v="1366"/>
    <x v="75"/>
    <x v="1"/>
  </r>
  <r>
    <x v="42"/>
    <x v="1"/>
    <x v="2"/>
    <x v="4"/>
    <x v="5"/>
    <x v="0"/>
    <x v="106"/>
    <x v="27"/>
    <x v="7"/>
    <x v="6"/>
    <x v="426"/>
    <x v="1430"/>
    <x v="1621"/>
    <x v="1549"/>
    <x v="1630"/>
    <x v="740"/>
    <x v="63"/>
    <x v="37"/>
    <x v="101"/>
    <x v="63"/>
    <x v="2"/>
  </r>
  <r>
    <x v="33"/>
    <x v="0"/>
    <x v="5"/>
    <x v="3"/>
    <x v="0"/>
    <x v="3"/>
    <x v="87"/>
    <x v="64"/>
    <x v="79"/>
    <x v="80"/>
    <x v="178"/>
    <x v="1431"/>
    <x v="1622"/>
    <x v="1448"/>
    <x v="1631"/>
    <x v="12"/>
    <x v="31"/>
    <x v="21"/>
    <x v="1367"/>
    <x v="31"/>
    <x v="2"/>
  </r>
  <r>
    <x v="3"/>
    <x v="0"/>
    <x v="6"/>
    <x v="3"/>
    <x v="3"/>
    <x v="0"/>
    <x v="15"/>
    <x v="63"/>
    <x v="88"/>
    <x v="102"/>
    <x v="373"/>
    <x v="1432"/>
    <x v="1623"/>
    <x v="1550"/>
    <x v="1632"/>
    <x v="826"/>
    <x v="111"/>
    <x v="106"/>
    <x v="528"/>
    <x v="111"/>
    <x v="0"/>
  </r>
  <r>
    <x v="28"/>
    <x v="1"/>
    <x v="2"/>
    <x v="2"/>
    <x v="6"/>
    <x v="0"/>
    <x v="105"/>
    <x v="57"/>
    <x v="85"/>
    <x v="127"/>
    <x v="329"/>
    <x v="1433"/>
    <x v="1624"/>
    <x v="1551"/>
    <x v="1633"/>
    <x v="23"/>
    <x v="173"/>
    <x v="177"/>
    <x v="1368"/>
    <x v="173"/>
    <x v="0"/>
  </r>
  <r>
    <x v="56"/>
    <x v="1"/>
    <x v="1"/>
    <x v="4"/>
    <x v="1"/>
    <x v="0"/>
    <x v="75"/>
    <x v="71"/>
    <x v="16"/>
    <x v="15"/>
    <x v="411"/>
    <x v="1434"/>
    <x v="1625"/>
    <x v="1552"/>
    <x v="1634"/>
    <x v="27"/>
    <x v="174"/>
    <x v="128"/>
    <x v="1369"/>
    <x v="174"/>
    <x v="2"/>
  </r>
  <r>
    <x v="49"/>
    <x v="1"/>
    <x v="1"/>
    <x v="1"/>
    <x v="3"/>
    <x v="2"/>
    <x v="96"/>
    <x v="14"/>
    <x v="53"/>
    <x v="132"/>
    <x v="201"/>
    <x v="1435"/>
    <x v="1626"/>
    <x v="1553"/>
    <x v="1635"/>
    <x v="702"/>
    <x v="113"/>
    <x v="6"/>
    <x v="1370"/>
    <x v="113"/>
    <x v="1"/>
  </r>
  <r>
    <x v="33"/>
    <x v="1"/>
    <x v="7"/>
    <x v="1"/>
    <x v="5"/>
    <x v="1"/>
    <x v="16"/>
    <x v="10"/>
    <x v="70"/>
    <x v="142"/>
    <x v="285"/>
    <x v="1436"/>
    <x v="1627"/>
    <x v="1541"/>
    <x v="1636"/>
    <x v="441"/>
    <x v="90"/>
    <x v="77"/>
    <x v="465"/>
    <x v="90"/>
    <x v="2"/>
  </r>
  <r>
    <x v="27"/>
    <x v="0"/>
    <x v="5"/>
    <x v="0"/>
    <x v="2"/>
    <x v="2"/>
    <x v="91"/>
    <x v="78"/>
    <x v="56"/>
    <x v="90"/>
    <x v="428"/>
    <x v="553"/>
    <x v="1628"/>
    <x v="867"/>
    <x v="1637"/>
    <x v="639"/>
    <x v="139"/>
    <x v="43"/>
    <x v="486"/>
    <x v="139"/>
    <x v="0"/>
  </r>
  <r>
    <x v="17"/>
    <x v="1"/>
    <x v="5"/>
    <x v="2"/>
    <x v="6"/>
    <x v="0"/>
    <x v="68"/>
    <x v="5"/>
    <x v="54"/>
    <x v="59"/>
    <x v="124"/>
    <x v="1437"/>
    <x v="1629"/>
    <x v="1554"/>
    <x v="1638"/>
    <x v="394"/>
    <x v="34"/>
    <x v="60"/>
    <x v="1244"/>
    <x v="34"/>
    <x v="1"/>
  </r>
  <r>
    <x v="16"/>
    <x v="0"/>
    <x v="3"/>
    <x v="2"/>
    <x v="2"/>
    <x v="3"/>
    <x v="61"/>
    <x v="37"/>
    <x v="88"/>
    <x v="19"/>
    <x v="263"/>
    <x v="1438"/>
    <x v="1630"/>
    <x v="1006"/>
    <x v="1639"/>
    <x v="1119"/>
    <x v="12"/>
    <x v="183"/>
    <x v="1371"/>
    <x v="12"/>
    <x v="0"/>
  </r>
  <r>
    <x v="44"/>
    <x v="1"/>
    <x v="9"/>
    <x v="3"/>
    <x v="0"/>
    <x v="0"/>
    <x v="45"/>
    <x v="2"/>
    <x v="35"/>
    <x v="127"/>
    <x v="88"/>
    <x v="1439"/>
    <x v="1631"/>
    <x v="1555"/>
    <x v="1640"/>
    <x v="1061"/>
    <x v="67"/>
    <x v="96"/>
    <x v="764"/>
    <x v="67"/>
    <x v="2"/>
  </r>
  <r>
    <x v="17"/>
    <x v="1"/>
    <x v="2"/>
    <x v="2"/>
    <x v="0"/>
    <x v="3"/>
    <x v="53"/>
    <x v="57"/>
    <x v="25"/>
    <x v="5"/>
    <x v="89"/>
    <x v="1440"/>
    <x v="1632"/>
    <x v="1556"/>
    <x v="1641"/>
    <x v="1120"/>
    <x v="118"/>
    <x v="218"/>
    <x v="1372"/>
    <x v="118"/>
    <x v="1"/>
  </r>
  <r>
    <x v="16"/>
    <x v="1"/>
    <x v="4"/>
    <x v="4"/>
    <x v="3"/>
    <x v="1"/>
    <x v="29"/>
    <x v="52"/>
    <x v="60"/>
    <x v="95"/>
    <x v="291"/>
    <x v="1441"/>
    <x v="1633"/>
    <x v="1557"/>
    <x v="1642"/>
    <x v="189"/>
    <x v="118"/>
    <x v="71"/>
    <x v="1373"/>
    <x v="118"/>
    <x v="0"/>
  </r>
  <r>
    <x v="16"/>
    <x v="0"/>
    <x v="3"/>
    <x v="1"/>
    <x v="3"/>
    <x v="0"/>
    <x v="65"/>
    <x v="27"/>
    <x v="11"/>
    <x v="40"/>
    <x v="252"/>
    <x v="614"/>
    <x v="1634"/>
    <x v="307"/>
    <x v="1643"/>
    <x v="1121"/>
    <x v="61"/>
    <x v="89"/>
    <x v="1374"/>
    <x v="61"/>
    <x v="0"/>
  </r>
  <r>
    <x v="53"/>
    <x v="0"/>
    <x v="9"/>
    <x v="3"/>
    <x v="2"/>
    <x v="1"/>
    <x v="89"/>
    <x v="68"/>
    <x v="5"/>
    <x v="124"/>
    <x v="332"/>
    <x v="775"/>
    <x v="1635"/>
    <x v="1558"/>
    <x v="1644"/>
    <x v="166"/>
    <x v="2"/>
    <x v="180"/>
    <x v="1375"/>
    <x v="2"/>
    <x v="1"/>
  </r>
  <r>
    <x v="20"/>
    <x v="0"/>
    <x v="7"/>
    <x v="0"/>
    <x v="4"/>
    <x v="3"/>
    <x v="111"/>
    <x v="71"/>
    <x v="45"/>
    <x v="156"/>
    <x v="52"/>
    <x v="1442"/>
    <x v="1636"/>
    <x v="1559"/>
    <x v="1645"/>
    <x v="328"/>
    <x v="49"/>
    <x v="34"/>
    <x v="1376"/>
    <x v="49"/>
    <x v="1"/>
  </r>
  <r>
    <x v="22"/>
    <x v="1"/>
    <x v="8"/>
    <x v="3"/>
    <x v="0"/>
    <x v="1"/>
    <x v="94"/>
    <x v="8"/>
    <x v="79"/>
    <x v="71"/>
    <x v="273"/>
    <x v="1443"/>
    <x v="1637"/>
    <x v="1560"/>
    <x v="1646"/>
    <x v="1122"/>
    <x v="99"/>
    <x v="110"/>
    <x v="757"/>
    <x v="99"/>
    <x v="0"/>
  </r>
  <r>
    <x v="48"/>
    <x v="0"/>
    <x v="5"/>
    <x v="1"/>
    <x v="0"/>
    <x v="2"/>
    <x v="36"/>
    <x v="6"/>
    <x v="21"/>
    <x v="37"/>
    <x v="86"/>
    <x v="1444"/>
    <x v="1638"/>
    <x v="1561"/>
    <x v="1647"/>
    <x v="670"/>
    <x v="26"/>
    <x v="23"/>
    <x v="1377"/>
    <x v="26"/>
    <x v="2"/>
  </r>
  <r>
    <x v="30"/>
    <x v="0"/>
    <x v="0"/>
    <x v="4"/>
    <x v="3"/>
    <x v="1"/>
    <x v="79"/>
    <x v="66"/>
    <x v="42"/>
    <x v="53"/>
    <x v="63"/>
    <x v="65"/>
    <x v="1639"/>
    <x v="1562"/>
    <x v="1648"/>
    <x v="1022"/>
    <x v="94"/>
    <x v="133"/>
    <x v="1378"/>
    <x v="94"/>
    <x v="1"/>
  </r>
  <r>
    <x v="18"/>
    <x v="1"/>
    <x v="2"/>
    <x v="4"/>
    <x v="6"/>
    <x v="0"/>
    <x v="83"/>
    <x v="2"/>
    <x v="75"/>
    <x v="50"/>
    <x v="18"/>
    <x v="51"/>
    <x v="1640"/>
    <x v="1563"/>
    <x v="1649"/>
    <x v="807"/>
    <x v="54"/>
    <x v="223"/>
    <x v="1379"/>
    <x v="54"/>
    <x v="2"/>
  </r>
  <r>
    <x v="30"/>
    <x v="0"/>
    <x v="2"/>
    <x v="3"/>
    <x v="0"/>
    <x v="0"/>
    <x v="73"/>
    <x v="7"/>
    <x v="85"/>
    <x v="78"/>
    <x v="2"/>
    <x v="1445"/>
    <x v="1641"/>
    <x v="1564"/>
    <x v="1650"/>
    <x v="1123"/>
    <x v="42"/>
    <x v="93"/>
    <x v="1380"/>
    <x v="42"/>
    <x v="1"/>
  </r>
  <r>
    <x v="46"/>
    <x v="0"/>
    <x v="1"/>
    <x v="4"/>
    <x v="6"/>
    <x v="2"/>
    <x v="9"/>
    <x v="52"/>
    <x v="77"/>
    <x v="69"/>
    <x v="306"/>
    <x v="1446"/>
    <x v="1642"/>
    <x v="1565"/>
    <x v="1651"/>
    <x v="938"/>
    <x v="70"/>
    <x v="38"/>
    <x v="1381"/>
    <x v="70"/>
    <x v="1"/>
  </r>
  <r>
    <x v="41"/>
    <x v="0"/>
    <x v="2"/>
    <x v="3"/>
    <x v="0"/>
    <x v="2"/>
    <x v="59"/>
    <x v="29"/>
    <x v="39"/>
    <x v="91"/>
    <x v="101"/>
    <x v="150"/>
    <x v="1643"/>
    <x v="1566"/>
    <x v="1652"/>
    <x v="1114"/>
    <x v="105"/>
    <x v="177"/>
    <x v="1382"/>
    <x v="105"/>
    <x v="2"/>
  </r>
  <r>
    <x v="1"/>
    <x v="1"/>
    <x v="2"/>
    <x v="2"/>
    <x v="6"/>
    <x v="3"/>
    <x v="94"/>
    <x v="79"/>
    <x v="71"/>
    <x v="10"/>
    <x v="218"/>
    <x v="1447"/>
    <x v="1644"/>
    <x v="1567"/>
    <x v="1653"/>
    <x v="1124"/>
    <x v="24"/>
    <x v="37"/>
    <x v="1383"/>
    <x v="24"/>
    <x v="1"/>
  </r>
  <r>
    <x v="46"/>
    <x v="0"/>
    <x v="5"/>
    <x v="3"/>
    <x v="1"/>
    <x v="3"/>
    <x v="104"/>
    <x v="15"/>
    <x v="27"/>
    <x v="130"/>
    <x v="28"/>
    <x v="1448"/>
    <x v="1645"/>
    <x v="1568"/>
    <x v="1654"/>
    <x v="1125"/>
    <x v="93"/>
    <x v="156"/>
    <x v="1384"/>
    <x v="93"/>
    <x v="1"/>
  </r>
  <r>
    <x v="43"/>
    <x v="1"/>
    <x v="4"/>
    <x v="4"/>
    <x v="2"/>
    <x v="3"/>
    <x v="16"/>
    <x v="49"/>
    <x v="81"/>
    <x v="75"/>
    <x v="440"/>
    <x v="1449"/>
    <x v="1646"/>
    <x v="1569"/>
    <x v="1655"/>
    <x v="1126"/>
    <x v="84"/>
    <x v="82"/>
    <x v="1385"/>
    <x v="84"/>
    <x v="2"/>
  </r>
  <r>
    <x v="26"/>
    <x v="0"/>
    <x v="3"/>
    <x v="2"/>
    <x v="5"/>
    <x v="0"/>
    <x v="81"/>
    <x v="25"/>
    <x v="87"/>
    <x v="89"/>
    <x v="111"/>
    <x v="1450"/>
    <x v="1647"/>
    <x v="1570"/>
    <x v="1656"/>
    <x v="1127"/>
    <x v="22"/>
    <x v="21"/>
    <x v="1386"/>
    <x v="22"/>
    <x v="2"/>
  </r>
  <r>
    <x v="24"/>
    <x v="0"/>
    <x v="7"/>
    <x v="1"/>
    <x v="1"/>
    <x v="0"/>
    <x v="90"/>
    <x v="39"/>
    <x v="68"/>
    <x v="124"/>
    <x v="421"/>
    <x v="1451"/>
    <x v="1648"/>
    <x v="1571"/>
    <x v="1657"/>
    <x v="1128"/>
    <x v="101"/>
    <x v="159"/>
    <x v="1387"/>
    <x v="101"/>
    <x v="1"/>
  </r>
  <r>
    <x v="46"/>
    <x v="1"/>
    <x v="2"/>
    <x v="0"/>
    <x v="0"/>
    <x v="2"/>
    <x v="43"/>
    <x v="14"/>
    <x v="23"/>
    <x v="51"/>
    <x v="427"/>
    <x v="1452"/>
    <x v="1649"/>
    <x v="1572"/>
    <x v="1658"/>
    <x v="1129"/>
    <x v="81"/>
    <x v="165"/>
    <x v="1388"/>
    <x v="81"/>
    <x v="1"/>
  </r>
  <r>
    <x v="57"/>
    <x v="1"/>
    <x v="9"/>
    <x v="3"/>
    <x v="0"/>
    <x v="3"/>
    <x v="63"/>
    <x v="74"/>
    <x v="34"/>
    <x v="106"/>
    <x v="241"/>
    <x v="1453"/>
    <x v="1650"/>
    <x v="1573"/>
    <x v="1659"/>
    <x v="304"/>
    <x v="112"/>
    <x v="183"/>
    <x v="1389"/>
    <x v="112"/>
    <x v="0"/>
  </r>
  <r>
    <x v="11"/>
    <x v="1"/>
    <x v="6"/>
    <x v="4"/>
    <x v="1"/>
    <x v="2"/>
    <x v="18"/>
    <x v="10"/>
    <x v="45"/>
    <x v="55"/>
    <x v="313"/>
    <x v="1454"/>
    <x v="1651"/>
    <x v="1574"/>
    <x v="1660"/>
    <x v="241"/>
    <x v="35"/>
    <x v="117"/>
    <x v="1390"/>
    <x v="35"/>
    <x v="1"/>
  </r>
  <r>
    <x v="46"/>
    <x v="0"/>
    <x v="0"/>
    <x v="3"/>
    <x v="5"/>
    <x v="2"/>
    <x v="28"/>
    <x v="49"/>
    <x v="81"/>
    <x v="2"/>
    <x v="242"/>
    <x v="1455"/>
    <x v="1652"/>
    <x v="1575"/>
    <x v="1661"/>
    <x v="412"/>
    <x v="15"/>
    <x v="53"/>
    <x v="1391"/>
    <x v="15"/>
    <x v="1"/>
  </r>
  <r>
    <x v="26"/>
    <x v="1"/>
    <x v="3"/>
    <x v="0"/>
    <x v="4"/>
    <x v="2"/>
    <x v="1"/>
    <x v="66"/>
    <x v="2"/>
    <x v="135"/>
    <x v="22"/>
    <x v="1400"/>
    <x v="1653"/>
    <x v="1576"/>
    <x v="1662"/>
    <x v="176"/>
    <x v="15"/>
    <x v="81"/>
    <x v="1111"/>
    <x v="15"/>
    <x v="2"/>
  </r>
  <r>
    <x v="26"/>
    <x v="1"/>
    <x v="1"/>
    <x v="4"/>
    <x v="3"/>
    <x v="1"/>
    <x v="108"/>
    <x v="64"/>
    <x v="38"/>
    <x v="38"/>
    <x v="302"/>
    <x v="1456"/>
    <x v="1654"/>
    <x v="1577"/>
    <x v="1663"/>
    <x v="846"/>
    <x v="160"/>
    <x v="88"/>
    <x v="1392"/>
    <x v="160"/>
    <x v="2"/>
  </r>
  <r>
    <x v="57"/>
    <x v="0"/>
    <x v="4"/>
    <x v="0"/>
    <x v="6"/>
    <x v="3"/>
    <x v="101"/>
    <x v="74"/>
    <x v="26"/>
    <x v="58"/>
    <x v="231"/>
    <x v="466"/>
    <x v="1655"/>
    <x v="1578"/>
    <x v="1664"/>
    <x v="365"/>
    <x v="13"/>
    <x v="218"/>
    <x v="1393"/>
    <x v="13"/>
    <x v="0"/>
  </r>
  <r>
    <x v="12"/>
    <x v="1"/>
    <x v="4"/>
    <x v="0"/>
    <x v="5"/>
    <x v="3"/>
    <x v="11"/>
    <x v="34"/>
    <x v="86"/>
    <x v="14"/>
    <x v="404"/>
    <x v="735"/>
    <x v="1656"/>
    <x v="1579"/>
    <x v="1665"/>
    <x v="1130"/>
    <x v="158"/>
    <x v="78"/>
    <x v="1394"/>
    <x v="158"/>
    <x v="0"/>
  </r>
  <r>
    <x v="15"/>
    <x v="1"/>
    <x v="2"/>
    <x v="2"/>
    <x v="4"/>
    <x v="2"/>
    <x v="116"/>
    <x v="57"/>
    <x v="31"/>
    <x v="32"/>
    <x v="361"/>
    <x v="1457"/>
    <x v="1657"/>
    <x v="1580"/>
    <x v="1666"/>
    <x v="887"/>
    <x v="3"/>
    <x v="19"/>
    <x v="1395"/>
    <x v="3"/>
    <x v="2"/>
  </r>
  <r>
    <x v="54"/>
    <x v="0"/>
    <x v="4"/>
    <x v="4"/>
    <x v="1"/>
    <x v="3"/>
    <x v="57"/>
    <x v="39"/>
    <x v="52"/>
    <x v="117"/>
    <x v="326"/>
    <x v="1458"/>
    <x v="1658"/>
    <x v="1581"/>
    <x v="1667"/>
    <x v="812"/>
    <x v="94"/>
    <x v="13"/>
    <x v="1396"/>
    <x v="94"/>
    <x v="0"/>
  </r>
  <r>
    <x v="22"/>
    <x v="1"/>
    <x v="3"/>
    <x v="1"/>
    <x v="0"/>
    <x v="2"/>
    <x v="34"/>
    <x v="78"/>
    <x v="73"/>
    <x v="96"/>
    <x v="62"/>
    <x v="288"/>
    <x v="1659"/>
    <x v="1582"/>
    <x v="1668"/>
    <x v="271"/>
    <x v="77"/>
    <x v="190"/>
    <x v="1397"/>
    <x v="77"/>
    <x v="0"/>
  </r>
  <r>
    <x v="36"/>
    <x v="1"/>
    <x v="5"/>
    <x v="2"/>
    <x v="4"/>
    <x v="2"/>
    <x v="107"/>
    <x v="59"/>
    <x v="35"/>
    <x v="144"/>
    <x v="154"/>
    <x v="1459"/>
    <x v="1660"/>
    <x v="1583"/>
    <x v="1669"/>
    <x v="893"/>
    <x v="46"/>
    <x v="42"/>
    <x v="688"/>
    <x v="46"/>
    <x v="1"/>
  </r>
  <r>
    <x v="2"/>
    <x v="1"/>
    <x v="9"/>
    <x v="2"/>
    <x v="3"/>
    <x v="3"/>
    <x v="58"/>
    <x v="10"/>
    <x v="66"/>
    <x v="64"/>
    <x v="91"/>
    <x v="1460"/>
    <x v="1661"/>
    <x v="1584"/>
    <x v="1670"/>
    <x v="291"/>
    <x v="21"/>
    <x v="99"/>
    <x v="1398"/>
    <x v="21"/>
    <x v="2"/>
  </r>
  <r>
    <x v="17"/>
    <x v="0"/>
    <x v="8"/>
    <x v="0"/>
    <x v="3"/>
    <x v="3"/>
    <x v="99"/>
    <x v="62"/>
    <x v="35"/>
    <x v="76"/>
    <x v="284"/>
    <x v="1461"/>
    <x v="1662"/>
    <x v="1585"/>
    <x v="1671"/>
    <x v="1131"/>
    <x v="3"/>
    <x v="102"/>
    <x v="1399"/>
    <x v="3"/>
    <x v="1"/>
  </r>
  <r>
    <x v="6"/>
    <x v="0"/>
    <x v="1"/>
    <x v="3"/>
    <x v="2"/>
    <x v="3"/>
    <x v="10"/>
    <x v="35"/>
    <x v="51"/>
    <x v="113"/>
    <x v="101"/>
    <x v="1462"/>
    <x v="1663"/>
    <x v="1586"/>
    <x v="1672"/>
    <x v="1132"/>
    <x v="95"/>
    <x v="6"/>
    <x v="1400"/>
    <x v="95"/>
    <x v="2"/>
  </r>
  <r>
    <x v="5"/>
    <x v="1"/>
    <x v="6"/>
    <x v="4"/>
    <x v="3"/>
    <x v="3"/>
    <x v="82"/>
    <x v="7"/>
    <x v="59"/>
    <x v="115"/>
    <x v="135"/>
    <x v="1077"/>
    <x v="1664"/>
    <x v="1423"/>
    <x v="1673"/>
    <x v="1133"/>
    <x v="87"/>
    <x v="8"/>
    <x v="1401"/>
    <x v="87"/>
    <x v="2"/>
  </r>
  <r>
    <x v="46"/>
    <x v="1"/>
    <x v="4"/>
    <x v="4"/>
    <x v="6"/>
    <x v="0"/>
    <x v="23"/>
    <x v="6"/>
    <x v="38"/>
    <x v="71"/>
    <x v="338"/>
    <x v="1463"/>
    <x v="1665"/>
    <x v="1587"/>
    <x v="1674"/>
    <x v="986"/>
    <x v="38"/>
    <x v="207"/>
    <x v="985"/>
    <x v="38"/>
    <x v="1"/>
  </r>
  <r>
    <x v="30"/>
    <x v="1"/>
    <x v="7"/>
    <x v="0"/>
    <x v="4"/>
    <x v="3"/>
    <x v="75"/>
    <x v="0"/>
    <x v="18"/>
    <x v="138"/>
    <x v="39"/>
    <x v="1464"/>
    <x v="1666"/>
    <x v="1588"/>
    <x v="1675"/>
    <x v="1134"/>
    <x v="49"/>
    <x v="65"/>
    <x v="923"/>
    <x v="49"/>
    <x v="1"/>
  </r>
  <r>
    <x v="44"/>
    <x v="1"/>
    <x v="2"/>
    <x v="1"/>
    <x v="2"/>
    <x v="3"/>
    <x v="32"/>
    <x v="6"/>
    <x v="74"/>
    <x v="143"/>
    <x v="95"/>
    <x v="80"/>
    <x v="1667"/>
    <x v="309"/>
    <x v="1676"/>
    <x v="388"/>
    <x v="178"/>
    <x v="67"/>
    <x v="1272"/>
    <x v="178"/>
    <x v="2"/>
  </r>
  <r>
    <x v="50"/>
    <x v="0"/>
    <x v="4"/>
    <x v="4"/>
    <x v="2"/>
    <x v="3"/>
    <x v="69"/>
    <x v="73"/>
    <x v="86"/>
    <x v="63"/>
    <x v="48"/>
    <x v="1465"/>
    <x v="1668"/>
    <x v="1589"/>
    <x v="1677"/>
    <x v="885"/>
    <x v="101"/>
    <x v="224"/>
    <x v="401"/>
    <x v="101"/>
    <x v="2"/>
  </r>
  <r>
    <x v="39"/>
    <x v="0"/>
    <x v="9"/>
    <x v="2"/>
    <x v="4"/>
    <x v="0"/>
    <x v="97"/>
    <x v="78"/>
    <x v="46"/>
    <x v="113"/>
    <x v="266"/>
    <x v="1466"/>
    <x v="1669"/>
    <x v="1590"/>
    <x v="1678"/>
    <x v="1135"/>
    <x v="79"/>
    <x v="106"/>
    <x v="1402"/>
    <x v="79"/>
    <x v="2"/>
  </r>
  <r>
    <x v="27"/>
    <x v="1"/>
    <x v="8"/>
    <x v="1"/>
    <x v="1"/>
    <x v="3"/>
    <x v="92"/>
    <x v="37"/>
    <x v="27"/>
    <x v="81"/>
    <x v="356"/>
    <x v="1467"/>
    <x v="1670"/>
    <x v="1591"/>
    <x v="1232"/>
    <x v="798"/>
    <x v="115"/>
    <x v="219"/>
    <x v="1403"/>
    <x v="115"/>
    <x v="0"/>
  </r>
  <r>
    <x v="0"/>
    <x v="0"/>
    <x v="6"/>
    <x v="3"/>
    <x v="5"/>
    <x v="2"/>
    <x v="97"/>
    <x v="45"/>
    <x v="78"/>
    <x v="104"/>
    <x v="145"/>
    <x v="1468"/>
    <x v="1671"/>
    <x v="1592"/>
    <x v="1679"/>
    <x v="1136"/>
    <x v="10"/>
    <x v="85"/>
    <x v="1404"/>
    <x v="10"/>
    <x v="0"/>
  </r>
  <r>
    <x v="11"/>
    <x v="0"/>
    <x v="4"/>
    <x v="2"/>
    <x v="5"/>
    <x v="3"/>
    <x v="29"/>
    <x v="43"/>
    <x v="58"/>
    <x v="110"/>
    <x v="436"/>
    <x v="1469"/>
    <x v="1672"/>
    <x v="1593"/>
    <x v="1680"/>
    <x v="461"/>
    <x v="112"/>
    <x v="209"/>
    <x v="91"/>
    <x v="112"/>
    <x v="1"/>
  </r>
  <r>
    <x v="34"/>
    <x v="0"/>
    <x v="0"/>
    <x v="2"/>
    <x v="3"/>
    <x v="0"/>
    <x v="74"/>
    <x v="57"/>
    <x v="1"/>
    <x v="157"/>
    <x v="392"/>
    <x v="1470"/>
    <x v="1673"/>
    <x v="1594"/>
    <x v="1681"/>
    <x v="420"/>
    <x v="94"/>
    <x v="8"/>
    <x v="1405"/>
    <x v="94"/>
    <x v="2"/>
  </r>
  <r>
    <x v="42"/>
    <x v="1"/>
    <x v="9"/>
    <x v="2"/>
    <x v="3"/>
    <x v="2"/>
    <x v="50"/>
    <x v="43"/>
    <x v="0"/>
    <x v="65"/>
    <x v="143"/>
    <x v="1102"/>
    <x v="1674"/>
    <x v="1595"/>
    <x v="1682"/>
    <x v="1137"/>
    <x v="173"/>
    <x v="9"/>
    <x v="1406"/>
    <x v="173"/>
    <x v="2"/>
  </r>
  <r>
    <x v="46"/>
    <x v="1"/>
    <x v="8"/>
    <x v="2"/>
    <x v="0"/>
    <x v="2"/>
    <x v="11"/>
    <x v="67"/>
    <x v="35"/>
    <x v="32"/>
    <x v="143"/>
    <x v="1471"/>
    <x v="1675"/>
    <x v="1596"/>
    <x v="1683"/>
    <x v="911"/>
    <x v="120"/>
    <x v="61"/>
    <x v="1407"/>
    <x v="120"/>
    <x v="1"/>
  </r>
  <r>
    <x v="39"/>
    <x v="1"/>
    <x v="3"/>
    <x v="3"/>
    <x v="2"/>
    <x v="2"/>
    <x v="21"/>
    <x v="28"/>
    <x v="47"/>
    <x v="75"/>
    <x v="127"/>
    <x v="1472"/>
    <x v="1676"/>
    <x v="1597"/>
    <x v="1684"/>
    <x v="265"/>
    <x v="186"/>
    <x v="84"/>
    <x v="1408"/>
    <x v="186"/>
    <x v="2"/>
  </r>
  <r>
    <x v="26"/>
    <x v="1"/>
    <x v="0"/>
    <x v="1"/>
    <x v="3"/>
    <x v="0"/>
    <x v="76"/>
    <x v="22"/>
    <x v="63"/>
    <x v="107"/>
    <x v="69"/>
    <x v="1473"/>
    <x v="1677"/>
    <x v="1598"/>
    <x v="1685"/>
    <x v="1119"/>
    <x v="23"/>
    <x v="66"/>
    <x v="1409"/>
    <x v="23"/>
    <x v="2"/>
  </r>
  <r>
    <x v="4"/>
    <x v="1"/>
    <x v="0"/>
    <x v="3"/>
    <x v="0"/>
    <x v="0"/>
    <x v="93"/>
    <x v="47"/>
    <x v="7"/>
    <x v="11"/>
    <x v="441"/>
    <x v="1474"/>
    <x v="1678"/>
    <x v="1599"/>
    <x v="1686"/>
    <x v="555"/>
    <x v="33"/>
    <x v="84"/>
    <x v="455"/>
    <x v="33"/>
    <x v="1"/>
  </r>
  <r>
    <x v="3"/>
    <x v="1"/>
    <x v="0"/>
    <x v="3"/>
    <x v="4"/>
    <x v="1"/>
    <x v="45"/>
    <x v="58"/>
    <x v="4"/>
    <x v="94"/>
    <x v="167"/>
    <x v="1379"/>
    <x v="1679"/>
    <x v="1600"/>
    <x v="1687"/>
    <x v="1138"/>
    <x v="166"/>
    <x v="90"/>
    <x v="392"/>
    <x v="166"/>
    <x v="0"/>
  </r>
  <r>
    <x v="55"/>
    <x v="1"/>
    <x v="6"/>
    <x v="4"/>
    <x v="1"/>
    <x v="0"/>
    <x v="6"/>
    <x v="10"/>
    <x v="62"/>
    <x v="7"/>
    <x v="303"/>
    <x v="1475"/>
    <x v="1680"/>
    <x v="194"/>
    <x v="1688"/>
    <x v="531"/>
    <x v="56"/>
    <x v="33"/>
    <x v="1410"/>
    <x v="56"/>
    <x v="2"/>
  </r>
  <r>
    <x v="35"/>
    <x v="0"/>
    <x v="2"/>
    <x v="2"/>
    <x v="5"/>
    <x v="1"/>
    <x v="74"/>
    <x v="11"/>
    <x v="70"/>
    <x v="29"/>
    <x v="185"/>
    <x v="1476"/>
    <x v="1681"/>
    <x v="1601"/>
    <x v="1689"/>
    <x v="1139"/>
    <x v="160"/>
    <x v="69"/>
    <x v="1411"/>
    <x v="160"/>
    <x v="2"/>
  </r>
  <r>
    <x v="37"/>
    <x v="1"/>
    <x v="9"/>
    <x v="2"/>
    <x v="0"/>
    <x v="0"/>
    <x v="31"/>
    <x v="47"/>
    <x v="46"/>
    <x v="40"/>
    <x v="417"/>
    <x v="1477"/>
    <x v="1682"/>
    <x v="1602"/>
    <x v="1690"/>
    <x v="985"/>
    <x v="41"/>
    <x v="24"/>
    <x v="1412"/>
    <x v="41"/>
    <x v="2"/>
  </r>
  <r>
    <x v="31"/>
    <x v="0"/>
    <x v="9"/>
    <x v="4"/>
    <x v="1"/>
    <x v="3"/>
    <x v="92"/>
    <x v="14"/>
    <x v="54"/>
    <x v="159"/>
    <x v="278"/>
    <x v="1478"/>
    <x v="1683"/>
    <x v="1603"/>
    <x v="1691"/>
    <x v="1140"/>
    <x v="74"/>
    <x v="105"/>
    <x v="1413"/>
    <x v="74"/>
    <x v="2"/>
  </r>
  <r>
    <x v="2"/>
    <x v="0"/>
    <x v="0"/>
    <x v="4"/>
    <x v="2"/>
    <x v="3"/>
    <x v="17"/>
    <x v="15"/>
    <x v="18"/>
    <x v="51"/>
    <x v="390"/>
    <x v="1479"/>
    <x v="1684"/>
    <x v="1604"/>
    <x v="1692"/>
    <x v="758"/>
    <x v="0"/>
    <x v="202"/>
    <x v="543"/>
    <x v="0"/>
    <x v="2"/>
  </r>
  <r>
    <x v="43"/>
    <x v="0"/>
    <x v="4"/>
    <x v="1"/>
    <x v="0"/>
    <x v="2"/>
    <x v="49"/>
    <x v="0"/>
    <x v="28"/>
    <x v="111"/>
    <x v="128"/>
    <x v="732"/>
    <x v="1685"/>
    <x v="936"/>
    <x v="1693"/>
    <x v="1141"/>
    <x v="70"/>
    <x v="187"/>
    <x v="1414"/>
    <x v="70"/>
    <x v="2"/>
  </r>
  <r>
    <x v="11"/>
    <x v="0"/>
    <x v="1"/>
    <x v="0"/>
    <x v="4"/>
    <x v="1"/>
    <x v="48"/>
    <x v="32"/>
    <x v="58"/>
    <x v="94"/>
    <x v="11"/>
    <x v="1480"/>
    <x v="1686"/>
    <x v="1605"/>
    <x v="1694"/>
    <x v="266"/>
    <x v="127"/>
    <x v="141"/>
    <x v="91"/>
    <x v="127"/>
    <x v="1"/>
  </r>
  <r>
    <x v="55"/>
    <x v="0"/>
    <x v="9"/>
    <x v="2"/>
    <x v="1"/>
    <x v="1"/>
    <x v="113"/>
    <x v="11"/>
    <x v="43"/>
    <x v="138"/>
    <x v="331"/>
    <x v="1481"/>
    <x v="1687"/>
    <x v="1606"/>
    <x v="1695"/>
    <x v="252"/>
    <x v="66"/>
    <x v="35"/>
    <x v="1415"/>
    <x v="66"/>
    <x v="2"/>
  </r>
  <r>
    <x v="21"/>
    <x v="1"/>
    <x v="2"/>
    <x v="2"/>
    <x v="5"/>
    <x v="3"/>
    <x v="33"/>
    <x v="0"/>
    <x v="75"/>
    <x v="126"/>
    <x v="238"/>
    <x v="1482"/>
    <x v="1688"/>
    <x v="1112"/>
    <x v="1696"/>
    <x v="1142"/>
    <x v="172"/>
    <x v="153"/>
    <x v="1416"/>
    <x v="172"/>
    <x v="0"/>
  </r>
  <r>
    <x v="23"/>
    <x v="0"/>
    <x v="8"/>
    <x v="0"/>
    <x v="6"/>
    <x v="3"/>
    <x v="91"/>
    <x v="27"/>
    <x v="25"/>
    <x v="27"/>
    <x v="330"/>
    <x v="921"/>
    <x v="1689"/>
    <x v="466"/>
    <x v="1697"/>
    <x v="1143"/>
    <x v="10"/>
    <x v="133"/>
    <x v="1417"/>
    <x v="10"/>
    <x v="1"/>
  </r>
  <r>
    <x v="24"/>
    <x v="1"/>
    <x v="3"/>
    <x v="3"/>
    <x v="2"/>
    <x v="3"/>
    <x v="89"/>
    <x v="79"/>
    <x v="46"/>
    <x v="14"/>
    <x v="268"/>
    <x v="1483"/>
    <x v="1690"/>
    <x v="1607"/>
    <x v="1698"/>
    <x v="75"/>
    <x v="46"/>
    <x v="61"/>
    <x v="1418"/>
    <x v="46"/>
    <x v="1"/>
  </r>
  <r>
    <x v="6"/>
    <x v="0"/>
    <x v="3"/>
    <x v="3"/>
    <x v="0"/>
    <x v="0"/>
    <x v="39"/>
    <x v="59"/>
    <x v="69"/>
    <x v="95"/>
    <x v="142"/>
    <x v="1484"/>
    <x v="1691"/>
    <x v="846"/>
    <x v="1699"/>
    <x v="1144"/>
    <x v="167"/>
    <x v="80"/>
    <x v="1419"/>
    <x v="167"/>
    <x v="2"/>
  </r>
  <r>
    <x v="38"/>
    <x v="1"/>
    <x v="7"/>
    <x v="4"/>
    <x v="1"/>
    <x v="2"/>
    <x v="88"/>
    <x v="9"/>
    <x v="45"/>
    <x v="14"/>
    <x v="120"/>
    <x v="1485"/>
    <x v="1692"/>
    <x v="1608"/>
    <x v="1700"/>
    <x v="1145"/>
    <x v="55"/>
    <x v="160"/>
    <x v="711"/>
    <x v="55"/>
    <x v="2"/>
  </r>
  <r>
    <x v="50"/>
    <x v="1"/>
    <x v="3"/>
    <x v="0"/>
    <x v="2"/>
    <x v="1"/>
    <x v="35"/>
    <x v="17"/>
    <x v="59"/>
    <x v="129"/>
    <x v="419"/>
    <x v="1486"/>
    <x v="1693"/>
    <x v="1609"/>
    <x v="1701"/>
    <x v="1146"/>
    <x v="149"/>
    <x v="81"/>
    <x v="1420"/>
    <x v="149"/>
    <x v="2"/>
  </r>
  <r>
    <x v="59"/>
    <x v="0"/>
    <x v="2"/>
    <x v="3"/>
    <x v="2"/>
    <x v="1"/>
    <x v="36"/>
    <x v="74"/>
    <x v="5"/>
    <x v="139"/>
    <x v="442"/>
    <x v="1487"/>
    <x v="1694"/>
    <x v="1610"/>
    <x v="1702"/>
    <x v="1147"/>
    <x v="110"/>
    <x v="77"/>
    <x v="1182"/>
    <x v="110"/>
    <x v="0"/>
  </r>
  <r>
    <x v="34"/>
    <x v="1"/>
    <x v="9"/>
    <x v="3"/>
    <x v="2"/>
    <x v="2"/>
    <x v="106"/>
    <x v="22"/>
    <x v="40"/>
    <x v="82"/>
    <x v="387"/>
    <x v="1488"/>
    <x v="1695"/>
    <x v="1611"/>
    <x v="1703"/>
    <x v="1148"/>
    <x v="3"/>
    <x v="137"/>
    <x v="148"/>
    <x v="3"/>
    <x v="2"/>
  </r>
  <r>
    <x v="13"/>
    <x v="0"/>
    <x v="5"/>
    <x v="2"/>
    <x v="2"/>
    <x v="0"/>
    <x v="34"/>
    <x v="15"/>
    <x v="52"/>
    <x v="26"/>
    <x v="286"/>
    <x v="1489"/>
    <x v="1696"/>
    <x v="1612"/>
    <x v="1704"/>
    <x v="1149"/>
    <x v="56"/>
    <x v="105"/>
    <x v="1421"/>
    <x v="56"/>
    <x v="2"/>
  </r>
  <r>
    <x v="1"/>
    <x v="1"/>
    <x v="8"/>
    <x v="2"/>
    <x v="0"/>
    <x v="0"/>
    <x v="78"/>
    <x v="73"/>
    <x v="45"/>
    <x v="111"/>
    <x v="391"/>
    <x v="1490"/>
    <x v="1697"/>
    <x v="273"/>
    <x v="1705"/>
    <x v="1150"/>
    <x v="129"/>
    <x v="206"/>
    <x v="435"/>
    <x v="129"/>
    <x v="1"/>
  </r>
  <r>
    <x v="22"/>
    <x v="1"/>
    <x v="7"/>
    <x v="4"/>
    <x v="2"/>
    <x v="2"/>
    <x v="12"/>
    <x v="51"/>
    <x v="67"/>
    <x v="89"/>
    <x v="149"/>
    <x v="1491"/>
    <x v="1698"/>
    <x v="1613"/>
    <x v="1706"/>
    <x v="402"/>
    <x v="127"/>
    <x v="160"/>
    <x v="1422"/>
    <x v="127"/>
    <x v="0"/>
  </r>
  <r>
    <x v="33"/>
    <x v="1"/>
    <x v="3"/>
    <x v="2"/>
    <x v="1"/>
    <x v="2"/>
    <x v="25"/>
    <x v="76"/>
    <x v="32"/>
    <x v="37"/>
    <x v="278"/>
    <x v="1492"/>
    <x v="1699"/>
    <x v="1614"/>
    <x v="1707"/>
    <x v="1069"/>
    <x v="98"/>
    <x v="70"/>
    <x v="1423"/>
    <x v="98"/>
    <x v="2"/>
  </r>
  <r>
    <x v="46"/>
    <x v="0"/>
    <x v="0"/>
    <x v="0"/>
    <x v="2"/>
    <x v="2"/>
    <x v="80"/>
    <x v="52"/>
    <x v="34"/>
    <x v="9"/>
    <x v="159"/>
    <x v="1493"/>
    <x v="1700"/>
    <x v="1615"/>
    <x v="1708"/>
    <x v="1151"/>
    <x v="141"/>
    <x v="129"/>
    <x v="1424"/>
    <x v="141"/>
    <x v="1"/>
  </r>
  <r>
    <x v="24"/>
    <x v="0"/>
    <x v="2"/>
    <x v="4"/>
    <x v="4"/>
    <x v="0"/>
    <x v="97"/>
    <x v="52"/>
    <x v="76"/>
    <x v="116"/>
    <x v="51"/>
    <x v="540"/>
    <x v="1701"/>
    <x v="1616"/>
    <x v="1709"/>
    <x v="712"/>
    <x v="98"/>
    <x v="103"/>
    <x v="1425"/>
    <x v="98"/>
    <x v="1"/>
  </r>
  <r>
    <x v="0"/>
    <x v="0"/>
    <x v="9"/>
    <x v="0"/>
    <x v="3"/>
    <x v="2"/>
    <x v="72"/>
    <x v="23"/>
    <x v="69"/>
    <x v="20"/>
    <x v="299"/>
    <x v="1494"/>
    <x v="1702"/>
    <x v="1617"/>
    <x v="1710"/>
    <x v="1152"/>
    <x v="71"/>
    <x v="60"/>
    <x v="1426"/>
    <x v="71"/>
    <x v="0"/>
  </r>
  <r>
    <x v="21"/>
    <x v="1"/>
    <x v="6"/>
    <x v="1"/>
    <x v="3"/>
    <x v="2"/>
    <x v="91"/>
    <x v="35"/>
    <x v="49"/>
    <x v="135"/>
    <x v="64"/>
    <x v="1495"/>
    <x v="1703"/>
    <x v="643"/>
    <x v="1711"/>
    <x v="18"/>
    <x v="66"/>
    <x v="124"/>
    <x v="384"/>
    <x v="66"/>
    <x v="0"/>
  </r>
  <r>
    <x v="55"/>
    <x v="1"/>
    <x v="9"/>
    <x v="3"/>
    <x v="0"/>
    <x v="3"/>
    <x v="107"/>
    <x v="30"/>
    <x v="53"/>
    <x v="65"/>
    <x v="146"/>
    <x v="1012"/>
    <x v="1704"/>
    <x v="1618"/>
    <x v="1712"/>
    <x v="1153"/>
    <x v="3"/>
    <x v="163"/>
    <x v="744"/>
    <x v="3"/>
    <x v="2"/>
  </r>
  <r>
    <x v="35"/>
    <x v="1"/>
    <x v="0"/>
    <x v="1"/>
    <x v="1"/>
    <x v="1"/>
    <x v="86"/>
    <x v="31"/>
    <x v="47"/>
    <x v="66"/>
    <x v="159"/>
    <x v="1211"/>
    <x v="1705"/>
    <x v="1619"/>
    <x v="1713"/>
    <x v="829"/>
    <x v="30"/>
    <x v="112"/>
    <x v="798"/>
    <x v="30"/>
    <x v="2"/>
  </r>
  <r>
    <x v="26"/>
    <x v="1"/>
    <x v="6"/>
    <x v="3"/>
    <x v="4"/>
    <x v="2"/>
    <x v="0"/>
    <x v="1"/>
    <x v="69"/>
    <x v="105"/>
    <x v="193"/>
    <x v="1496"/>
    <x v="1706"/>
    <x v="1620"/>
    <x v="1714"/>
    <x v="52"/>
    <x v="126"/>
    <x v="194"/>
    <x v="1427"/>
    <x v="126"/>
    <x v="2"/>
  </r>
  <r>
    <x v="51"/>
    <x v="0"/>
    <x v="5"/>
    <x v="0"/>
    <x v="5"/>
    <x v="1"/>
    <x v="57"/>
    <x v="29"/>
    <x v="82"/>
    <x v="79"/>
    <x v="105"/>
    <x v="1497"/>
    <x v="1707"/>
    <x v="1621"/>
    <x v="1715"/>
    <x v="1154"/>
    <x v="189"/>
    <x v="51"/>
    <x v="1428"/>
    <x v="189"/>
    <x v="2"/>
  </r>
  <r>
    <x v="51"/>
    <x v="0"/>
    <x v="9"/>
    <x v="1"/>
    <x v="3"/>
    <x v="3"/>
    <x v="44"/>
    <x v="60"/>
    <x v="45"/>
    <x v="116"/>
    <x v="117"/>
    <x v="1498"/>
    <x v="1708"/>
    <x v="1622"/>
    <x v="1716"/>
    <x v="1155"/>
    <x v="74"/>
    <x v="114"/>
    <x v="1429"/>
    <x v="74"/>
    <x v="2"/>
  </r>
  <r>
    <x v="16"/>
    <x v="0"/>
    <x v="4"/>
    <x v="2"/>
    <x v="6"/>
    <x v="1"/>
    <x v="103"/>
    <x v="56"/>
    <x v="89"/>
    <x v="51"/>
    <x v="97"/>
    <x v="1499"/>
    <x v="1709"/>
    <x v="1623"/>
    <x v="1717"/>
    <x v="18"/>
    <x v="160"/>
    <x v="61"/>
    <x v="1430"/>
    <x v="160"/>
    <x v="0"/>
  </r>
  <r>
    <x v="48"/>
    <x v="1"/>
    <x v="8"/>
    <x v="1"/>
    <x v="0"/>
    <x v="2"/>
    <x v="87"/>
    <x v="22"/>
    <x v="82"/>
    <x v="79"/>
    <x v="231"/>
    <x v="1500"/>
    <x v="1710"/>
    <x v="1624"/>
    <x v="1718"/>
    <x v="229"/>
    <x v="88"/>
    <x v="67"/>
    <x v="226"/>
    <x v="88"/>
    <x v="2"/>
  </r>
  <r>
    <x v="32"/>
    <x v="1"/>
    <x v="2"/>
    <x v="3"/>
    <x v="4"/>
    <x v="1"/>
    <x v="76"/>
    <x v="66"/>
    <x v="66"/>
    <x v="34"/>
    <x v="434"/>
    <x v="1501"/>
    <x v="1711"/>
    <x v="1625"/>
    <x v="1719"/>
    <x v="1156"/>
    <x v="10"/>
    <x v="165"/>
    <x v="1431"/>
    <x v="10"/>
    <x v="1"/>
  </r>
  <r>
    <x v="10"/>
    <x v="0"/>
    <x v="7"/>
    <x v="4"/>
    <x v="6"/>
    <x v="3"/>
    <x v="60"/>
    <x v="38"/>
    <x v="70"/>
    <x v="58"/>
    <x v="137"/>
    <x v="1502"/>
    <x v="1712"/>
    <x v="1626"/>
    <x v="1720"/>
    <x v="1157"/>
    <x v="53"/>
    <x v="102"/>
    <x v="1432"/>
    <x v="53"/>
    <x v="2"/>
  </r>
  <r>
    <x v="22"/>
    <x v="0"/>
    <x v="9"/>
    <x v="2"/>
    <x v="6"/>
    <x v="1"/>
    <x v="29"/>
    <x v="57"/>
    <x v="3"/>
    <x v="137"/>
    <x v="91"/>
    <x v="1503"/>
    <x v="1713"/>
    <x v="1627"/>
    <x v="1721"/>
    <x v="1158"/>
    <x v="72"/>
    <x v="3"/>
    <x v="1433"/>
    <x v="72"/>
    <x v="0"/>
  </r>
  <r>
    <x v="28"/>
    <x v="1"/>
    <x v="5"/>
    <x v="2"/>
    <x v="5"/>
    <x v="1"/>
    <x v="84"/>
    <x v="59"/>
    <x v="68"/>
    <x v="5"/>
    <x v="222"/>
    <x v="1504"/>
    <x v="1714"/>
    <x v="1628"/>
    <x v="1722"/>
    <x v="1159"/>
    <x v="151"/>
    <x v="56"/>
    <x v="156"/>
    <x v="151"/>
    <x v="0"/>
  </r>
  <r>
    <x v="26"/>
    <x v="0"/>
    <x v="3"/>
    <x v="1"/>
    <x v="4"/>
    <x v="0"/>
    <x v="73"/>
    <x v="41"/>
    <x v="17"/>
    <x v="14"/>
    <x v="366"/>
    <x v="1505"/>
    <x v="1715"/>
    <x v="1629"/>
    <x v="1723"/>
    <x v="976"/>
    <x v="147"/>
    <x v="168"/>
    <x v="1434"/>
    <x v="147"/>
    <x v="2"/>
  </r>
  <r>
    <x v="24"/>
    <x v="1"/>
    <x v="9"/>
    <x v="3"/>
    <x v="4"/>
    <x v="2"/>
    <x v="86"/>
    <x v="6"/>
    <x v="88"/>
    <x v="2"/>
    <x v="133"/>
    <x v="1506"/>
    <x v="1716"/>
    <x v="1630"/>
    <x v="1724"/>
    <x v="48"/>
    <x v="43"/>
    <x v="68"/>
    <x v="1435"/>
    <x v="43"/>
    <x v="1"/>
  </r>
  <r>
    <x v="37"/>
    <x v="1"/>
    <x v="0"/>
    <x v="1"/>
    <x v="1"/>
    <x v="1"/>
    <x v="2"/>
    <x v="71"/>
    <x v="63"/>
    <x v="123"/>
    <x v="113"/>
    <x v="428"/>
    <x v="1717"/>
    <x v="1631"/>
    <x v="1725"/>
    <x v="1160"/>
    <x v="140"/>
    <x v="63"/>
    <x v="1436"/>
    <x v="140"/>
    <x v="2"/>
  </r>
  <r>
    <x v="38"/>
    <x v="0"/>
    <x v="2"/>
    <x v="2"/>
    <x v="2"/>
    <x v="0"/>
    <x v="50"/>
    <x v="70"/>
    <x v="64"/>
    <x v="158"/>
    <x v="233"/>
    <x v="719"/>
    <x v="1718"/>
    <x v="1632"/>
    <x v="1726"/>
    <x v="1161"/>
    <x v="101"/>
    <x v="7"/>
    <x v="58"/>
    <x v="101"/>
    <x v="2"/>
  </r>
  <r>
    <x v="1"/>
    <x v="0"/>
    <x v="4"/>
    <x v="2"/>
    <x v="5"/>
    <x v="0"/>
    <x v="74"/>
    <x v="19"/>
    <x v="65"/>
    <x v="52"/>
    <x v="156"/>
    <x v="506"/>
    <x v="1719"/>
    <x v="1633"/>
    <x v="1727"/>
    <x v="146"/>
    <x v="129"/>
    <x v="43"/>
    <x v="1437"/>
    <x v="129"/>
    <x v="1"/>
  </r>
  <r>
    <x v="51"/>
    <x v="0"/>
    <x v="5"/>
    <x v="0"/>
    <x v="3"/>
    <x v="3"/>
    <x v="28"/>
    <x v="61"/>
    <x v="17"/>
    <x v="64"/>
    <x v="248"/>
    <x v="1507"/>
    <x v="1720"/>
    <x v="1634"/>
    <x v="1728"/>
    <x v="390"/>
    <x v="13"/>
    <x v="123"/>
    <x v="1438"/>
    <x v="13"/>
    <x v="2"/>
  </r>
  <r>
    <x v="34"/>
    <x v="0"/>
    <x v="3"/>
    <x v="2"/>
    <x v="6"/>
    <x v="3"/>
    <x v="119"/>
    <x v="66"/>
    <x v="20"/>
    <x v="13"/>
    <x v="18"/>
    <x v="1508"/>
    <x v="1721"/>
    <x v="1635"/>
    <x v="1729"/>
    <x v="1099"/>
    <x v="124"/>
    <x v="42"/>
    <x v="1439"/>
    <x v="124"/>
    <x v="2"/>
  </r>
  <r>
    <x v="16"/>
    <x v="1"/>
    <x v="4"/>
    <x v="0"/>
    <x v="6"/>
    <x v="2"/>
    <x v="104"/>
    <x v="16"/>
    <x v="55"/>
    <x v="30"/>
    <x v="277"/>
    <x v="1509"/>
    <x v="1722"/>
    <x v="1636"/>
    <x v="1730"/>
    <x v="1162"/>
    <x v="157"/>
    <x v="3"/>
    <x v="238"/>
    <x v="157"/>
    <x v="0"/>
  </r>
  <r>
    <x v="18"/>
    <x v="1"/>
    <x v="3"/>
    <x v="1"/>
    <x v="0"/>
    <x v="2"/>
    <x v="1"/>
    <x v="72"/>
    <x v="17"/>
    <x v="94"/>
    <x v="5"/>
    <x v="1510"/>
    <x v="1723"/>
    <x v="1637"/>
    <x v="1731"/>
    <x v="111"/>
    <x v="98"/>
    <x v="183"/>
    <x v="1440"/>
    <x v="98"/>
    <x v="2"/>
  </r>
  <r>
    <x v="12"/>
    <x v="0"/>
    <x v="0"/>
    <x v="2"/>
    <x v="0"/>
    <x v="1"/>
    <x v="110"/>
    <x v="14"/>
    <x v="72"/>
    <x v="56"/>
    <x v="204"/>
    <x v="1511"/>
    <x v="1724"/>
    <x v="1638"/>
    <x v="1732"/>
    <x v="629"/>
    <x v="4"/>
    <x v="13"/>
    <x v="729"/>
    <x v="4"/>
    <x v="0"/>
  </r>
  <r>
    <x v="38"/>
    <x v="0"/>
    <x v="3"/>
    <x v="4"/>
    <x v="6"/>
    <x v="0"/>
    <x v="58"/>
    <x v="33"/>
    <x v="70"/>
    <x v="58"/>
    <x v="275"/>
    <x v="368"/>
    <x v="1725"/>
    <x v="1639"/>
    <x v="1733"/>
    <x v="1163"/>
    <x v="41"/>
    <x v="222"/>
    <x v="1441"/>
    <x v="41"/>
    <x v="2"/>
  </r>
  <r>
    <x v="35"/>
    <x v="1"/>
    <x v="1"/>
    <x v="3"/>
    <x v="3"/>
    <x v="1"/>
    <x v="38"/>
    <x v="60"/>
    <x v="31"/>
    <x v="148"/>
    <x v="334"/>
    <x v="491"/>
    <x v="1726"/>
    <x v="1640"/>
    <x v="1734"/>
    <x v="1164"/>
    <x v="19"/>
    <x v="127"/>
    <x v="509"/>
    <x v="19"/>
    <x v="2"/>
  </r>
  <r>
    <x v="36"/>
    <x v="0"/>
    <x v="9"/>
    <x v="4"/>
    <x v="1"/>
    <x v="1"/>
    <x v="43"/>
    <x v="37"/>
    <x v="46"/>
    <x v="83"/>
    <x v="262"/>
    <x v="1512"/>
    <x v="1727"/>
    <x v="1641"/>
    <x v="1735"/>
    <x v="1165"/>
    <x v="46"/>
    <x v="25"/>
    <x v="1418"/>
    <x v="46"/>
    <x v="1"/>
  </r>
  <r>
    <x v="28"/>
    <x v="0"/>
    <x v="5"/>
    <x v="2"/>
    <x v="1"/>
    <x v="2"/>
    <x v="37"/>
    <x v="63"/>
    <x v="24"/>
    <x v="64"/>
    <x v="317"/>
    <x v="1513"/>
    <x v="1728"/>
    <x v="1642"/>
    <x v="1736"/>
    <x v="1166"/>
    <x v="135"/>
    <x v="182"/>
    <x v="1442"/>
    <x v="135"/>
    <x v="0"/>
  </r>
  <r>
    <x v="57"/>
    <x v="0"/>
    <x v="6"/>
    <x v="2"/>
    <x v="4"/>
    <x v="2"/>
    <x v="8"/>
    <x v="18"/>
    <x v="36"/>
    <x v="154"/>
    <x v="46"/>
    <x v="1514"/>
    <x v="1729"/>
    <x v="1643"/>
    <x v="1737"/>
    <x v="472"/>
    <x v="30"/>
    <x v="136"/>
    <x v="1443"/>
    <x v="30"/>
    <x v="0"/>
  </r>
  <r>
    <x v="47"/>
    <x v="0"/>
    <x v="0"/>
    <x v="0"/>
    <x v="6"/>
    <x v="0"/>
    <x v="23"/>
    <x v="71"/>
    <x v="13"/>
    <x v="66"/>
    <x v="324"/>
    <x v="1515"/>
    <x v="1730"/>
    <x v="1644"/>
    <x v="1738"/>
    <x v="210"/>
    <x v="164"/>
    <x v="75"/>
    <x v="1444"/>
    <x v="164"/>
    <x v="0"/>
  </r>
  <r>
    <x v="54"/>
    <x v="1"/>
    <x v="5"/>
    <x v="2"/>
    <x v="0"/>
    <x v="2"/>
    <x v="19"/>
    <x v="10"/>
    <x v="76"/>
    <x v="13"/>
    <x v="7"/>
    <x v="1516"/>
    <x v="1731"/>
    <x v="1645"/>
    <x v="1739"/>
    <x v="1167"/>
    <x v="118"/>
    <x v="18"/>
    <x v="1445"/>
    <x v="118"/>
    <x v="0"/>
  </r>
  <r>
    <x v="21"/>
    <x v="1"/>
    <x v="1"/>
    <x v="0"/>
    <x v="4"/>
    <x v="2"/>
    <x v="58"/>
    <x v="52"/>
    <x v="19"/>
    <x v="128"/>
    <x v="183"/>
    <x v="386"/>
    <x v="1732"/>
    <x v="1646"/>
    <x v="1740"/>
    <x v="1168"/>
    <x v="173"/>
    <x v="48"/>
    <x v="1446"/>
    <x v="173"/>
    <x v="0"/>
  </r>
  <r>
    <x v="42"/>
    <x v="1"/>
    <x v="4"/>
    <x v="4"/>
    <x v="5"/>
    <x v="1"/>
    <x v="108"/>
    <x v="25"/>
    <x v="88"/>
    <x v="6"/>
    <x v="151"/>
    <x v="1517"/>
    <x v="1733"/>
    <x v="1647"/>
    <x v="1741"/>
    <x v="134"/>
    <x v="6"/>
    <x v="182"/>
    <x v="1317"/>
    <x v="6"/>
    <x v="2"/>
  </r>
  <r>
    <x v="6"/>
    <x v="1"/>
    <x v="2"/>
    <x v="1"/>
    <x v="6"/>
    <x v="3"/>
    <x v="2"/>
    <x v="55"/>
    <x v="2"/>
    <x v="107"/>
    <x v="415"/>
    <x v="1518"/>
    <x v="1734"/>
    <x v="1648"/>
    <x v="1742"/>
    <x v="1169"/>
    <x v="124"/>
    <x v="1"/>
    <x v="1447"/>
    <x v="124"/>
    <x v="2"/>
  </r>
  <r>
    <x v="36"/>
    <x v="1"/>
    <x v="2"/>
    <x v="1"/>
    <x v="4"/>
    <x v="1"/>
    <x v="119"/>
    <x v="9"/>
    <x v="62"/>
    <x v="126"/>
    <x v="305"/>
    <x v="1519"/>
    <x v="1735"/>
    <x v="1649"/>
    <x v="1743"/>
    <x v="22"/>
    <x v="58"/>
    <x v="207"/>
    <x v="1448"/>
    <x v="58"/>
    <x v="1"/>
  </r>
  <r>
    <x v="25"/>
    <x v="0"/>
    <x v="9"/>
    <x v="2"/>
    <x v="0"/>
    <x v="3"/>
    <x v="37"/>
    <x v="18"/>
    <x v="68"/>
    <x v="74"/>
    <x v="250"/>
    <x v="1520"/>
    <x v="1736"/>
    <x v="1255"/>
    <x v="1744"/>
    <x v="98"/>
    <x v="29"/>
    <x v="161"/>
    <x v="1449"/>
    <x v="29"/>
    <x v="0"/>
  </r>
  <r>
    <x v="21"/>
    <x v="1"/>
    <x v="2"/>
    <x v="1"/>
    <x v="4"/>
    <x v="1"/>
    <x v="114"/>
    <x v="58"/>
    <x v="3"/>
    <x v="73"/>
    <x v="132"/>
    <x v="1521"/>
    <x v="1737"/>
    <x v="1650"/>
    <x v="1530"/>
    <x v="14"/>
    <x v="66"/>
    <x v="29"/>
    <x v="1450"/>
    <x v="66"/>
    <x v="0"/>
  </r>
  <r>
    <x v="45"/>
    <x v="0"/>
    <x v="6"/>
    <x v="1"/>
    <x v="0"/>
    <x v="3"/>
    <x v="113"/>
    <x v="1"/>
    <x v="17"/>
    <x v="17"/>
    <x v="200"/>
    <x v="1522"/>
    <x v="1738"/>
    <x v="1651"/>
    <x v="1745"/>
    <x v="1170"/>
    <x v="4"/>
    <x v="120"/>
    <x v="1451"/>
    <x v="4"/>
    <x v="2"/>
  </r>
  <r>
    <x v="56"/>
    <x v="1"/>
    <x v="2"/>
    <x v="2"/>
    <x v="2"/>
    <x v="0"/>
    <x v="56"/>
    <x v="61"/>
    <x v="80"/>
    <x v="142"/>
    <x v="82"/>
    <x v="1523"/>
    <x v="1739"/>
    <x v="1652"/>
    <x v="1746"/>
    <x v="1171"/>
    <x v="74"/>
    <x v="99"/>
    <x v="486"/>
    <x v="74"/>
    <x v="2"/>
  </r>
  <r>
    <x v="39"/>
    <x v="1"/>
    <x v="4"/>
    <x v="4"/>
    <x v="1"/>
    <x v="2"/>
    <x v="72"/>
    <x v="50"/>
    <x v="33"/>
    <x v="37"/>
    <x v="115"/>
    <x v="1524"/>
    <x v="1740"/>
    <x v="1653"/>
    <x v="1747"/>
    <x v="349"/>
    <x v="22"/>
    <x v="15"/>
    <x v="1452"/>
    <x v="22"/>
    <x v="2"/>
  </r>
  <r>
    <x v="15"/>
    <x v="1"/>
    <x v="6"/>
    <x v="3"/>
    <x v="5"/>
    <x v="1"/>
    <x v="24"/>
    <x v="6"/>
    <x v="74"/>
    <x v="32"/>
    <x v="26"/>
    <x v="1303"/>
    <x v="1741"/>
    <x v="1654"/>
    <x v="1748"/>
    <x v="419"/>
    <x v="61"/>
    <x v="95"/>
    <x v="1453"/>
    <x v="61"/>
    <x v="2"/>
  </r>
  <r>
    <x v="11"/>
    <x v="1"/>
    <x v="6"/>
    <x v="0"/>
    <x v="4"/>
    <x v="1"/>
    <x v="69"/>
    <x v="43"/>
    <x v="88"/>
    <x v="24"/>
    <x v="1"/>
    <x v="1525"/>
    <x v="1742"/>
    <x v="1655"/>
    <x v="1749"/>
    <x v="892"/>
    <x v="81"/>
    <x v="126"/>
    <x v="1454"/>
    <x v="81"/>
    <x v="1"/>
  </r>
  <r>
    <x v="36"/>
    <x v="0"/>
    <x v="1"/>
    <x v="1"/>
    <x v="6"/>
    <x v="0"/>
    <x v="54"/>
    <x v="50"/>
    <x v="89"/>
    <x v="147"/>
    <x v="202"/>
    <x v="1526"/>
    <x v="1743"/>
    <x v="1656"/>
    <x v="1750"/>
    <x v="1172"/>
    <x v="173"/>
    <x v="83"/>
    <x v="1455"/>
    <x v="173"/>
    <x v="1"/>
  </r>
  <r>
    <x v="4"/>
    <x v="1"/>
    <x v="9"/>
    <x v="4"/>
    <x v="2"/>
    <x v="1"/>
    <x v="73"/>
    <x v="33"/>
    <x v="84"/>
    <x v="32"/>
    <x v="297"/>
    <x v="1527"/>
    <x v="1744"/>
    <x v="1657"/>
    <x v="1751"/>
    <x v="1095"/>
    <x v="116"/>
    <x v="221"/>
    <x v="1456"/>
    <x v="116"/>
    <x v="1"/>
  </r>
  <r>
    <x v="9"/>
    <x v="0"/>
    <x v="4"/>
    <x v="3"/>
    <x v="6"/>
    <x v="3"/>
    <x v="34"/>
    <x v="43"/>
    <x v="46"/>
    <x v="158"/>
    <x v="414"/>
    <x v="1528"/>
    <x v="1745"/>
    <x v="1658"/>
    <x v="1752"/>
    <x v="238"/>
    <x v="73"/>
    <x v="22"/>
    <x v="1457"/>
    <x v="73"/>
    <x v="0"/>
  </r>
  <r>
    <x v="43"/>
    <x v="0"/>
    <x v="5"/>
    <x v="3"/>
    <x v="0"/>
    <x v="0"/>
    <x v="104"/>
    <x v="17"/>
    <x v="75"/>
    <x v="100"/>
    <x v="155"/>
    <x v="1529"/>
    <x v="1746"/>
    <x v="1659"/>
    <x v="1753"/>
    <x v="1173"/>
    <x v="14"/>
    <x v="160"/>
    <x v="1458"/>
    <x v="14"/>
    <x v="2"/>
  </r>
  <r>
    <x v="21"/>
    <x v="0"/>
    <x v="7"/>
    <x v="0"/>
    <x v="5"/>
    <x v="3"/>
    <x v="72"/>
    <x v="30"/>
    <x v="0"/>
    <x v="21"/>
    <x v="425"/>
    <x v="1530"/>
    <x v="1747"/>
    <x v="657"/>
    <x v="1754"/>
    <x v="907"/>
    <x v="119"/>
    <x v="93"/>
    <x v="1459"/>
    <x v="119"/>
    <x v="0"/>
  </r>
  <r>
    <x v="46"/>
    <x v="1"/>
    <x v="3"/>
    <x v="1"/>
    <x v="1"/>
    <x v="0"/>
    <x v="103"/>
    <x v="29"/>
    <x v="1"/>
    <x v="97"/>
    <x v="174"/>
    <x v="805"/>
    <x v="1748"/>
    <x v="1660"/>
    <x v="1755"/>
    <x v="1174"/>
    <x v="26"/>
    <x v="67"/>
    <x v="1460"/>
    <x v="26"/>
    <x v="1"/>
  </r>
  <r>
    <x v="3"/>
    <x v="0"/>
    <x v="1"/>
    <x v="0"/>
    <x v="3"/>
    <x v="3"/>
    <x v="95"/>
    <x v="29"/>
    <x v="42"/>
    <x v="96"/>
    <x v="408"/>
    <x v="665"/>
    <x v="1749"/>
    <x v="1661"/>
    <x v="1756"/>
    <x v="1174"/>
    <x v="48"/>
    <x v="170"/>
    <x v="1461"/>
    <x v="48"/>
    <x v="0"/>
  </r>
  <r>
    <x v="19"/>
    <x v="0"/>
    <x v="0"/>
    <x v="2"/>
    <x v="6"/>
    <x v="1"/>
    <x v="67"/>
    <x v="52"/>
    <x v="8"/>
    <x v="54"/>
    <x v="422"/>
    <x v="1531"/>
    <x v="1750"/>
    <x v="1662"/>
    <x v="1757"/>
    <x v="1175"/>
    <x v="148"/>
    <x v="184"/>
    <x v="1260"/>
    <x v="148"/>
    <x v="1"/>
  </r>
  <r>
    <x v="57"/>
    <x v="0"/>
    <x v="6"/>
    <x v="2"/>
    <x v="4"/>
    <x v="2"/>
    <x v="60"/>
    <x v="53"/>
    <x v="52"/>
    <x v="11"/>
    <x v="326"/>
    <x v="1532"/>
    <x v="1751"/>
    <x v="1663"/>
    <x v="1758"/>
    <x v="226"/>
    <x v="6"/>
    <x v="83"/>
    <x v="1462"/>
    <x v="6"/>
    <x v="0"/>
  </r>
  <r>
    <x v="44"/>
    <x v="1"/>
    <x v="4"/>
    <x v="2"/>
    <x v="5"/>
    <x v="1"/>
    <x v="46"/>
    <x v="43"/>
    <x v="17"/>
    <x v="60"/>
    <x v="64"/>
    <x v="1533"/>
    <x v="1752"/>
    <x v="1664"/>
    <x v="1759"/>
    <x v="1176"/>
    <x v="101"/>
    <x v="59"/>
    <x v="187"/>
    <x v="101"/>
    <x v="2"/>
  </r>
  <r>
    <x v="15"/>
    <x v="0"/>
    <x v="7"/>
    <x v="4"/>
    <x v="5"/>
    <x v="3"/>
    <x v="19"/>
    <x v="60"/>
    <x v="20"/>
    <x v="134"/>
    <x v="373"/>
    <x v="1534"/>
    <x v="1753"/>
    <x v="1665"/>
    <x v="1760"/>
    <x v="1177"/>
    <x v="143"/>
    <x v="200"/>
    <x v="283"/>
    <x v="143"/>
    <x v="2"/>
  </r>
  <r>
    <x v="40"/>
    <x v="1"/>
    <x v="2"/>
    <x v="4"/>
    <x v="1"/>
    <x v="1"/>
    <x v="15"/>
    <x v="5"/>
    <x v="36"/>
    <x v="105"/>
    <x v="36"/>
    <x v="1535"/>
    <x v="1754"/>
    <x v="1666"/>
    <x v="1761"/>
    <x v="552"/>
    <x v="25"/>
    <x v="225"/>
    <x v="1463"/>
    <x v="25"/>
    <x v="2"/>
  </r>
  <r>
    <x v="39"/>
    <x v="0"/>
    <x v="3"/>
    <x v="0"/>
    <x v="6"/>
    <x v="3"/>
    <x v="90"/>
    <x v="74"/>
    <x v="39"/>
    <x v="156"/>
    <x v="206"/>
    <x v="1536"/>
    <x v="1755"/>
    <x v="1667"/>
    <x v="1762"/>
    <x v="727"/>
    <x v="97"/>
    <x v="1"/>
    <x v="1464"/>
    <x v="97"/>
    <x v="2"/>
  </r>
  <r>
    <x v="41"/>
    <x v="0"/>
    <x v="2"/>
    <x v="1"/>
    <x v="2"/>
    <x v="0"/>
    <x v="1"/>
    <x v="69"/>
    <x v="80"/>
    <x v="64"/>
    <x v="257"/>
    <x v="1537"/>
    <x v="1756"/>
    <x v="1668"/>
    <x v="1763"/>
    <x v="1178"/>
    <x v="80"/>
    <x v="36"/>
    <x v="1465"/>
    <x v="80"/>
    <x v="2"/>
  </r>
  <r>
    <x v="6"/>
    <x v="1"/>
    <x v="9"/>
    <x v="0"/>
    <x v="2"/>
    <x v="1"/>
    <x v="100"/>
    <x v="73"/>
    <x v="72"/>
    <x v="100"/>
    <x v="34"/>
    <x v="1538"/>
    <x v="1757"/>
    <x v="1405"/>
    <x v="1764"/>
    <x v="282"/>
    <x v="141"/>
    <x v="126"/>
    <x v="1466"/>
    <x v="141"/>
    <x v="2"/>
  </r>
  <r>
    <x v="24"/>
    <x v="1"/>
    <x v="6"/>
    <x v="3"/>
    <x v="5"/>
    <x v="3"/>
    <x v="44"/>
    <x v="38"/>
    <x v="44"/>
    <x v="129"/>
    <x v="195"/>
    <x v="1539"/>
    <x v="1758"/>
    <x v="1669"/>
    <x v="1765"/>
    <x v="126"/>
    <x v="23"/>
    <x v="109"/>
    <x v="1467"/>
    <x v="23"/>
    <x v="1"/>
  </r>
  <r>
    <x v="5"/>
    <x v="0"/>
    <x v="3"/>
    <x v="2"/>
    <x v="0"/>
    <x v="1"/>
    <x v="56"/>
    <x v="71"/>
    <x v="60"/>
    <x v="158"/>
    <x v="299"/>
    <x v="323"/>
    <x v="1759"/>
    <x v="1670"/>
    <x v="1766"/>
    <x v="1179"/>
    <x v="133"/>
    <x v="218"/>
    <x v="1468"/>
    <x v="133"/>
    <x v="2"/>
  </r>
  <r>
    <x v="56"/>
    <x v="1"/>
    <x v="9"/>
    <x v="4"/>
    <x v="5"/>
    <x v="3"/>
    <x v="41"/>
    <x v="6"/>
    <x v="31"/>
    <x v="88"/>
    <x v="237"/>
    <x v="1540"/>
    <x v="1760"/>
    <x v="1671"/>
    <x v="1767"/>
    <x v="308"/>
    <x v="57"/>
    <x v="214"/>
    <x v="1469"/>
    <x v="57"/>
    <x v="2"/>
  </r>
  <r>
    <x v="46"/>
    <x v="1"/>
    <x v="3"/>
    <x v="2"/>
    <x v="1"/>
    <x v="3"/>
    <x v="95"/>
    <x v="68"/>
    <x v="40"/>
    <x v="86"/>
    <x v="150"/>
    <x v="1541"/>
    <x v="1761"/>
    <x v="1672"/>
    <x v="1768"/>
    <x v="1165"/>
    <x v="80"/>
    <x v="60"/>
    <x v="1470"/>
    <x v="80"/>
    <x v="1"/>
  </r>
  <r>
    <x v="14"/>
    <x v="1"/>
    <x v="3"/>
    <x v="3"/>
    <x v="0"/>
    <x v="1"/>
    <x v="99"/>
    <x v="1"/>
    <x v="23"/>
    <x v="48"/>
    <x v="84"/>
    <x v="1496"/>
    <x v="1762"/>
    <x v="1673"/>
    <x v="1769"/>
    <x v="285"/>
    <x v="123"/>
    <x v="23"/>
    <x v="1471"/>
    <x v="123"/>
    <x v="2"/>
  </r>
  <r>
    <x v="24"/>
    <x v="0"/>
    <x v="7"/>
    <x v="4"/>
    <x v="5"/>
    <x v="1"/>
    <x v="114"/>
    <x v="46"/>
    <x v="63"/>
    <x v="40"/>
    <x v="394"/>
    <x v="1542"/>
    <x v="1763"/>
    <x v="1315"/>
    <x v="1770"/>
    <x v="249"/>
    <x v="30"/>
    <x v="80"/>
    <x v="197"/>
    <x v="30"/>
    <x v="1"/>
  </r>
  <r>
    <x v="3"/>
    <x v="1"/>
    <x v="8"/>
    <x v="1"/>
    <x v="0"/>
    <x v="1"/>
    <x v="54"/>
    <x v="42"/>
    <x v="8"/>
    <x v="54"/>
    <x v="273"/>
    <x v="190"/>
    <x v="1764"/>
    <x v="1674"/>
    <x v="1771"/>
    <x v="700"/>
    <x v="119"/>
    <x v="6"/>
    <x v="736"/>
    <x v="119"/>
    <x v="0"/>
  </r>
  <r>
    <x v="20"/>
    <x v="1"/>
    <x v="2"/>
    <x v="3"/>
    <x v="3"/>
    <x v="1"/>
    <x v="19"/>
    <x v="79"/>
    <x v="41"/>
    <x v="150"/>
    <x v="419"/>
    <x v="1543"/>
    <x v="1765"/>
    <x v="1675"/>
    <x v="1772"/>
    <x v="419"/>
    <x v="126"/>
    <x v="185"/>
    <x v="269"/>
    <x v="126"/>
    <x v="1"/>
  </r>
  <r>
    <x v="0"/>
    <x v="1"/>
    <x v="4"/>
    <x v="1"/>
    <x v="4"/>
    <x v="1"/>
    <x v="91"/>
    <x v="75"/>
    <x v="54"/>
    <x v="99"/>
    <x v="327"/>
    <x v="1544"/>
    <x v="1766"/>
    <x v="1676"/>
    <x v="1773"/>
    <x v="1180"/>
    <x v="132"/>
    <x v="65"/>
    <x v="1296"/>
    <x v="132"/>
    <x v="0"/>
  </r>
  <r>
    <x v="15"/>
    <x v="0"/>
    <x v="8"/>
    <x v="1"/>
    <x v="2"/>
    <x v="1"/>
    <x v="44"/>
    <x v="75"/>
    <x v="36"/>
    <x v="150"/>
    <x v="155"/>
    <x v="1545"/>
    <x v="1767"/>
    <x v="1677"/>
    <x v="1774"/>
    <x v="1181"/>
    <x v="85"/>
    <x v="168"/>
    <x v="1472"/>
    <x v="85"/>
    <x v="2"/>
  </r>
  <r>
    <x v="41"/>
    <x v="1"/>
    <x v="0"/>
    <x v="1"/>
    <x v="1"/>
    <x v="1"/>
    <x v="46"/>
    <x v="64"/>
    <x v="77"/>
    <x v="21"/>
    <x v="417"/>
    <x v="1397"/>
    <x v="1768"/>
    <x v="1678"/>
    <x v="1775"/>
    <x v="672"/>
    <x v="117"/>
    <x v="63"/>
    <x v="344"/>
    <x v="117"/>
    <x v="2"/>
  </r>
  <r>
    <x v="12"/>
    <x v="1"/>
    <x v="4"/>
    <x v="4"/>
    <x v="2"/>
    <x v="1"/>
    <x v="10"/>
    <x v="57"/>
    <x v="12"/>
    <x v="80"/>
    <x v="42"/>
    <x v="1546"/>
    <x v="1769"/>
    <x v="1679"/>
    <x v="1776"/>
    <x v="908"/>
    <x v="46"/>
    <x v="182"/>
    <x v="706"/>
    <x v="46"/>
    <x v="0"/>
  </r>
  <r>
    <x v="51"/>
    <x v="1"/>
    <x v="7"/>
    <x v="2"/>
    <x v="4"/>
    <x v="1"/>
    <x v="63"/>
    <x v="69"/>
    <x v="14"/>
    <x v="2"/>
    <x v="442"/>
    <x v="1547"/>
    <x v="1770"/>
    <x v="1680"/>
    <x v="1777"/>
    <x v="556"/>
    <x v="98"/>
    <x v="87"/>
    <x v="263"/>
    <x v="98"/>
    <x v="2"/>
  </r>
  <r>
    <x v="4"/>
    <x v="0"/>
    <x v="0"/>
    <x v="4"/>
    <x v="0"/>
    <x v="0"/>
    <x v="65"/>
    <x v="8"/>
    <x v="14"/>
    <x v="101"/>
    <x v="302"/>
    <x v="503"/>
    <x v="1771"/>
    <x v="1681"/>
    <x v="1778"/>
    <x v="1182"/>
    <x v="168"/>
    <x v="33"/>
    <x v="1473"/>
    <x v="168"/>
    <x v="1"/>
  </r>
  <r>
    <x v="25"/>
    <x v="0"/>
    <x v="7"/>
    <x v="0"/>
    <x v="4"/>
    <x v="3"/>
    <x v="15"/>
    <x v="5"/>
    <x v="73"/>
    <x v="135"/>
    <x v="281"/>
    <x v="1548"/>
    <x v="1772"/>
    <x v="805"/>
    <x v="1779"/>
    <x v="1183"/>
    <x v="25"/>
    <x v="126"/>
    <x v="314"/>
    <x v="25"/>
    <x v="0"/>
  </r>
  <r>
    <x v="1"/>
    <x v="1"/>
    <x v="4"/>
    <x v="0"/>
    <x v="5"/>
    <x v="2"/>
    <x v="77"/>
    <x v="64"/>
    <x v="30"/>
    <x v="94"/>
    <x v="97"/>
    <x v="1549"/>
    <x v="1773"/>
    <x v="1682"/>
    <x v="1780"/>
    <x v="1184"/>
    <x v="139"/>
    <x v="116"/>
    <x v="101"/>
    <x v="139"/>
    <x v="1"/>
  </r>
  <r>
    <x v="23"/>
    <x v="1"/>
    <x v="6"/>
    <x v="1"/>
    <x v="3"/>
    <x v="0"/>
    <x v="92"/>
    <x v="39"/>
    <x v="34"/>
    <x v="126"/>
    <x v="92"/>
    <x v="1550"/>
    <x v="1774"/>
    <x v="1683"/>
    <x v="1781"/>
    <x v="806"/>
    <x v="40"/>
    <x v="94"/>
    <x v="55"/>
    <x v="40"/>
    <x v="1"/>
  </r>
  <r>
    <x v="6"/>
    <x v="1"/>
    <x v="9"/>
    <x v="1"/>
    <x v="4"/>
    <x v="1"/>
    <x v="10"/>
    <x v="11"/>
    <x v="60"/>
    <x v="24"/>
    <x v="111"/>
    <x v="1551"/>
    <x v="1775"/>
    <x v="1684"/>
    <x v="238"/>
    <x v="904"/>
    <x v="25"/>
    <x v="32"/>
    <x v="1474"/>
    <x v="25"/>
    <x v="2"/>
  </r>
  <r>
    <x v="52"/>
    <x v="0"/>
    <x v="0"/>
    <x v="3"/>
    <x v="2"/>
    <x v="2"/>
    <x v="43"/>
    <x v="17"/>
    <x v="72"/>
    <x v="29"/>
    <x v="300"/>
    <x v="1165"/>
    <x v="1776"/>
    <x v="1490"/>
    <x v="1782"/>
    <x v="1185"/>
    <x v="146"/>
    <x v="21"/>
    <x v="1475"/>
    <x v="146"/>
    <x v="2"/>
  </r>
  <r>
    <x v="16"/>
    <x v="1"/>
    <x v="3"/>
    <x v="1"/>
    <x v="1"/>
    <x v="0"/>
    <x v="37"/>
    <x v="72"/>
    <x v="69"/>
    <x v="156"/>
    <x v="179"/>
    <x v="1359"/>
    <x v="1777"/>
    <x v="1685"/>
    <x v="1783"/>
    <x v="1059"/>
    <x v="64"/>
    <x v="55"/>
    <x v="1476"/>
    <x v="64"/>
    <x v="0"/>
  </r>
  <r>
    <x v="35"/>
    <x v="1"/>
    <x v="6"/>
    <x v="3"/>
    <x v="2"/>
    <x v="0"/>
    <x v="79"/>
    <x v="44"/>
    <x v="63"/>
    <x v="95"/>
    <x v="359"/>
    <x v="548"/>
    <x v="1778"/>
    <x v="1686"/>
    <x v="1784"/>
    <x v="720"/>
    <x v="129"/>
    <x v="193"/>
    <x v="704"/>
    <x v="129"/>
    <x v="2"/>
  </r>
  <r>
    <x v="40"/>
    <x v="0"/>
    <x v="4"/>
    <x v="1"/>
    <x v="2"/>
    <x v="2"/>
    <x v="96"/>
    <x v="58"/>
    <x v="23"/>
    <x v="100"/>
    <x v="373"/>
    <x v="1552"/>
    <x v="14"/>
    <x v="1687"/>
    <x v="1785"/>
    <x v="1186"/>
    <x v="1"/>
    <x v="95"/>
    <x v="1477"/>
    <x v="1"/>
    <x v="2"/>
  </r>
  <r>
    <x v="17"/>
    <x v="1"/>
    <x v="0"/>
    <x v="0"/>
    <x v="3"/>
    <x v="0"/>
    <x v="39"/>
    <x v="32"/>
    <x v="3"/>
    <x v="54"/>
    <x v="135"/>
    <x v="1553"/>
    <x v="1779"/>
    <x v="152"/>
    <x v="1786"/>
    <x v="95"/>
    <x v="95"/>
    <x v="2"/>
    <x v="105"/>
    <x v="95"/>
    <x v="1"/>
  </r>
  <r>
    <x v="0"/>
    <x v="1"/>
    <x v="9"/>
    <x v="4"/>
    <x v="4"/>
    <x v="2"/>
    <x v="37"/>
    <x v="22"/>
    <x v="68"/>
    <x v="16"/>
    <x v="305"/>
    <x v="1554"/>
    <x v="1780"/>
    <x v="1688"/>
    <x v="1787"/>
    <x v="982"/>
    <x v="171"/>
    <x v="140"/>
    <x v="1478"/>
    <x v="171"/>
    <x v="0"/>
  </r>
  <r>
    <x v="15"/>
    <x v="1"/>
    <x v="4"/>
    <x v="0"/>
    <x v="3"/>
    <x v="2"/>
    <x v="55"/>
    <x v="46"/>
    <x v="64"/>
    <x v="106"/>
    <x v="443"/>
    <x v="1555"/>
    <x v="1781"/>
    <x v="1689"/>
    <x v="1788"/>
    <x v="1187"/>
    <x v="50"/>
    <x v="90"/>
    <x v="4"/>
    <x v="50"/>
    <x v="2"/>
  </r>
  <r>
    <x v="59"/>
    <x v="1"/>
    <x v="0"/>
    <x v="3"/>
    <x v="5"/>
    <x v="3"/>
    <x v="42"/>
    <x v="67"/>
    <x v="18"/>
    <x v="61"/>
    <x v="53"/>
    <x v="1556"/>
    <x v="1782"/>
    <x v="1690"/>
    <x v="1789"/>
    <x v="980"/>
    <x v="183"/>
    <x v="128"/>
    <x v="1479"/>
    <x v="183"/>
    <x v="0"/>
  </r>
  <r>
    <x v="50"/>
    <x v="1"/>
    <x v="9"/>
    <x v="1"/>
    <x v="4"/>
    <x v="3"/>
    <x v="99"/>
    <x v="43"/>
    <x v="52"/>
    <x v="6"/>
    <x v="236"/>
    <x v="1557"/>
    <x v="1783"/>
    <x v="1691"/>
    <x v="1790"/>
    <x v="1188"/>
    <x v="93"/>
    <x v="10"/>
    <x v="1480"/>
    <x v="93"/>
    <x v="2"/>
  </r>
  <r>
    <x v="23"/>
    <x v="0"/>
    <x v="4"/>
    <x v="1"/>
    <x v="0"/>
    <x v="2"/>
    <x v="44"/>
    <x v="3"/>
    <x v="77"/>
    <x v="59"/>
    <x v="41"/>
    <x v="1558"/>
    <x v="1784"/>
    <x v="1692"/>
    <x v="1791"/>
    <x v="175"/>
    <x v="112"/>
    <x v="79"/>
    <x v="1481"/>
    <x v="112"/>
    <x v="1"/>
  </r>
  <r>
    <x v="20"/>
    <x v="1"/>
    <x v="8"/>
    <x v="2"/>
    <x v="3"/>
    <x v="2"/>
    <x v="101"/>
    <x v="32"/>
    <x v="4"/>
    <x v="1"/>
    <x v="215"/>
    <x v="1559"/>
    <x v="1785"/>
    <x v="1693"/>
    <x v="1792"/>
    <x v="183"/>
    <x v="176"/>
    <x v="182"/>
    <x v="1482"/>
    <x v="176"/>
    <x v="1"/>
  </r>
  <r>
    <x v="24"/>
    <x v="1"/>
    <x v="8"/>
    <x v="1"/>
    <x v="0"/>
    <x v="3"/>
    <x v="110"/>
    <x v="36"/>
    <x v="28"/>
    <x v="64"/>
    <x v="231"/>
    <x v="1560"/>
    <x v="1786"/>
    <x v="1463"/>
    <x v="1793"/>
    <x v="1189"/>
    <x v="88"/>
    <x v="198"/>
    <x v="1483"/>
    <x v="88"/>
    <x v="1"/>
  </r>
  <r>
    <x v="16"/>
    <x v="0"/>
    <x v="6"/>
    <x v="1"/>
    <x v="1"/>
    <x v="3"/>
    <x v="27"/>
    <x v="60"/>
    <x v="84"/>
    <x v="104"/>
    <x v="350"/>
    <x v="778"/>
    <x v="1787"/>
    <x v="1694"/>
    <x v="1794"/>
    <x v="620"/>
    <x v="164"/>
    <x v="126"/>
    <x v="1484"/>
    <x v="164"/>
    <x v="0"/>
  </r>
  <r>
    <x v="26"/>
    <x v="0"/>
    <x v="2"/>
    <x v="1"/>
    <x v="6"/>
    <x v="0"/>
    <x v="18"/>
    <x v="72"/>
    <x v="57"/>
    <x v="44"/>
    <x v="29"/>
    <x v="1561"/>
    <x v="1788"/>
    <x v="1695"/>
    <x v="1795"/>
    <x v="1190"/>
    <x v="28"/>
    <x v="68"/>
    <x v="1485"/>
    <x v="28"/>
    <x v="2"/>
  </r>
  <r>
    <x v="35"/>
    <x v="0"/>
    <x v="8"/>
    <x v="4"/>
    <x v="0"/>
    <x v="1"/>
    <x v="33"/>
    <x v="54"/>
    <x v="28"/>
    <x v="150"/>
    <x v="290"/>
    <x v="1562"/>
    <x v="1789"/>
    <x v="1696"/>
    <x v="1796"/>
    <x v="124"/>
    <x v="6"/>
    <x v="59"/>
    <x v="1486"/>
    <x v="6"/>
    <x v="2"/>
  </r>
  <r>
    <x v="36"/>
    <x v="0"/>
    <x v="1"/>
    <x v="4"/>
    <x v="6"/>
    <x v="0"/>
    <x v="47"/>
    <x v="40"/>
    <x v="76"/>
    <x v="11"/>
    <x v="83"/>
    <x v="1563"/>
    <x v="1790"/>
    <x v="1697"/>
    <x v="1797"/>
    <x v="1191"/>
    <x v="37"/>
    <x v="176"/>
    <x v="105"/>
    <x v="37"/>
    <x v="1"/>
  </r>
  <r>
    <x v="35"/>
    <x v="1"/>
    <x v="3"/>
    <x v="1"/>
    <x v="1"/>
    <x v="0"/>
    <x v="100"/>
    <x v="51"/>
    <x v="66"/>
    <x v="153"/>
    <x v="358"/>
    <x v="982"/>
    <x v="1791"/>
    <x v="1698"/>
    <x v="1798"/>
    <x v="1192"/>
    <x v="28"/>
    <x v="7"/>
    <x v="1487"/>
    <x v="28"/>
    <x v="2"/>
  </r>
  <r>
    <x v="58"/>
    <x v="1"/>
    <x v="9"/>
    <x v="4"/>
    <x v="1"/>
    <x v="1"/>
    <x v="87"/>
    <x v="76"/>
    <x v="21"/>
    <x v="157"/>
    <x v="229"/>
    <x v="1564"/>
    <x v="1792"/>
    <x v="506"/>
    <x v="1799"/>
    <x v="178"/>
    <x v="56"/>
    <x v="13"/>
    <x v="1488"/>
    <x v="56"/>
    <x v="0"/>
  </r>
  <r>
    <x v="47"/>
    <x v="0"/>
    <x v="8"/>
    <x v="1"/>
    <x v="6"/>
    <x v="0"/>
    <x v="100"/>
    <x v="37"/>
    <x v="86"/>
    <x v="0"/>
    <x v="385"/>
    <x v="1231"/>
    <x v="1793"/>
    <x v="1699"/>
    <x v="1800"/>
    <x v="456"/>
    <x v="176"/>
    <x v="120"/>
    <x v="1489"/>
    <x v="176"/>
    <x v="0"/>
  </r>
  <r>
    <x v="13"/>
    <x v="0"/>
    <x v="0"/>
    <x v="3"/>
    <x v="0"/>
    <x v="2"/>
    <x v="76"/>
    <x v="64"/>
    <x v="5"/>
    <x v="149"/>
    <x v="370"/>
    <x v="1565"/>
    <x v="1794"/>
    <x v="1700"/>
    <x v="1801"/>
    <x v="420"/>
    <x v="5"/>
    <x v="79"/>
    <x v="5"/>
    <x v="5"/>
    <x v="2"/>
  </r>
  <r>
    <x v="40"/>
    <x v="1"/>
    <x v="8"/>
    <x v="0"/>
    <x v="1"/>
    <x v="3"/>
    <x v="3"/>
    <x v="35"/>
    <x v="69"/>
    <x v="5"/>
    <x v="437"/>
    <x v="1566"/>
    <x v="1795"/>
    <x v="1701"/>
    <x v="1802"/>
    <x v="577"/>
    <x v="127"/>
    <x v="205"/>
    <x v="1490"/>
    <x v="127"/>
    <x v="2"/>
  </r>
  <r>
    <x v="57"/>
    <x v="0"/>
    <x v="2"/>
    <x v="2"/>
    <x v="5"/>
    <x v="2"/>
    <x v="103"/>
    <x v="11"/>
    <x v="85"/>
    <x v="15"/>
    <x v="105"/>
    <x v="1567"/>
    <x v="1796"/>
    <x v="1702"/>
    <x v="1803"/>
    <x v="111"/>
    <x v="105"/>
    <x v="184"/>
    <x v="1491"/>
    <x v="105"/>
    <x v="0"/>
  </r>
  <r>
    <x v="54"/>
    <x v="1"/>
    <x v="4"/>
    <x v="0"/>
    <x v="1"/>
    <x v="0"/>
    <x v="85"/>
    <x v="24"/>
    <x v="53"/>
    <x v="14"/>
    <x v="109"/>
    <x v="1568"/>
    <x v="1797"/>
    <x v="1703"/>
    <x v="1804"/>
    <x v="1193"/>
    <x v="60"/>
    <x v="156"/>
    <x v="710"/>
    <x v="60"/>
    <x v="0"/>
  </r>
  <r>
    <x v="3"/>
    <x v="1"/>
    <x v="4"/>
    <x v="3"/>
    <x v="4"/>
    <x v="0"/>
    <x v="100"/>
    <x v="21"/>
    <x v="2"/>
    <x v="58"/>
    <x v="313"/>
    <x v="1569"/>
    <x v="1798"/>
    <x v="1704"/>
    <x v="1805"/>
    <x v="263"/>
    <x v="171"/>
    <x v="149"/>
    <x v="1037"/>
    <x v="171"/>
    <x v="0"/>
  </r>
  <r>
    <x v="2"/>
    <x v="0"/>
    <x v="8"/>
    <x v="3"/>
    <x v="3"/>
    <x v="2"/>
    <x v="45"/>
    <x v="74"/>
    <x v="72"/>
    <x v="92"/>
    <x v="302"/>
    <x v="1570"/>
    <x v="1799"/>
    <x v="1705"/>
    <x v="1806"/>
    <x v="221"/>
    <x v="135"/>
    <x v="106"/>
    <x v="1492"/>
    <x v="135"/>
    <x v="2"/>
  </r>
  <r>
    <x v="25"/>
    <x v="1"/>
    <x v="8"/>
    <x v="2"/>
    <x v="4"/>
    <x v="1"/>
    <x v="113"/>
    <x v="24"/>
    <x v="59"/>
    <x v="40"/>
    <x v="207"/>
    <x v="1571"/>
    <x v="1800"/>
    <x v="1706"/>
    <x v="1807"/>
    <x v="1194"/>
    <x v="10"/>
    <x v="140"/>
    <x v="1493"/>
    <x v="10"/>
    <x v="0"/>
  </r>
  <r>
    <x v="36"/>
    <x v="1"/>
    <x v="7"/>
    <x v="4"/>
    <x v="2"/>
    <x v="0"/>
    <x v="42"/>
    <x v="41"/>
    <x v="22"/>
    <x v="4"/>
    <x v="161"/>
    <x v="10"/>
    <x v="1801"/>
    <x v="1707"/>
    <x v="1808"/>
    <x v="1195"/>
    <x v="6"/>
    <x v="85"/>
    <x v="1494"/>
    <x v="6"/>
    <x v="1"/>
  </r>
  <r>
    <x v="55"/>
    <x v="0"/>
    <x v="6"/>
    <x v="1"/>
    <x v="5"/>
    <x v="2"/>
    <x v="20"/>
    <x v="42"/>
    <x v="84"/>
    <x v="156"/>
    <x v="160"/>
    <x v="1572"/>
    <x v="1802"/>
    <x v="907"/>
    <x v="1809"/>
    <x v="536"/>
    <x v="169"/>
    <x v="111"/>
    <x v="1495"/>
    <x v="169"/>
    <x v="2"/>
  </r>
  <r>
    <x v="33"/>
    <x v="0"/>
    <x v="6"/>
    <x v="4"/>
    <x v="3"/>
    <x v="1"/>
    <x v="97"/>
    <x v="16"/>
    <x v="53"/>
    <x v="150"/>
    <x v="256"/>
    <x v="1573"/>
    <x v="1803"/>
    <x v="1708"/>
    <x v="1810"/>
    <x v="920"/>
    <x v="85"/>
    <x v="30"/>
    <x v="1496"/>
    <x v="85"/>
    <x v="2"/>
  </r>
  <r>
    <x v="33"/>
    <x v="1"/>
    <x v="1"/>
    <x v="1"/>
    <x v="1"/>
    <x v="1"/>
    <x v="3"/>
    <x v="37"/>
    <x v="72"/>
    <x v="49"/>
    <x v="444"/>
    <x v="1574"/>
    <x v="1804"/>
    <x v="1709"/>
    <x v="1811"/>
    <x v="490"/>
    <x v="67"/>
    <x v="14"/>
    <x v="383"/>
    <x v="67"/>
    <x v="2"/>
  </r>
  <r>
    <x v="29"/>
    <x v="1"/>
    <x v="5"/>
    <x v="1"/>
    <x v="0"/>
    <x v="2"/>
    <x v="79"/>
    <x v="2"/>
    <x v="73"/>
    <x v="6"/>
    <x v="338"/>
    <x v="268"/>
    <x v="1805"/>
    <x v="1710"/>
    <x v="1812"/>
    <x v="1196"/>
    <x v="15"/>
    <x v="136"/>
    <x v="915"/>
    <x v="15"/>
    <x v="2"/>
  </r>
  <r>
    <x v="33"/>
    <x v="1"/>
    <x v="7"/>
    <x v="2"/>
    <x v="2"/>
    <x v="1"/>
    <x v="16"/>
    <x v="18"/>
    <x v="84"/>
    <x v="86"/>
    <x v="68"/>
    <x v="1575"/>
    <x v="1806"/>
    <x v="1711"/>
    <x v="1813"/>
    <x v="956"/>
    <x v="151"/>
    <x v="123"/>
    <x v="475"/>
    <x v="151"/>
    <x v="2"/>
  </r>
  <r>
    <x v="49"/>
    <x v="0"/>
    <x v="6"/>
    <x v="4"/>
    <x v="1"/>
    <x v="1"/>
    <x v="50"/>
    <x v="46"/>
    <x v="73"/>
    <x v="117"/>
    <x v="250"/>
    <x v="1576"/>
    <x v="1807"/>
    <x v="1712"/>
    <x v="1814"/>
    <x v="1197"/>
    <x v="149"/>
    <x v="94"/>
    <x v="1497"/>
    <x v="149"/>
    <x v="1"/>
  </r>
  <r>
    <x v="4"/>
    <x v="1"/>
    <x v="7"/>
    <x v="3"/>
    <x v="4"/>
    <x v="1"/>
    <x v="70"/>
    <x v="69"/>
    <x v="62"/>
    <x v="90"/>
    <x v="211"/>
    <x v="1577"/>
    <x v="1808"/>
    <x v="1713"/>
    <x v="1815"/>
    <x v="471"/>
    <x v="110"/>
    <x v="69"/>
    <x v="551"/>
    <x v="110"/>
    <x v="1"/>
  </r>
  <r>
    <x v="47"/>
    <x v="0"/>
    <x v="9"/>
    <x v="3"/>
    <x v="2"/>
    <x v="0"/>
    <x v="85"/>
    <x v="47"/>
    <x v="60"/>
    <x v="86"/>
    <x v="354"/>
    <x v="1196"/>
    <x v="1809"/>
    <x v="1714"/>
    <x v="1816"/>
    <x v="1198"/>
    <x v="53"/>
    <x v="112"/>
    <x v="1498"/>
    <x v="53"/>
    <x v="0"/>
  </r>
  <r>
    <x v="14"/>
    <x v="0"/>
    <x v="2"/>
    <x v="2"/>
    <x v="2"/>
    <x v="2"/>
    <x v="10"/>
    <x v="2"/>
    <x v="72"/>
    <x v="45"/>
    <x v="64"/>
    <x v="1248"/>
    <x v="1810"/>
    <x v="1715"/>
    <x v="1817"/>
    <x v="1199"/>
    <x v="96"/>
    <x v="35"/>
    <x v="1499"/>
    <x v="96"/>
    <x v="2"/>
  </r>
  <r>
    <x v="8"/>
    <x v="1"/>
    <x v="8"/>
    <x v="4"/>
    <x v="2"/>
    <x v="3"/>
    <x v="113"/>
    <x v="52"/>
    <x v="22"/>
    <x v="113"/>
    <x v="108"/>
    <x v="1578"/>
    <x v="1811"/>
    <x v="1716"/>
    <x v="1818"/>
    <x v="1074"/>
    <x v="88"/>
    <x v="127"/>
    <x v="1500"/>
    <x v="88"/>
    <x v="2"/>
  </r>
  <r>
    <x v="54"/>
    <x v="1"/>
    <x v="3"/>
    <x v="0"/>
    <x v="1"/>
    <x v="1"/>
    <x v="116"/>
    <x v="14"/>
    <x v="56"/>
    <x v="36"/>
    <x v="17"/>
    <x v="775"/>
    <x v="1812"/>
    <x v="65"/>
    <x v="1819"/>
    <x v="1200"/>
    <x v="104"/>
    <x v="23"/>
    <x v="709"/>
    <x v="104"/>
    <x v="0"/>
  </r>
  <r>
    <x v="44"/>
    <x v="0"/>
    <x v="2"/>
    <x v="0"/>
    <x v="5"/>
    <x v="2"/>
    <x v="28"/>
    <x v="74"/>
    <x v="71"/>
    <x v="111"/>
    <x v="17"/>
    <x v="694"/>
    <x v="1813"/>
    <x v="1717"/>
    <x v="1820"/>
    <x v="185"/>
    <x v="101"/>
    <x v="3"/>
    <x v="1501"/>
    <x v="101"/>
    <x v="2"/>
  </r>
  <r>
    <x v="2"/>
    <x v="1"/>
    <x v="5"/>
    <x v="3"/>
    <x v="5"/>
    <x v="0"/>
    <x v="35"/>
    <x v="69"/>
    <x v="84"/>
    <x v="101"/>
    <x v="379"/>
    <x v="1579"/>
    <x v="1814"/>
    <x v="1718"/>
    <x v="1821"/>
    <x v="1201"/>
    <x v="118"/>
    <x v="15"/>
    <x v="1502"/>
    <x v="118"/>
    <x v="2"/>
  </r>
  <r>
    <x v="31"/>
    <x v="0"/>
    <x v="4"/>
    <x v="2"/>
    <x v="1"/>
    <x v="3"/>
    <x v="7"/>
    <x v="74"/>
    <x v="83"/>
    <x v="121"/>
    <x v="27"/>
    <x v="1580"/>
    <x v="1815"/>
    <x v="1719"/>
    <x v="1822"/>
    <x v="1202"/>
    <x v="115"/>
    <x v="123"/>
    <x v="533"/>
    <x v="115"/>
    <x v="2"/>
  </r>
  <r>
    <x v="55"/>
    <x v="1"/>
    <x v="5"/>
    <x v="0"/>
    <x v="5"/>
    <x v="1"/>
    <x v="77"/>
    <x v="34"/>
    <x v="60"/>
    <x v="49"/>
    <x v="79"/>
    <x v="1181"/>
    <x v="1816"/>
    <x v="1720"/>
    <x v="1823"/>
    <x v="771"/>
    <x v="18"/>
    <x v="32"/>
    <x v="1503"/>
    <x v="18"/>
    <x v="2"/>
  </r>
  <r>
    <x v="11"/>
    <x v="1"/>
    <x v="9"/>
    <x v="4"/>
    <x v="2"/>
    <x v="3"/>
    <x v="71"/>
    <x v="48"/>
    <x v="65"/>
    <x v="25"/>
    <x v="345"/>
    <x v="1581"/>
    <x v="1817"/>
    <x v="1721"/>
    <x v="1824"/>
    <x v="949"/>
    <x v="26"/>
    <x v="148"/>
    <x v="1504"/>
    <x v="26"/>
    <x v="1"/>
  </r>
  <r>
    <x v="32"/>
    <x v="1"/>
    <x v="3"/>
    <x v="3"/>
    <x v="3"/>
    <x v="3"/>
    <x v="38"/>
    <x v="68"/>
    <x v="84"/>
    <x v="30"/>
    <x v="167"/>
    <x v="1582"/>
    <x v="1818"/>
    <x v="1722"/>
    <x v="1825"/>
    <x v="1093"/>
    <x v="167"/>
    <x v="127"/>
    <x v="1505"/>
    <x v="167"/>
    <x v="1"/>
  </r>
  <r>
    <x v="34"/>
    <x v="1"/>
    <x v="8"/>
    <x v="0"/>
    <x v="1"/>
    <x v="1"/>
    <x v="77"/>
    <x v="41"/>
    <x v="64"/>
    <x v="139"/>
    <x v="292"/>
    <x v="1532"/>
    <x v="1819"/>
    <x v="1723"/>
    <x v="1826"/>
    <x v="1203"/>
    <x v="50"/>
    <x v="116"/>
    <x v="4"/>
    <x v="50"/>
    <x v="2"/>
  </r>
  <r>
    <x v="37"/>
    <x v="1"/>
    <x v="3"/>
    <x v="4"/>
    <x v="6"/>
    <x v="1"/>
    <x v="111"/>
    <x v="2"/>
    <x v="66"/>
    <x v="131"/>
    <x v="345"/>
    <x v="214"/>
    <x v="1820"/>
    <x v="1401"/>
    <x v="1827"/>
    <x v="714"/>
    <x v="41"/>
    <x v="57"/>
    <x v="1506"/>
    <x v="41"/>
    <x v="2"/>
  </r>
  <r>
    <x v="12"/>
    <x v="0"/>
    <x v="6"/>
    <x v="0"/>
    <x v="2"/>
    <x v="0"/>
    <x v="21"/>
    <x v="34"/>
    <x v="52"/>
    <x v="32"/>
    <x v="93"/>
    <x v="1583"/>
    <x v="1821"/>
    <x v="1724"/>
    <x v="1828"/>
    <x v="1204"/>
    <x v="94"/>
    <x v="149"/>
    <x v="1396"/>
    <x v="94"/>
    <x v="0"/>
  </r>
  <r>
    <x v="43"/>
    <x v="0"/>
    <x v="1"/>
    <x v="0"/>
    <x v="3"/>
    <x v="1"/>
    <x v="42"/>
    <x v="12"/>
    <x v="48"/>
    <x v="98"/>
    <x v="290"/>
    <x v="144"/>
    <x v="1822"/>
    <x v="1725"/>
    <x v="1829"/>
    <x v="991"/>
    <x v="86"/>
    <x v="105"/>
    <x v="1507"/>
    <x v="86"/>
    <x v="2"/>
  </r>
  <r>
    <x v="8"/>
    <x v="0"/>
    <x v="0"/>
    <x v="3"/>
    <x v="5"/>
    <x v="1"/>
    <x v="56"/>
    <x v="74"/>
    <x v="28"/>
    <x v="145"/>
    <x v="219"/>
    <x v="752"/>
    <x v="1823"/>
    <x v="1726"/>
    <x v="1830"/>
    <x v="262"/>
    <x v="134"/>
    <x v="7"/>
    <x v="1508"/>
    <x v="134"/>
    <x v="2"/>
  </r>
  <r>
    <x v="1"/>
    <x v="1"/>
    <x v="0"/>
    <x v="3"/>
    <x v="0"/>
    <x v="1"/>
    <x v="94"/>
    <x v="51"/>
    <x v="79"/>
    <x v="42"/>
    <x v="190"/>
    <x v="20"/>
    <x v="1824"/>
    <x v="1727"/>
    <x v="1831"/>
    <x v="1205"/>
    <x v="10"/>
    <x v="88"/>
    <x v="1509"/>
    <x v="10"/>
    <x v="1"/>
  </r>
  <r>
    <x v="31"/>
    <x v="1"/>
    <x v="6"/>
    <x v="2"/>
    <x v="0"/>
    <x v="3"/>
    <x v="20"/>
    <x v="57"/>
    <x v="89"/>
    <x v="89"/>
    <x v="360"/>
    <x v="1409"/>
    <x v="1825"/>
    <x v="1728"/>
    <x v="1832"/>
    <x v="308"/>
    <x v="112"/>
    <x v="112"/>
    <x v="1510"/>
    <x v="112"/>
    <x v="2"/>
  </r>
  <r>
    <x v="25"/>
    <x v="1"/>
    <x v="5"/>
    <x v="4"/>
    <x v="5"/>
    <x v="0"/>
    <x v="21"/>
    <x v="29"/>
    <x v="4"/>
    <x v="61"/>
    <x v="109"/>
    <x v="1584"/>
    <x v="1826"/>
    <x v="1729"/>
    <x v="1833"/>
    <x v="637"/>
    <x v="184"/>
    <x v="1"/>
    <x v="1511"/>
    <x v="184"/>
    <x v="0"/>
  </r>
  <r>
    <x v="16"/>
    <x v="0"/>
    <x v="4"/>
    <x v="0"/>
    <x v="2"/>
    <x v="2"/>
    <x v="57"/>
    <x v="34"/>
    <x v="77"/>
    <x v="108"/>
    <x v="61"/>
    <x v="497"/>
    <x v="1827"/>
    <x v="1730"/>
    <x v="1834"/>
    <x v="562"/>
    <x v="56"/>
    <x v="60"/>
    <x v="1512"/>
    <x v="56"/>
    <x v="0"/>
  </r>
  <r>
    <x v="42"/>
    <x v="1"/>
    <x v="6"/>
    <x v="4"/>
    <x v="6"/>
    <x v="0"/>
    <x v="66"/>
    <x v="6"/>
    <x v="30"/>
    <x v="37"/>
    <x v="150"/>
    <x v="1045"/>
    <x v="1828"/>
    <x v="766"/>
    <x v="1835"/>
    <x v="1206"/>
    <x v="119"/>
    <x v="23"/>
    <x v="1513"/>
    <x v="119"/>
    <x v="2"/>
  </r>
  <r>
    <x v="40"/>
    <x v="0"/>
    <x v="9"/>
    <x v="0"/>
    <x v="5"/>
    <x v="2"/>
    <x v="78"/>
    <x v="30"/>
    <x v="39"/>
    <x v="33"/>
    <x v="125"/>
    <x v="1585"/>
    <x v="1829"/>
    <x v="1731"/>
    <x v="1836"/>
    <x v="250"/>
    <x v="8"/>
    <x v="73"/>
    <x v="1514"/>
    <x v="8"/>
    <x v="2"/>
  </r>
  <r>
    <x v="9"/>
    <x v="1"/>
    <x v="4"/>
    <x v="3"/>
    <x v="1"/>
    <x v="3"/>
    <x v="53"/>
    <x v="55"/>
    <x v="40"/>
    <x v="115"/>
    <x v="230"/>
    <x v="1586"/>
    <x v="1830"/>
    <x v="738"/>
    <x v="1837"/>
    <x v="72"/>
    <x v="113"/>
    <x v="43"/>
    <x v="1515"/>
    <x v="113"/>
    <x v="0"/>
  </r>
  <r>
    <x v="57"/>
    <x v="0"/>
    <x v="2"/>
    <x v="3"/>
    <x v="3"/>
    <x v="1"/>
    <x v="75"/>
    <x v="28"/>
    <x v="46"/>
    <x v="114"/>
    <x v="121"/>
    <x v="1263"/>
    <x v="1831"/>
    <x v="1732"/>
    <x v="1838"/>
    <x v="877"/>
    <x v="167"/>
    <x v="136"/>
    <x v="1516"/>
    <x v="167"/>
    <x v="0"/>
  </r>
  <r>
    <x v="7"/>
    <x v="1"/>
    <x v="8"/>
    <x v="1"/>
    <x v="1"/>
    <x v="1"/>
    <x v="112"/>
    <x v="70"/>
    <x v="68"/>
    <x v="56"/>
    <x v="286"/>
    <x v="1587"/>
    <x v="1832"/>
    <x v="1733"/>
    <x v="1839"/>
    <x v="9"/>
    <x v="40"/>
    <x v="93"/>
    <x v="1517"/>
    <x v="40"/>
    <x v="2"/>
  </r>
  <r>
    <x v="14"/>
    <x v="0"/>
    <x v="6"/>
    <x v="1"/>
    <x v="6"/>
    <x v="3"/>
    <x v="24"/>
    <x v="52"/>
    <x v="80"/>
    <x v="100"/>
    <x v="193"/>
    <x v="1588"/>
    <x v="1833"/>
    <x v="1734"/>
    <x v="1840"/>
    <x v="1207"/>
    <x v="51"/>
    <x v="6"/>
    <x v="1281"/>
    <x v="51"/>
    <x v="2"/>
  </r>
  <r>
    <x v="30"/>
    <x v="1"/>
    <x v="0"/>
    <x v="0"/>
    <x v="6"/>
    <x v="0"/>
    <x v="42"/>
    <x v="13"/>
    <x v="34"/>
    <x v="138"/>
    <x v="434"/>
    <x v="1589"/>
    <x v="1834"/>
    <x v="1735"/>
    <x v="1841"/>
    <x v="1208"/>
    <x v="84"/>
    <x v="87"/>
    <x v="1518"/>
    <x v="84"/>
    <x v="1"/>
  </r>
  <r>
    <x v="14"/>
    <x v="1"/>
    <x v="7"/>
    <x v="2"/>
    <x v="0"/>
    <x v="2"/>
    <x v="98"/>
    <x v="6"/>
    <x v="22"/>
    <x v="44"/>
    <x v="427"/>
    <x v="159"/>
    <x v="1835"/>
    <x v="1736"/>
    <x v="1842"/>
    <x v="1209"/>
    <x v="23"/>
    <x v="226"/>
    <x v="1519"/>
    <x v="23"/>
    <x v="2"/>
  </r>
  <r>
    <x v="35"/>
    <x v="0"/>
    <x v="3"/>
    <x v="4"/>
    <x v="1"/>
    <x v="2"/>
    <x v="95"/>
    <x v="72"/>
    <x v="79"/>
    <x v="17"/>
    <x v="194"/>
    <x v="1590"/>
    <x v="1836"/>
    <x v="1737"/>
    <x v="1843"/>
    <x v="255"/>
    <x v="27"/>
    <x v="174"/>
    <x v="1520"/>
    <x v="27"/>
    <x v="2"/>
  </r>
  <r>
    <x v="47"/>
    <x v="1"/>
    <x v="7"/>
    <x v="1"/>
    <x v="3"/>
    <x v="3"/>
    <x v="83"/>
    <x v="73"/>
    <x v="74"/>
    <x v="74"/>
    <x v="12"/>
    <x v="1591"/>
    <x v="1837"/>
    <x v="1649"/>
    <x v="1844"/>
    <x v="1210"/>
    <x v="116"/>
    <x v="160"/>
    <x v="1521"/>
    <x v="116"/>
    <x v="0"/>
  </r>
  <r>
    <x v="13"/>
    <x v="0"/>
    <x v="5"/>
    <x v="3"/>
    <x v="5"/>
    <x v="1"/>
    <x v="62"/>
    <x v="56"/>
    <x v="22"/>
    <x v="154"/>
    <x v="316"/>
    <x v="1592"/>
    <x v="1838"/>
    <x v="496"/>
    <x v="83"/>
    <x v="1211"/>
    <x v="119"/>
    <x v="24"/>
    <x v="1522"/>
    <x v="119"/>
    <x v="2"/>
  </r>
  <r>
    <x v="54"/>
    <x v="0"/>
    <x v="2"/>
    <x v="4"/>
    <x v="2"/>
    <x v="3"/>
    <x v="44"/>
    <x v="63"/>
    <x v="72"/>
    <x v="30"/>
    <x v="7"/>
    <x v="1593"/>
    <x v="1839"/>
    <x v="1738"/>
    <x v="1845"/>
    <x v="35"/>
    <x v="41"/>
    <x v="158"/>
    <x v="1523"/>
    <x v="41"/>
    <x v="0"/>
  </r>
  <r>
    <x v="5"/>
    <x v="1"/>
    <x v="1"/>
    <x v="2"/>
    <x v="2"/>
    <x v="2"/>
    <x v="36"/>
    <x v="61"/>
    <x v="19"/>
    <x v="53"/>
    <x v="348"/>
    <x v="1082"/>
    <x v="1840"/>
    <x v="1739"/>
    <x v="1846"/>
    <x v="1212"/>
    <x v="0"/>
    <x v="79"/>
    <x v="1177"/>
    <x v="0"/>
    <x v="2"/>
  </r>
  <r>
    <x v="1"/>
    <x v="1"/>
    <x v="2"/>
    <x v="1"/>
    <x v="6"/>
    <x v="3"/>
    <x v="8"/>
    <x v="31"/>
    <x v="46"/>
    <x v="75"/>
    <x v="245"/>
    <x v="1594"/>
    <x v="1841"/>
    <x v="1740"/>
    <x v="1847"/>
    <x v="269"/>
    <x v="111"/>
    <x v="30"/>
    <x v="1524"/>
    <x v="111"/>
    <x v="1"/>
  </r>
  <r>
    <x v="44"/>
    <x v="0"/>
    <x v="2"/>
    <x v="3"/>
    <x v="0"/>
    <x v="0"/>
    <x v="33"/>
    <x v="22"/>
    <x v="75"/>
    <x v="17"/>
    <x v="120"/>
    <x v="1595"/>
    <x v="1842"/>
    <x v="1741"/>
    <x v="1848"/>
    <x v="756"/>
    <x v="99"/>
    <x v="172"/>
    <x v="1525"/>
    <x v="99"/>
    <x v="2"/>
  </r>
  <r>
    <x v="8"/>
    <x v="0"/>
    <x v="8"/>
    <x v="1"/>
    <x v="6"/>
    <x v="3"/>
    <x v="109"/>
    <x v="57"/>
    <x v="67"/>
    <x v="81"/>
    <x v="164"/>
    <x v="1596"/>
    <x v="1843"/>
    <x v="1742"/>
    <x v="1849"/>
    <x v="1083"/>
    <x v="139"/>
    <x v="101"/>
    <x v="1526"/>
    <x v="139"/>
    <x v="2"/>
  </r>
  <r>
    <x v="37"/>
    <x v="1"/>
    <x v="2"/>
    <x v="1"/>
    <x v="4"/>
    <x v="3"/>
    <x v="81"/>
    <x v="62"/>
    <x v="20"/>
    <x v="38"/>
    <x v="240"/>
    <x v="1597"/>
    <x v="1844"/>
    <x v="1743"/>
    <x v="1850"/>
    <x v="698"/>
    <x v="86"/>
    <x v="25"/>
    <x v="1527"/>
    <x v="86"/>
    <x v="2"/>
  </r>
  <r>
    <x v="52"/>
    <x v="0"/>
    <x v="5"/>
    <x v="4"/>
    <x v="6"/>
    <x v="0"/>
    <x v="15"/>
    <x v="77"/>
    <x v="52"/>
    <x v="84"/>
    <x v="355"/>
    <x v="1598"/>
    <x v="1845"/>
    <x v="1744"/>
    <x v="1851"/>
    <x v="805"/>
    <x v="97"/>
    <x v="167"/>
    <x v="1528"/>
    <x v="97"/>
    <x v="2"/>
  </r>
  <r>
    <x v="8"/>
    <x v="1"/>
    <x v="4"/>
    <x v="3"/>
    <x v="3"/>
    <x v="1"/>
    <x v="24"/>
    <x v="26"/>
    <x v="50"/>
    <x v="107"/>
    <x v="305"/>
    <x v="261"/>
    <x v="1060"/>
    <x v="1745"/>
    <x v="1852"/>
    <x v="417"/>
    <x v="79"/>
    <x v="182"/>
    <x v="1529"/>
    <x v="79"/>
    <x v="2"/>
  </r>
  <r>
    <x v="52"/>
    <x v="0"/>
    <x v="5"/>
    <x v="2"/>
    <x v="5"/>
    <x v="3"/>
    <x v="2"/>
    <x v="8"/>
    <x v="25"/>
    <x v="79"/>
    <x v="413"/>
    <x v="1599"/>
    <x v="1846"/>
    <x v="4"/>
    <x v="1853"/>
    <x v="1213"/>
    <x v="141"/>
    <x v="81"/>
    <x v="1530"/>
    <x v="141"/>
    <x v="2"/>
  </r>
  <r>
    <x v="12"/>
    <x v="1"/>
    <x v="2"/>
    <x v="4"/>
    <x v="4"/>
    <x v="1"/>
    <x v="108"/>
    <x v="39"/>
    <x v="40"/>
    <x v="154"/>
    <x v="31"/>
    <x v="1600"/>
    <x v="1847"/>
    <x v="1746"/>
    <x v="1854"/>
    <x v="823"/>
    <x v="132"/>
    <x v="45"/>
    <x v="1531"/>
    <x v="132"/>
    <x v="0"/>
  </r>
  <r>
    <x v="26"/>
    <x v="1"/>
    <x v="3"/>
    <x v="0"/>
    <x v="3"/>
    <x v="3"/>
    <x v="40"/>
    <x v="18"/>
    <x v="70"/>
    <x v="122"/>
    <x v="226"/>
    <x v="707"/>
    <x v="1848"/>
    <x v="1747"/>
    <x v="1855"/>
    <x v="1214"/>
    <x v="104"/>
    <x v="67"/>
    <x v="1532"/>
    <x v="104"/>
    <x v="2"/>
  </r>
  <r>
    <x v="35"/>
    <x v="1"/>
    <x v="7"/>
    <x v="2"/>
    <x v="1"/>
    <x v="1"/>
    <x v="32"/>
    <x v="1"/>
    <x v="87"/>
    <x v="62"/>
    <x v="14"/>
    <x v="1601"/>
    <x v="1849"/>
    <x v="1748"/>
    <x v="1856"/>
    <x v="1088"/>
    <x v="99"/>
    <x v="45"/>
    <x v="1533"/>
    <x v="99"/>
    <x v="2"/>
  </r>
  <r>
    <x v="9"/>
    <x v="1"/>
    <x v="8"/>
    <x v="3"/>
    <x v="0"/>
    <x v="2"/>
    <x v="57"/>
    <x v="54"/>
    <x v="63"/>
    <x v="14"/>
    <x v="2"/>
    <x v="1602"/>
    <x v="1850"/>
    <x v="1749"/>
    <x v="1857"/>
    <x v="1215"/>
    <x v="160"/>
    <x v="63"/>
    <x v="1534"/>
    <x v="160"/>
    <x v="0"/>
  </r>
  <r>
    <x v="32"/>
    <x v="1"/>
    <x v="3"/>
    <x v="1"/>
    <x v="6"/>
    <x v="3"/>
    <x v="42"/>
    <x v="72"/>
    <x v="65"/>
    <x v="0"/>
    <x v="11"/>
    <x v="1603"/>
    <x v="1851"/>
    <x v="1750"/>
    <x v="1858"/>
    <x v="206"/>
    <x v="22"/>
    <x v="56"/>
    <x v="1535"/>
    <x v="22"/>
    <x v="1"/>
  </r>
  <r>
    <x v="22"/>
    <x v="1"/>
    <x v="8"/>
    <x v="3"/>
    <x v="2"/>
    <x v="3"/>
    <x v="59"/>
    <x v="65"/>
    <x v="72"/>
    <x v="27"/>
    <x v="122"/>
    <x v="1309"/>
    <x v="1852"/>
    <x v="1751"/>
    <x v="1859"/>
    <x v="1180"/>
    <x v="62"/>
    <x v="145"/>
    <x v="1536"/>
    <x v="62"/>
    <x v="0"/>
  </r>
  <r>
    <x v="5"/>
    <x v="0"/>
    <x v="6"/>
    <x v="3"/>
    <x v="1"/>
    <x v="3"/>
    <x v="72"/>
    <x v="35"/>
    <x v="4"/>
    <x v="73"/>
    <x v="387"/>
    <x v="1604"/>
    <x v="1853"/>
    <x v="1752"/>
    <x v="1860"/>
    <x v="1117"/>
    <x v="58"/>
    <x v="140"/>
    <x v="1537"/>
    <x v="58"/>
    <x v="2"/>
  </r>
  <r>
    <x v="37"/>
    <x v="0"/>
    <x v="5"/>
    <x v="3"/>
    <x v="0"/>
    <x v="3"/>
    <x v="116"/>
    <x v="18"/>
    <x v="5"/>
    <x v="66"/>
    <x v="333"/>
    <x v="1424"/>
    <x v="1854"/>
    <x v="1753"/>
    <x v="1861"/>
    <x v="290"/>
    <x v="81"/>
    <x v="90"/>
    <x v="1538"/>
    <x v="81"/>
    <x v="2"/>
  </r>
  <r>
    <x v="12"/>
    <x v="0"/>
    <x v="5"/>
    <x v="2"/>
    <x v="1"/>
    <x v="0"/>
    <x v="49"/>
    <x v="22"/>
    <x v="83"/>
    <x v="14"/>
    <x v="363"/>
    <x v="1605"/>
    <x v="1855"/>
    <x v="1288"/>
    <x v="1862"/>
    <x v="1216"/>
    <x v="41"/>
    <x v="171"/>
    <x v="1539"/>
    <x v="41"/>
    <x v="0"/>
  </r>
  <r>
    <x v="38"/>
    <x v="0"/>
    <x v="6"/>
    <x v="1"/>
    <x v="2"/>
    <x v="3"/>
    <x v="104"/>
    <x v="34"/>
    <x v="7"/>
    <x v="114"/>
    <x v="316"/>
    <x v="1606"/>
    <x v="1856"/>
    <x v="1754"/>
    <x v="1863"/>
    <x v="81"/>
    <x v="1"/>
    <x v="172"/>
    <x v="1540"/>
    <x v="1"/>
    <x v="2"/>
  </r>
  <r>
    <x v="57"/>
    <x v="0"/>
    <x v="2"/>
    <x v="1"/>
    <x v="1"/>
    <x v="1"/>
    <x v="73"/>
    <x v="67"/>
    <x v="64"/>
    <x v="63"/>
    <x v="318"/>
    <x v="1607"/>
    <x v="1857"/>
    <x v="1755"/>
    <x v="1864"/>
    <x v="221"/>
    <x v="105"/>
    <x v="28"/>
    <x v="1541"/>
    <x v="105"/>
    <x v="0"/>
  </r>
  <r>
    <x v="48"/>
    <x v="0"/>
    <x v="9"/>
    <x v="3"/>
    <x v="6"/>
    <x v="3"/>
    <x v="46"/>
    <x v="36"/>
    <x v="7"/>
    <x v="24"/>
    <x v="387"/>
    <x v="1608"/>
    <x v="1858"/>
    <x v="1756"/>
    <x v="1865"/>
    <x v="819"/>
    <x v="42"/>
    <x v="130"/>
    <x v="1247"/>
    <x v="42"/>
    <x v="2"/>
  </r>
  <r>
    <x v="4"/>
    <x v="1"/>
    <x v="5"/>
    <x v="0"/>
    <x v="3"/>
    <x v="1"/>
    <x v="30"/>
    <x v="20"/>
    <x v="2"/>
    <x v="113"/>
    <x v="14"/>
    <x v="1609"/>
    <x v="1859"/>
    <x v="1757"/>
    <x v="1866"/>
    <x v="1200"/>
    <x v="86"/>
    <x v="160"/>
    <x v="1542"/>
    <x v="86"/>
    <x v="1"/>
  </r>
  <r>
    <x v="38"/>
    <x v="1"/>
    <x v="3"/>
    <x v="0"/>
    <x v="5"/>
    <x v="1"/>
    <x v="25"/>
    <x v="46"/>
    <x v="9"/>
    <x v="80"/>
    <x v="445"/>
    <x v="209"/>
    <x v="1860"/>
    <x v="1758"/>
    <x v="1867"/>
    <x v="458"/>
    <x v="146"/>
    <x v="31"/>
    <x v="1543"/>
    <x v="146"/>
    <x v="2"/>
  </r>
  <r>
    <x v="26"/>
    <x v="0"/>
    <x v="8"/>
    <x v="2"/>
    <x v="2"/>
    <x v="3"/>
    <x v="100"/>
    <x v="67"/>
    <x v="63"/>
    <x v="37"/>
    <x v="252"/>
    <x v="1610"/>
    <x v="1861"/>
    <x v="1759"/>
    <x v="1868"/>
    <x v="396"/>
    <x v="41"/>
    <x v="137"/>
    <x v="1544"/>
    <x v="41"/>
    <x v="2"/>
  </r>
  <r>
    <x v="27"/>
    <x v="0"/>
    <x v="3"/>
    <x v="0"/>
    <x v="2"/>
    <x v="0"/>
    <x v="81"/>
    <x v="9"/>
    <x v="55"/>
    <x v="10"/>
    <x v="91"/>
    <x v="1611"/>
    <x v="1862"/>
    <x v="250"/>
    <x v="1869"/>
    <x v="1217"/>
    <x v="170"/>
    <x v="39"/>
    <x v="1545"/>
    <x v="170"/>
    <x v="0"/>
  </r>
  <r>
    <x v="31"/>
    <x v="0"/>
    <x v="2"/>
    <x v="0"/>
    <x v="1"/>
    <x v="2"/>
    <x v="114"/>
    <x v="46"/>
    <x v="34"/>
    <x v="95"/>
    <x v="299"/>
    <x v="675"/>
    <x v="1863"/>
    <x v="1760"/>
    <x v="1870"/>
    <x v="1090"/>
    <x v="30"/>
    <x v="176"/>
    <x v="1546"/>
    <x v="30"/>
    <x v="2"/>
  </r>
  <r>
    <x v="57"/>
    <x v="1"/>
    <x v="8"/>
    <x v="1"/>
    <x v="1"/>
    <x v="1"/>
    <x v="25"/>
    <x v="78"/>
    <x v="44"/>
    <x v="29"/>
    <x v="396"/>
    <x v="167"/>
    <x v="1864"/>
    <x v="1761"/>
    <x v="1871"/>
    <x v="1218"/>
    <x v="149"/>
    <x v="10"/>
    <x v="1547"/>
    <x v="149"/>
    <x v="0"/>
  </r>
  <r>
    <x v="19"/>
    <x v="1"/>
    <x v="1"/>
    <x v="3"/>
    <x v="5"/>
    <x v="1"/>
    <x v="6"/>
    <x v="2"/>
    <x v="71"/>
    <x v="142"/>
    <x v="161"/>
    <x v="1612"/>
    <x v="1865"/>
    <x v="320"/>
    <x v="1872"/>
    <x v="937"/>
    <x v="11"/>
    <x v="139"/>
    <x v="1548"/>
    <x v="11"/>
    <x v="1"/>
  </r>
  <r>
    <x v="9"/>
    <x v="1"/>
    <x v="2"/>
    <x v="0"/>
    <x v="3"/>
    <x v="2"/>
    <x v="88"/>
    <x v="52"/>
    <x v="70"/>
    <x v="38"/>
    <x v="71"/>
    <x v="227"/>
    <x v="1866"/>
    <x v="1762"/>
    <x v="1873"/>
    <x v="1156"/>
    <x v="105"/>
    <x v="181"/>
    <x v="1549"/>
    <x v="105"/>
    <x v="0"/>
  </r>
  <r>
    <x v="25"/>
    <x v="1"/>
    <x v="5"/>
    <x v="1"/>
    <x v="1"/>
    <x v="1"/>
    <x v="52"/>
    <x v="20"/>
    <x v="30"/>
    <x v="8"/>
    <x v="102"/>
    <x v="1613"/>
    <x v="1867"/>
    <x v="1763"/>
    <x v="1874"/>
    <x v="662"/>
    <x v="12"/>
    <x v="176"/>
    <x v="1309"/>
    <x v="12"/>
    <x v="0"/>
  </r>
  <r>
    <x v="52"/>
    <x v="1"/>
    <x v="6"/>
    <x v="2"/>
    <x v="2"/>
    <x v="1"/>
    <x v="26"/>
    <x v="69"/>
    <x v="70"/>
    <x v="31"/>
    <x v="371"/>
    <x v="1614"/>
    <x v="1868"/>
    <x v="1764"/>
    <x v="1875"/>
    <x v="1219"/>
    <x v="61"/>
    <x v="140"/>
    <x v="1550"/>
    <x v="61"/>
    <x v="2"/>
  </r>
  <r>
    <x v="26"/>
    <x v="1"/>
    <x v="9"/>
    <x v="2"/>
    <x v="3"/>
    <x v="1"/>
    <x v="116"/>
    <x v="70"/>
    <x v="56"/>
    <x v="144"/>
    <x v="76"/>
    <x v="1615"/>
    <x v="1031"/>
    <x v="1765"/>
    <x v="1876"/>
    <x v="928"/>
    <x v="140"/>
    <x v="95"/>
    <x v="1551"/>
    <x v="140"/>
    <x v="2"/>
  </r>
  <r>
    <x v="29"/>
    <x v="1"/>
    <x v="0"/>
    <x v="2"/>
    <x v="6"/>
    <x v="0"/>
    <x v="23"/>
    <x v="32"/>
    <x v="20"/>
    <x v="103"/>
    <x v="291"/>
    <x v="1616"/>
    <x v="1869"/>
    <x v="1766"/>
    <x v="1877"/>
    <x v="1220"/>
    <x v="63"/>
    <x v="26"/>
    <x v="1552"/>
    <x v="63"/>
    <x v="2"/>
  </r>
  <r>
    <x v="36"/>
    <x v="1"/>
    <x v="6"/>
    <x v="0"/>
    <x v="0"/>
    <x v="1"/>
    <x v="97"/>
    <x v="69"/>
    <x v="59"/>
    <x v="130"/>
    <x v="317"/>
    <x v="1617"/>
    <x v="1870"/>
    <x v="383"/>
    <x v="1878"/>
    <x v="436"/>
    <x v="30"/>
    <x v="6"/>
    <x v="1553"/>
    <x v="30"/>
    <x v="1"/>
  </r>
  <r>
    <x v="6"/>
    <x v="1"/>
    <x v="4"/>
    <x v="3"/>
    <x v="5"/>
    <x v="1"/>
    <x v="95"/>
    <x v="0"/>
    <x v="12"/>
    <x v="27"/>
    <x v="34"/>
    <x v="1618"/>
    <x v="1871"/>
    <x v="1767"/>
    <x v="1879"/>
    <x v="51"/>
    <x v="73"/>
    <x v="53"/>
    <x v="1554"/>
    <x v="73"/>
    <x v="2"/>
  </r>
  <r>
    <x v="29"/>
    <x v="0"/>
    <x v="8"/>
    <x v="1"/>
    <x v="2"/>
    <x v="3"/>
    <x v="110"/>
    <x v="31"/>
    <x v="9"/>
    <x v="129"/>
    <x v="142"/>
    <x v="1619"/>
    <x v="1872"/>
    <x v="1768"/>
    <x v="1880"/>
    <x v="1176"/>
    <x v="59"/>
    <x v="27"/>
    <x v="1555"/>
    <x v="59"/>
    <x v="2"/>
  </r>
  <r>
    <x v="51"/>
    <x v="1"/>
    <x v="9"/>
    <x v="0"/>
    <x v="0"/>
    <x v="1"/>
    <x v="46"/>
    <x v="25"/>
    <x v="44"/>
    <x v="154"/>
    <x v="284"/>
    <x v="93"/>
    <x v="1873"/>
    <x v="1769"/>
    <x v="1881"/>
    <x v="1221"/>
    <x v="19"/>
    <x v="60"/>
    <x v="1556"/>
    <x v="19"/>
    <x v="2"/>
  </r>
  <r>
    <x v="21"/>
    <x v="1"/>
    <x v="3"/>
    <x v="1"/>
    <x v="5"/>
    <x v="0"/>
    <x v="58"/>
    <x v="13"/>
    <x v="32"/>
    <x v="137"/>
    <x v="415"/>
    <x v="1620"/>
    <x v="1874"/>
    <x v="1770"/>
    <x v="1882"/>
    <x v="1222"/>
    <x v="14"/>
    <x v="4"/>
    <x v="1557"/>
    <x v="14"/>
    <x v="0"/>
  </r>
  <r>
    <x v="54"/>
    <x v="0"/>
    <x v="3"/>
    <x v="1"/>
    <x v="2"/>
    <x v="1"/>
    <x v="29"/>
    <x v="3"/>
    <x v="65"/>
    <x v="46"/>
    <x v="292"/>
    <x v="1621"/>
    <x v="1875"/>
    <x v="1771"/>
    <x v="1883"/>
    <x v="1223"/>
    <x v="134"/>
    <x v="124"/>
    <x v="1558"/>
    <x v="134"/>
    <x v="0"/>
  </r>
  <r>
    <x v="4"/>
    <x v="0"/>
    <x v="9"/>
    <x v="3"/>
    <x v="1"/>
    <x v="2"/>
    <x v="114"/>
    <x v="22"/>
    <x v="32"/>
    <x v="149"/>
    <x v="291"/>
    <x v="1622"/>
    <x v="1876"/>
    <x v="925"/>
    <x v="1884"/>
    <x v="699"/>
    <x v="1"/>
    <x v="135"/>
    <x v="1559"/>
    <x v="1"/>
    <x v="1"/>
  </r>
  <r>
    <x v="18"/>
    <x v="0"/>
    <x v="7"/>
    <x v="0"/>
    <x v="5"/>
    <x v="2"/>
    <x v="61"/>
    <x v="6"/>
    <x v="45"/>
    <x v="13"/>
    <x v="384"/>
    <x v="1623"/>
    <x v="1877"/>
    <x v="1772"/>
    <x v="1885"/>
    <x v="401"/>
    <x v="165"/>
    <x v="51"/>
    <x v="1560"/>
    <x v="165"/>
    <x v="2"/>
  </r>
  <r>
    <x v="53"/>
    <x v="0"/>
    <x v="5"/>
    <x v="3"/>
    <x v="3"/>
    <x v="2"/>
    <x v="51"/>
    <x v="58"/>
    <x v="84"/>
    <x v="102"/>
    <x v="41"/>
    <x v="1624"/>
    <x v="1878"/>
    <x v="1773"/>
    <x v="1886"/>
    <x v="250"/>
    <x v="88"/>
    <x v="139"/>
    <x v="1561"/>
    <x v="88"/>
    <x v="1"/>
  </r>
  <r>
    <x v="14"/>
    <x v="0"/>
    <x v="4"/>
    <x v="0"/>
    <x v="5"/>
    <x v="2"/>
    <x v="18"/>
    <x v="7"/>
    <x v="82"/>
    <x v="125"/>
    <x v="58"/>
    <x v="1258"/>
    <x v="1879"/>
    <x v="1774"/>
    <x v="1887"/>
    <x v="385"/>
    <x v="180"/>
    <x v="161"/>
    <x v="459"/>
    <x v="180"/>
    <x v="2"/>
  </r>
  <r>
    <x v="38"/>
    <x v="0"/>
    <x v="4"/>
    <x v="4"/>
    <x v="3"/>
    <x v="1"/>
    <x v="108"/>
    <x v="39"/>
    <x v="63"/>
    <x v="28"/>
    <x v="299"/>
    <x v="1625"/>
    <x v="1880"/>
    <x v="1775"/>
    <x v="1888"/>
    <x v="1172"/>
    <x v="132"/>
    <x v="93"/>
    <x v="1562"/>
    <x v="132"/>
    <x v="2"/>
  </r>
  <r>
    <x v="52"/>
    <x v="0"/>
    <x v="4"/>
    <x v="2"/>
    <x v="0"/>
    <x v="1"/>
    <x v="34"/>
    <x v="41"/>
    <x v="47"/>
    <x v="151"/>
    <x v="69"/>
    <x v="1626"/>
    <x v="1881"/>
    <x v="1776"/>
    <x v="1889"/>
    <x v="292"/>
    <x v="110"/>
    <x v="50"/>
    <x v="1563"/>
    <x v="110"/>
    <x v="2"/>
  </r>
  <r>
    <x v="50"/>
    <x v="1"/>
    <x v="7"/>
    <x v="2"/>
    <x v="5"/>
    <x v="2"/>
    <x v="39"/>
    <x v="36"/>
    <x v="22"/>
    <x v="65"/>
    <x v="426"/>
    <x v="1627"/>
    <x v="1882"/>
    <x v="1777"/>
    <x v="1890"/>
    <x v="1217"/>
    <x v="51"/>
    <x v="2"/>
    <x v="1564"/>
    <x v="51"/>
    <x v="2"/>
  </r>
  <r>
    <x v="32"/>
    <x v="0"/>
    <x v="5"/>
    <x v="2"/>
    <x v="5"/>
    <x v="2"/>
    <x v="76"/>
    <x v="24"/>
    <x v="51"/>
    <x v="85"/>
    <x v="372"/>
    <x v="1628"/>
    <x v="1883"/>
    <x v="1778"/>
    <x v="1891"/>
    <x v="1224"/>
    <x v="0"/>
    <x v="192"/>
    <x v="389"/>
    <x v="0"/>
    <x v="1"/>
  </r>
  <r>
    <x v="38"/>
    <x v="1"/>
    <x v="5"/>
    <x v="4"/>
    <x v="5"/>
    <x v="3"/>
    <x v="62"/>
    <x v="16"/>
    <x v="65"/>
    <x v="78"/>
    <x v="168"/>
    <x v="1629"/>
    <x v="1884"/>
    <x v="1779"/>
    <x v="1892"/>
    <x v="477"/>
    <x v="100"/>
    <x v="91"/>
    <x v="315"/>
    <x v="100"/>
    <x v="2"/>
  </r>
  <r>
    <x v="32"/>
    <x v="1"/>
    <x v="4"/>
    <x v="4"/>
    <x v="0"/>
    <x v="2"/>
    <x v="15"/>
    <x v="6"/>
    <x v="9"/>
    <x v="33"/>
    <x v="403"/>
    <x v="1630"/>
    <x v="1885"/>
    <x v="1780"/>
    <x v="1893"/>
    <x v="213"/>
    <x v="138"/>
    <x v="163"/>
    <x v="1565"/>
    <x v="138"/>
    <x v="1"/>
  </r>
  <r>
    <x v="55"/>
    <x v="0"/>
    <x v="8"/>
    <x v="0"/>
    <x v="0"/>
    <x v="0"/>
    <x v="16"/>
    <x v="42"/>
    <x v="80"/>
    <x v="85"/>
    <x v="329"/>
    <x v="1279"/>
    <x v="1886"/>
    <x v="1781"/>
    <x v="1894"/>
    <x v="1225"/>
    <x v="22"/>
    <x v="18"/>
    <x v="1040"/>
    <x v="22"/>
    <x v="2"/>
  </r>
  <r>
    <x v="32"/>
    <x v="0"/>
    <x v="2"/>
    <x v="0"/>
    <x v="6"/>
    <x v="1"/>
    <x v="72"/>
    <x v="20"/>
    <x v="86"/>
    <x v="68"/>
    <x v="62"/>
    <x v="1583"/>
    <x v="362"/>
    <x v="1782"/>
    <x v="1895"/>
    <x v="1226"/>
    <x v="98"/>
    <x v="131"/>
    <x v="1566"/>
    <x v="98"/>
    <x v="1"/>
  </r>
  <r>
    <x v="39"/>
    <x v="0"/>
    <x v="8"/>
    <x v="1"/>
    <x v="1"/>
    <x v="2"/>
    <x v="42"/>
    <x v="48"/>
    <x v="14"/>
    <x v="40"/>
    <x v="3"/>
    <x v="52"/>
    <x v="1887"/>
    <x v="1783"/>
    <x v="1896"/>
    <x v="30"/>
    <x v="190"/>
    <x v="15"/>
    <x v="1567"/>
    <x v="190"/>
    <x v="2"/>
  </r>
  <r>
    <x v="37"/>
    <x v="1"/>
    <x v="0"/>
    <x v="4"/>
    <x v="2"/>
    <x v="0"/>
    <x v="31"/>
    <x v="58"/>
    <x v="15"/>
    <x v="129"/>
    <x v="309"/>
    <x v="1631"/>
    <x v="1888"/>
    <x v="1784"/>
    <x v="1897"/>
    <x v="1227"/>
    <x v="140"/>
    <x v="43"/>
    <x v="1568"/>
    <x v="140"/>
    <x v="2"/>
  </r>
  <r>
    <x v="40"/>
    <x v="1"/>
    <x v="4"/>
    <x v="3"/>
    <x v="2"/>
    <x v="2"/>
    <x v="13"/>
    <x v="27"/>
    <x v="57"/>
    <x v="98"/>
    <x v="355"/>
    <x v="1632"/>
    <x v="1889"/>
    <x v="1785"/>
    <x v="1898"/>
    <x v="1228"/>
    <x v="39"/>
    <x v="163"/>
    <x v="1569"/>
    <x v="39"/>
    <x v="2"/>
  </r>
  <r>
    <x v="10"/>
    <x v="1"/>
    <x v="5"/>
    <x v="1"/>
    <x v="0"/>
    <x v="3"/>
    <x v="9"/>
    <x v="69"/>
    <x v="70"/>
    <x v="80"/>
    <x v="240"/>
    <x v="1631"/>
    <x v="1890"/>
    <x v="91"/>
    <x v="1899"/>
    <x v="1229"/>
    <x v="8"/>
    <x v="91"/>
    <x v="1570"/>
    <x v="8"/>
    <x v="2"/>
  </r>
  <r>
    <x v="11"/>
    <x v="0"/>
    <x v="8"/>
    <x v="2"/>
    <x v="1"/>
    <x v="0"/>
    <x v="82"/>
    <x v="40"/>
    <x v="24"/>
    <x v="87"/>
    <x v="367"/>
    <x v="1633"/>
    <x v="1891"/>
    <x v="1786"/>
    <x v="1900"/>
    <x v="855"/>
    <x v="40"/>
    <x v="70"/>
    <x v="1571"/>
    <x v="40"/>
    <x v="1"/>
  </r>
  <r>
    <x v="8"/>
    <x v="1"/>
    <x v="4"/>
    <x v="1"/>
    <x v="6"/>
    <x v="2"/>
    <x v="9"/>
    <x v="23"/>
    <x v="50"/>
    <x v="20"/>
    <x v="337"/>
    <x v="1634"/>
    <x v="1892"/>
    <x v="1607"/>
    <x v="1901"/>
    <x v="436"/>
    <x v="27"/>
    <x v="60"/>
    <x v="130"/>
    <x v="27"/>
    <x v="2"/>
  </r>
  <r>
    <x v="5"/>
    <x v="1"/>
    <x v="9"/>
    <x v="4"/>
    <x v="6"/>
    <x v="3"/>
    <x v="2"/>
    <x v="69"/>
    <x v="36"/>
    <x v="46"/>
    <x v="49"/>
    <x v="399"/>
    <x v="1893"/>
    <x v="1787"/>
    <x v="1902"/>
    <x v="427"/>
    <x v="11"/>
    <x v="81"/>
    <x v="1572"/>
    <x v="11"/>
    <x v="2"/>
  </r>
  <r>
    <x v="4"/>
    <x v="0"/>
    <x v="7"/>
    <x v="1"/>
    <x v="0"/>
    <x v="1"/>
    <x v="1"/>
    <x v="36"/>
    <x v="67"/>
    <x v="133"/>
    <x v="228"/>
    <x v="1635"/>
    <x v="1894"/>
    <x v="251"/>
    <x v="1903"/>
    <x v="1230"/>
    <x v="128"/>
    <x v="155"/>
    <x v="1573"/>
    <x v="128"/>
    <x v="1"/>
  </r>
  <r>
    <x v="30"/>
    <x v="1"/>
    <x v="1"/>
    <x v="0"/>
    <x v="2"/>
    <x v="1"/>
    <x v="42"/>
    <x v="68"/>
    <x v="52"/>
    <x v="122"/>
    <x v="55"/>
    <x v="1636"/>
    <x v="1895"/>
    <x v="1788"/>
    <x v="1904"/>
    <x v="1231"/>
    <x v="58"/>
    <x v="82"/>
    <x v="1574"/>
    <x v="58"/>
    <x v="1"/>
  </r>
  <r>
    <x v="14"/>
    <x v="0"/>
    <x v="3"/>
    <x v="2"/>
    <x v="3"/>
    <x v="1"/>
    <x v="17"/>
    <x v="42"/>
    <x v="32"/>
    <x v="74"/>
    <x v="236"/>
    <x v="1637"/>
    <x v="1896"/>
    <x v="1789"/>
    <x v="1905"/>
    <x v="1214"/>
    <x v="105"/>
    <x v="146"/>
    <x v="263"/>
    <x v="105"/>
    <x v="2"/>
  </r>
  <r>
    <x v="21"/>
    <x v="1"/>
    <x v="3"/>
    <x v="3"/>
    <x v="3"/>
    <x v="1"/>
    <x v="57"/>
    <x v="16"/>
    <x v="82"/>
    <x v="27"/>
    <x v="243"/>
    <x v="229"/>
    <x v="1897"/>
    <x v="1790"/>
    <x v="1906"/>
    <x v="1109"/>
    <x v="71"/>
    <x v="39"/>
    <x v="1575"/>
    <x v="71"/>
    <x v="0"/>
  </r>
  <r>
    <x v="6"/>
    <x v="1"/>
    <x v="0"/>
    <x v="1"/>
    <x v="0"/>
    <x v="2"/>
    <x v="52"/>
    <x v="15"/>
    <x v="10"/>
    <x v="115"/>
    <x v="378"/>
    <x v="1638"/>
    <x v="1898"/>
    <x v="1791"/>
    <x v="1907"/>
    <x v="1232"/>
    <x v="169"/>
    <x v="0"/>
    <x v="1576"/>
    <x v="169"/>
    <x v="2"/>
  </r>
  <r>
    <x v="50"/>
    <x v="1"/>
    <x v="9"/>
    <x v="1"/>
    <x v="0"/>
    <x v="2"/>
    <x v="91"/>
    <x v="49"/>
    <x v="19"/>
    <x v="154"/>
    <x v="316"/>
    <x v="1639"/>
    <x v="1899"/>
    <x v="1792"/>
    <x v="1908"/>
    <x v="1233"/>
    <x v="6"/>
    <x v="55"/>
    <x v="24"/>
    <x v="6"/>
    <x v="2"/>
  </r>
  <r>
    <x v="32"/>
    <x v="1"/>
    <x v="8"/>
    <x v="1"/>
    <x v="4"/>
    <x v="3"/>
    <x v="93"/>
    <x v="15"/>
    <x v="36"/>
    <x v="85"/>
    <x v="154"/>
    <x v="558"/>
    <x v="1900"/>
    <x v="1793"/>
    <x v="1909"/>
    <x v="719"/>
    <x v="116"/>
    <x v="145"/>
    <x v="186"/>
    <x v="116"/>
    <x v="1"/>
  </r>
  <r>
    <x v="0"/>
    <x v="1"/>
    <x v="9"/>
    <x v="3"/>
    <x v="4"/>
    <x v="2"/>
    <x v="116"/>
    <x v="33"/>
    <x v="58"/>
    <x v="96"/>
    <x v="334"/>
    <x v="1640"/>
    <x v="1901"/>
    <x v="1794"/>
    <x v="1910"/>
    <x v="1234"/>
    <x v="187"/>
    <x v="43"/>
    <x v="91"/>
    <x v="187"/>
    <x v="0"/>
  </r>
  <r>
    <x v="6"/>
    <x v="0"/>
    <x v="3"/>
    <x v="1"/>
    <x v="2"/>
    <x v="1"/>
    <x v="61"/>
    <x v="70"/>
    <x v="32"/>
    <x v="66"/>
    <x v="344"/>
    <x v="1641"/>
    <x v="1902"/>
    <x v="1795"/>
    <x v="1911"/>
    <x v="1138"/>
    <x v="61"/>
    <x v="171"/>
    <x v="76"/>
    <x v="61"/>
    <x v="2"/>
  </r>
  <r>
    <x v="21"/>
    <x v="1"/>
    <x v="4"/>
    <x v="4"/>
    <x v="6"/>
    <x v="1"/>
    <x v="42"/>
    <x v="10"/>
    <x v="29"/>
    <x v="65"/>
    <x v="62"/>
    <x v="1642"/>
    <x v="1903"/>
    <x v="1796"/>
    <x v="1912"/>
    <x v="1235"/>
    <x v="179"/>
    <x v="13"/>
    <x v="1577"/>
    <x v="179"/>
    <x v="0"/>
  </r>
  <r>
    <x v="42"/>
    <x v="1"/>
    <x v="3"/>
    <x v="2"/>
    <x v="5"/>
    <x v="3"/>
    <x v="17"/>
    <x v="41"/>
    <x v="58"/>
    <x v="121"/>
    <x v="58"/>
    <x v="1643"/>
    <x v="1904"/>
    <x v="1797"/>
    <x v="1913"/>
    <x v="1233"/>
    <x v="97"/>
    <x v="138"/>
    <x v="91"/>
    <x v="97"/>
    <x v="2"/>
  </r>
  <r>
    <x v="12"/>
    <x v="0"/>
    <x v="9"/>
    <x v="2"/>
    <x v="6"/>
    <x v="0"/>
    <x v="75"/>
    <x v="55"/>
    <x v="23"/>
    <x v="70"/>
    <x v="417"/>
    <x v="1644"/>
    <x v="1905"/>
    <x v="1168"/>
    <x v="1914"/>
    <x v="527"/>
    <x v="16"/>
    <x v="119"/>
    <x v="1578"/>
    <x v="16"/>
    <x v="0"/>
  </r>
  <r>
    <x v="59"/>
    <x v="0"/>
    <x v="3"/>
    <x v="1"/>
    <x v="4"/>
    <x v="3"/>
    <x v="50"/>
    <x v="5"/>
    <x v="34"/>
    <x v="50"/>
    <x v="154"/>
    <x v="592"/>
    <x v="1906"/>
    <x v="1798"/>
    <x v="1915"/>
    <x v="642"/>
    <x v="53"/>
    <x v="227"/>
    <x v="1579"/>
    <x v="53"/>
    <x v="0"/>
  </r>
  <r>
    <x v="25"/>
    <x v="0"/>
    <x v="4"/>
    <x v="0"/>
    <x v="4"/>
    <x v="2"/>
    <x v="58"/>
    <x v="72"/>
    <x v="40"/>
    <x v="2"/>
    <x v="211"/>
    <x v="1645"/>
    <x v="1907"/>
    <x v="1799"/>
    <x v="1916"/>
    <x v="186"/>
    <x v="61"/>
    <x v="39"/>
    <x v="161"/>
    <x v="61"/>
    <x v="0"/>
  </r>
  <r>
    <x v="13"/>
    <x v="1"/>
    <x v="1"/>
    <x v="2"/>
    <x v="2"/>
    <x v="3"/>
    <x v="28"/>
    <x v="71"/>
    <x v="14"/>
    <x v="31"/>
    <x v="102"/>
    <x v="1646"/>
    <x v="1908"/>
    <x v="1800"/>
    <x v="1917"/>
    <x v="98"/>
    <x v="95"/>
    <x v="172"/>
    <x v="1580"/>
    <x v="95"/>
    <x v="2"/>
  </r>
  <r>
    <x v="28"/>
    <x v="1"/>
    <x v="9"/>
    <x v="2"/>
    <x v="3"/>
    <x v="2"/>
    <x v="114"/>
    <x v="67"/>
    <x v="73"/>
    <x v="61"/>
    <x v="284"/>
    <x v="1647"/>
    <x v="1909"/>
    <x v="1737"/>
    <x v="1918"/>
    <x v="1223"/>
    <x v="22"/>
    <x v="128"/>
    <x v="1581"/>
    <x v="22"/>
    <x v="0"/>
  </r>
  <r>
    <x v="48"/>
    <x v="1"/>
    <x v="9"/>
    <x v="4"/>
    <x v="1"/>
    <x v="1"/>
    <x v="97"/>
    <x v="61"/>
    <x v="83"/>
    <x v="126"/>
    <x v="201"/>
    <x v="1648"/>
    <x v="1910"/>
    <x v="1801"/>
    <x v="1919"/>
    <x v="1236"/>
    <x v="49"/>
    <x v="43"/>
    <x v="1582"/>
    <x v="49"/>
    <x v="2"/>
  </r>
  <r>
    <x v="42"/>
    <x v="1"/>
    <x v="7"/>
    <x v="0"/>
    <x v="0"/>
    <x v="0"/>
    <x v="63"/>
    <x v="78"/>
    <x v="0"/>
    <x v="31"/>
    <x v="109"/>
    <x v="1649"/>
    <x v="1911"/>
    <x v="1078"/>
    <x v="1920"/>
    <x v="7"/>
    <x v="38"/>
    <x v="34"/>
    <x v="859"/>
    <x v="38"/>
    <x v="2"/>
  </r>
  <r>
    <x v="36"/>
    <x v="1"/>
    <x v="4"/>
    <x v="2"/>
    <x v="3"/>
    <x v="3"/>
    <x v="80"/>
    <x v="3"/>
    <x v="54"/>
    <x v="129"/>
    <x v="215"/>
    <x v="1650"/>
    <x v="1912"/>
    <x v="1802"/>
    <x v="1921"/>
    <x v="668"/>
    <x v="41"/>
    <x v="181"/>
    <x v="1583"/>
    <x v="41"/>
    <x v="1"/>
  </r>
  <r>
    <x v="34"/>
    <x v="0"/>
    <x v="2"/>
    <x v="0"/>
    <x v="2"/>
    <x v="2"/>
    <x v="38"/>
    <x v="69"/>
    <x v="60"/>
    <x v="68"/>
    <x v="318"/>
    <x v="957"/>
    <x v="1913"/>
    <x v="1803"/>
    <x v="1922"/>
    <x v="533"/>
    <x v="23"/>
    <x v="116"/>
    <x v="1584"/>
    <x v="23"/>
    <x v="2"/>
  </r>
  <r>
    <x v="25"/>
    <x v="1"/>
    <x v="7"/>
    <x v="3"/>
    <x v="4"/>
    <x v="2"/>
    <x v="23"/>
    <x v="56"/>
    <x v="83"/>
    <x v="53"/>
    <x v="439"/>
    <x v="1651"/>
    <x v="1914"/>
    <x v="1804"/>
    <x v="1923"/>
    <x v="616"/>
    <x v="111"/>
    <x v="183"/>
    <x v="1406"/>
    <x v="111"/>
    <x v="0"/>
  </r>
  <r>
    <x v="51"/>
    <x v="0"/>
    <x v="4"/>
    <x v="3"/>
    <x v="0"/>
    <x v="3"/>
    <x v="12"/>
    <x v="62"/>
    <x v="11"/>
    <x v="5"/>
    <x v="305"/>
    <x v="1652"/>
    <x v="1915"/>
    <x v="1805"/>
    <x v="1924"/>
    <x v="933"/>
    <x v="156"/>
    <x v="62"/>
    <x v="789"/>
    <x v="156"/>
    <x v="2"/>
  </r>
  <r>
    <x v="4"/>
    <x v="1"/>
    <x v="9"/>
    <x v="3"/>
    <x v="6"/>
    <x v="1"/>
    <x v="14"/>
    <x v="56"/>
    <x v="59"/>
    <x v="80"/>
    <x v="62"/>
    <x v="1653"/>
    <x v="1916"/>
    <x v="1806"/>
    <x v="1925"/>
    <x v="585"/>
    <x v="80"/>
    <x v="48"/>
    <x v="1585"/>
    <x v="80"/>
    <x v="1"/>
  </r>
  <r>
    <x v="54"/>
    <x v="1"/>
    <x v="4"/>
    <x v="3"/>
    <x v="1"/>
    <x v="2"/>
    <x v="1"/>
    <x v="42"/>
    <x v="53"/>
    <x v="140"/>
    <x v="255"/>
    <x v="1654"/>
    <x v="1917"/>
    <x v="1807"/>
    <x v="1926"/>
    <x v="423"/>
    <x v="100"/>
    <x v="185"/>
    <x v="1586"/>
    <x v="100"/>
    <x v="0"/>
  </r>
  <r>
    <x v="56"/>
    <x v="1"/>
    <x v="9"/>
    <x v="2"/>
    <x v="4"/>
    <x v="2"/>
    <x v="118"/>
    <x v="20"/>
    <x v="62"/>
    <x v="126"/>
    <x v="358"/>
    <x v="423"/>
    <x v="1918"/>
    <x v="1808"/>
    <x v="1927"/>
    <x v="1182"/>
    <x v="63"/>
    <x v="139"/>
    <x v="1587"/>
    <x v="63"/>
    <x v="2"/>
  </r>
  <r>
    <x v="7"/>
    <x v="1"/>
    <x v="5"/>
    <x v="0"/>
    <x v="3"/>
    <x v="0"/>
    <x v="27"/>
    <x v="13"/>
    <x v="84"/>
    <x v="128"/>
    <x v="228"/>
    <x v="1655"/>
    <x v="1919"/>
    <x v="769"/>
    <x v="1928"/>
    <x v="1237"/>
    <x v="101"/>
    <x v="76"/>
    <x v="472"/>
    <x v="101"/>
    <x v="2"/>
  </r>
  <r>
    <x v="14"/>
    <x v="0"/>
    <x v="9"/>
    <x v="0"/>
    <x v="3"/>
    <x v="2"/>
    <x v="2"/>
    <x v="51"/>
    <x v="16"/>
    <x v="158"/>
    <x v="104"/>
    <x v="605"/>
    <x v="1920"/>
    <x v="1809"/>
    <x v="1929"/>
    <x v="1238"/>
    <x v="59"/>
    <x v="135"/>
    <x v="1588"/>
    <x v="59"/>
    <x v="2"/>
  </r>
  <r>
    <x v="3"/>
    <x v="1"/>
    <x v="4"/>
    <x v="2"/>
    <x v="2"/>
    <x v="2"/>
    <x v="70"/>
    <x v="44"/>
    <x v="10"/>
    <x v="114"/>
    <x v="289"/>
    <x v="1529"/>
    <x v="1921"/>
    <x v="1810"/>
    <x v="1930"/>
    <x v="690"/>
    <x v="151"/>
    <x v="8"/>
    <x v="1589"/>
    <x v="151"/>
    <x v="0"/>
  </r>
  <r>
    <x v="38"/>
    <x v="1"/>
    <x v="4"/>
    <x v="1"/>
    <x v="5"/>
    <x v="1"/>
    <x v="86"/>
    <x v="47"/>
    <x v="81"/>
    <x v="115"/>
    <x v="150"/>
    <x v="1656"/>
    <x v="1922"/>
    <x v="1811"/>
    <x v="1931"/>
    <x v="1239"/>
    <x v="6"/>
    <x v="126"/>
    <x v="1129"/>
    <x v="6"/>
    <x v="2"/>
  </r>
  <r>
    <x v="27"/>
    <x v="1"/>
    <x v="6"/>
    <x v="1"/>
    <x v="5"/>
    <x v="3"/>
    <x v="63"/>
    <x v="68"/>
    <x v="55"/>
    <x v="95"/>
    <x v="348"/>
    <x v="1657"/>
    <x v="1923"/>
    <x v="1812"/>
    <x v="1932"/>
    <x v="1240"/>
    <x v="66"/>
    <x v="159"/>
    <x v="1590"/>
    <x v="66"/>
    <x v="0"/>
  </r>
  <r>
    <x v="7"/>
    <x v="1"/>
    <x v="0"/>
    <x v="0"/>
    <x v="2"/>
    <x v="1"/>
    <x v="31"/>
    <x v="17"/>
    <x v="16"/>
    <x v="21"/>
    <x v="439"/>
    <x v="1658"/>
    <x v="1924"/>
    <x v="1691"/>
    <x v="1933"/>
    <x v="1241"/>
    <x v="44"/>
    <x v="185"/>
    <x v="1591"/>
    <x v="44"/>
    <x v="2"/>
  </r>
  <r>
    <x v="3"/>
    <x v="0"/>
    <x v="5"/>
    <x v="4"/>
    <x v="2"/>
    <x v="3"/>
    <x v="14"/>
    <x v="78"/>
    <x v="78"/>
    <x v="114"/>
    <x v="318"/>
    <x v="1659"/>
    <x v="1925"/>
    <x v="1813"/>
    <x v="1934"/>
    <x v="1242"/>
    <x v="0"/>
    <x v="168"/>
    <x v="1592"/>
    <x v="0"/>
    <x v="0"/>
  </r>
  <r>
    <x v="53"/>
    <x v="0"/>
    <x v="3"/>
    <x v="3"/>
    <x v="0"/>
    <x v="0"/>
    <x v="39"/>
    <x v="41"/>
    <x v="14"/>
    <x v="28"/>
    <x v="402"/>
    <x v="1660"/>
    <x v="1926"/>
    <x v="1766"/>
    <x v="1935"/>
    <x v="1243"/>
    <x v="164"/>
    <x v="37"/>
    <x v="1593"/>
    <x v="164"/>
    <x v="1"/>
  </r>
  <r>
    <x v="17"/>
    <x v="1"/>
    <x v="4"/>
    <x v="3"/>
    <x v="3"/>
    <x v="2"/>
    <x v="27"/>
    <x v="0"/>
    <x v="38"/>
    <x v="109"/>
    <x v="250"/>
    <x v="1661"/>
    <x v="1927"/>
    <x v="284"/>
    <x v="1936"/>
    <x v="1244"/>
    <x v="118"/>
    <x v="150"/>
    <x v="1594"/>
    <x v="118"/>
    <x v="1"/>
  </r>
  <r>
    <x v="14"/>
    <x v="1"/>
    <x v="9"/>
    <x v="3"/>
    <x v="1"/>
    <x v="3"/>
    <x v="1"/>
    <x v="71"/>
    <x v="35"/>
    <x v="116"/>
    <x v="372"/>
    <x v="341"/>
    <x v="1928"/>
    <x v="1814"/>
    <x v="1769"/>
    <x v="824"/>
    <x v="52"/>
    <x v="154"/>
    <x v="1595"/>
    <x v="52"/>
    <x v="2"/>
  </r>
  <r>
    <x v="28"/>
    <x v="0"/>
    <x v="1"/>
    <x v="2"/>
    <x v="2"/>
    <x v="1"/>
    <x v="41"/>
    <x v="74"/>
    <x v="49"/>
    <x v="120"/>
    <x v="177"/>
    <x v="1662"/>
    <x v="1929"/>
    <x v="1815"/>
    <x v="1937"/>
    <x v="225"/>
    <x v="111"/>
    <x v="156"/>
    <x v="1596"/>
    <x v="111"/>
    <x v="0"/>
  </r>
  <r>
    <x v="12"/>
    <x v="0"/>
    <x v="1"/>
    <x v="4"/>
    <x v="0"/>
    <x v="0"/>
    <x v="32"/>
    <x v="17"/>
    <x v="46"/>
    <x v="148"/>
    <x v="191"/>
    <x v="605"/>
    <x v="1930"/>
    <x v="1816"/>
    <x v="1938"/>
    <x v="716"/>
    <x v="36"/>
    <x v="169"/>
    <x v="1597"/>
    <x v="36"/>
    <x v="0"/>
  </r>
  <r>
    <x v="26"/>
    <x v="1"/>
    <x v="7"/>
    <x v="0"/>
    <x v="0"/>
    <x v="0"/>
    <x v="93"/>
    <x v="35"/>
    <x v="21"/>
    <x v="138"/>
    <x v="52"/>
    <x v="104"/>
    <x v="1931"/>
    <x v="1817"/>
    <x v="1939"/>
    <x v="112"/>
    <x v="38"/>
    <x v="23"/>
    <x v="1598"/>
    <x v="38"/>
    <x v="2"/>
  </r>
  <r>
    <x v="42"/>
    <x v="0"/>
    <x v="8"/>
    <x v="1"/>
    <x v="1"/>
    <x v="2"/>
    <x v="83"/>
    <x v="58"/>
    <x v="33"/>
    <x v="17"/>
    <x v="343"/>
    <x v="1663"/>
    <x v="1932"/>
    <x v="1818"/>
    <x v="1940"/>
    <x v="518"/>
    <x v="87"/>
    <x v="97"/>
    <x v="1599"/>
    <x v="87"/>
    <x v="2"/>
  </r>
  <r>
    <x v="16"/>
    <x v="0"/>
    <x v="3"/>
    <x v="4"/>
    <x v="3"/>
    <x v="2"/>
    <x v="62"/>
    <x v="51"/>
    <x v="50"/>
    <x v="38"/>
    <x v="274"/>
    <x v="1664"/>
    <x v="1933"/>
    <x v="1819"/>
    <x v="1941"/>
    <x v="1104"/>
    <x v="8"/>
    <x v="53"/>
    <x v="1078"/>
    <x v="8"/>
    <x v="0"/>
  </r>
  <r>
    <x v="45"/>
    <x v="0"/>
    <x v="2"/>
    <x v="2"/>
    <x v="6"/>
    <x v="3"/>
    <x v="76"/>
    <x v="10"/>
    <x v="67"/>
    <x v="102"/>
    <x v="406"/>
    <x v="1665"/>
    <x v="1934"/>
    <x v="1820"/>
    <x v="1942"/>
    <x v="1029"/>
    <x v="6"/>
    <x v="150"/>
    <x v="1600"/>
    <x v="6"/>
    <x v="2"/>
  </r>
  <r>
    <x v="35"/>
    <x v="1"/>
    <x v="9"/>
    <x v="1"/>
    <x v="6"/>
    <x v="3"/>
    <x v="59"/>
    <x v="77"/>
    <x v="67"/>
    <x v="52"/>
    <x v="383"/>
    <x v="1666"/>
    <x v="1935"/>
    <x v="1821"/>
    <x v="1943"/>
    <x v="719"/>
    <x v="169"/>
    <x v="145"/>
    <x v="1601"/>
    <x v="169"/>
    <x v="2"/>
  </r>
  <r>
    <x v="35"/>
    <x v="1"/>
    <x v="0"/>
    <x v="3"/>
    <x v="3"/>
    <x v="3"/>
    <x v="110"/>
    <x v="40"/>
    <x v="29"/>
    <x v="118"/>
    <x v="14"/>
    <x v="867"/>
    <x v="1936"/>
    <x v="1822"/>
    <x v="1944"/>
    <x v="891"/>
    <x v="185"/>
    <x v="36"/>
    <x v="1602"/>
    <x v="185"/>
    <x v="2"/>
  </r>
  <r>
    <x v="39"/>
    <x v="0"/>
    <x v="6"/>
    <x v="4"/>
    <x v="6"/>
    <x v="2"/>
    <x v="114"/>
    <x v="32"/>
    <x v="14"/>
    <x v="150"/>
    <x v="440"/>
    <x v="1667"/>
    <x v="1937"/>
    <x v="1823"/>
    <x v="1945"/>
    <x v="943"/>
    <x v="141"/>
    <x v="74"/>
    <x v="864"/>
    <x v="141"/>
    <x v="2"/>
  </r>
  <r>
    <x v="20"/>
    <x v="1"/>
    <x v="5"/>
    <x v="4"/>
    <x v="2"/>
    <x v="3"/>
    <x v="117"/>
    <x v="3"/>
    <x v="5"/>
    <x v="10"/>
    <x v="375"/>
    <x v="1668"/>
    <x v="1938"/>
    <x v="1824"/>
    <x v="1946"/>
    <x v="915"/>
    <x v="21"/>
    <x v="1"/>
    <x v="93"/>
    <x v="21"/>
    <x v="1"/>
  </r>
  <r>
    <x v="29"/>
    <x v="0"/>
    <x v="2"/>
    <x v="3"/>
    <x v="6"/>
    <x v="1"/>
    <x v="117"/>
    <x v="31"/>
    <x v="30"/>
    <x v="67"/>
    <x v="23"/>
    <x v="1669"/>
    <x v="1939"/>
    <x v="1825"/>
    <x v="1947"/>
    <x v="793"/>
    <x v="125"/>
    <x v="66"/>
    <x v="1603"/>
    <x v="125"/>
    <x v="2"/>
  </r>
  <r>
    <x v="21"/>
    <x v="1"/>
    <x v="6"/>
    <x v="4"/>
    <x v="3"/>
    <x v="2"/>
    <x v="8"/>
    <x v="2"/>
    <x v="43"/>
    <x v="101"/>
    <x v="302"/>
    <x v="1670"/>
    <x v="1940"/>
    <x v="1826"/>
    <x v="1948"/>
    <x v="1245"/>
    <x v="50"/>
    <x v="73"/>
    <x v="459"/>
    <x v="50"/>
    <x v="0"/>
  </r>
  <r>
    <x v="0"/>
    <x v="0"/>
    <x v="1"/>
    <x v="4"/>
    <x v="4"/>
    <x v="3"/>
    <x v="3"/>
    <x v="41"/>
    <x v="12"/>
    <x v="151"/>
    <x v="247"/>
    <x v="1671"/>
    <x v="1941"/>
    <x v="1827"/>
    <x v="1949"/>
    <x v="1246"/>
    <x v="130"/>
    <x v="50"/>
    <x v="1604"/>
    <x v="130"/>
    <x v="0"/>
  </r>
  <r>
    <x v="23"/>
    <x v="1"/>
    <x v="3"/>
    <x v="4"/>
    <x v="5"/>
    <x v="0"/>
    <x v="102"/>
    <x v="28"/>
    <x v="24"/>
    <x v="76"/>
    <x v="305"/>
    <x v="1672"/>
    <x v="1942"/>
    <x v="790"/>
    <x v="1950"/>
    <x v="1244"/>
    <x v="3"/>
    <x v="168"/>
    <x v="1605"/>
    <x v="3"/>
    <x v="1"/>
  </r>
  <r>
    <x v="24"/>
    <x v="0"/>
    <x v="8"/>
    <x v="3"/>
    <x v="3"/>
    <x v="1"/>
    <x v="15"/>
    <x v="38"/>
    <x v="21"/>
    <x v="18"/>
    <x v="232"/>
    <x v="508"/>
    <x v="1943"/>
    <x v="1828"/>
    <x v="1951"/>
    <x v="1061"/>
    <x v="42"/>
    <x v="49"/>
    <x v="1606"/>
    <x v="42"/>
    <x v="1"/>
  </r>
  <r>
    <x v="30"/>
    <x v="1"/>
    <x v="3"/>
    <x v="1"/>
    <x v="2"/>
    <x v="3"/>
    <x v="30"/>
    <x v="46"/>
    <x v="21"/>
    <x v="21"/>
    <x v="178"/>
    <x v="1673"/>
    <x v="1944"/>
    <x v="1829"/>
    <x v="1952"/>
    <x v="1247"/>
    <x v="100"/>
    <x v="7"/>
    <x v="1607"/>
    <x v="100"/>
    <x v="1"/>
  </r>
  <r>
    <x v="25"/>
    <x v="0"/>
    <x v="4"/>
    <x v="0"/>
    <x v="6"/>
    <x v="0"/>
    <x v="107"/>
    <x v="64"/>
    <x v="36"/>
    <x v="126"/>
    <x v="143"/>
    <x v="1674"/>
    <x v="1945"/>
    <x v="1830"/>
    <x v="1953"/>
    <x v="74"/>
    <x v="11"/>
    <x v="134"/>
    <x v="1572"/>
    <x v="11"/>
    <x v="0"/>
  </r>
  <r>
    <x v="36"/>
    <x v="0"/>
    <x v="6"/>
    <x v="3"/>
    <x v="0"/>
    <x v="3"/>
    <x v="51"/>
    <x v="75"/>
    <x v="72"/>
    <x v="46"/>
    <x v="373"/>
    <x v="1675"/>
    <x v="1946"/>
    <x v="1831"/>
    <x v="1954"/>
    <x v="697"/>
    <x v="93"/>
    <x v="53"/>
    <x v="1608"/>
    <x v="93"/>
    <x v="1"/>
  </r>
  <r>
    <x v="53"/>
    <x v="0"/>
    <x v="3"/>
    <x v="1"/>
    <x v="1"/>
    <x v="3"/>
    <x v="105"/>
    <x v="13"/>
    <x v="9"/>
    <x v="14"/>
    <x v="351"/>
    <x v="1676"/>
    <x v="1947"/>
    <x v="1832"/>
    <x v="1955"/>
    <x v="1178"/>
    <x v="137"/>
    <x v="9"/>
    <x v="1609"/>
    <x v="137"/>
    <x v="1"/>
  </r>
  <r>
    <x v="3"/>
    <x v="0"/>
    <x v="7"/>
    <x v="2"/>
    <x v="6"/>
    <x v="1"/>
    <x v="56"/>
    <x v="50"/>
    <x v="18"/>
    <x v="15"/>
    <x v="190"/>
    <x v="1677"/>
    <x v="1948"/>
    <x v="1833"/>
    <x v="1956"/>
    <x v="179"/>
    <x v="85"/>
    <x v="200"/>
    <x v="1610"/>
    <x v="85"/>
    <x v="0"/>
  </r>
  <r>
    <x v="32"/>
    <x v="1"/>
    <x v="5"/>
    <x v="4"/>
    <x v="3"/>
    <x v="3"/>
    <x v="37"/>
    <x v="60"/>
    <x v="85"/>
    <x v="119"/>
    <x v="316"/>
    <x v="1085"/>
    <x v="1949"/>
    <x v="1834"/>
    <x v="1957"/>
    <x v="421"/>
    <x v="34"/>
    <x v="69"/>
    <x v="1611"/>
    <x v="34"/>
    <x v="1"/>
  </r>
  <r>
    <x v="31"/>
    <x v="0"/>
    <x v="7"/>
    <x v="2"/>
    <x v="3"/>
    <x v="1"/>
    <x v="87"/>
    <x v="23"/>
    <x v="23"/>
    <x v="116"/>
    <x v="162"/>
    <x v="1678"/>
    <x v="1950"/>
    <x v="1835"/>
    <x v="1958"/>
    <x v="1248"/>
    <x v="38"/>
    <x v="144"/>
    <x v="1612"/>
    <x v="38"/>
    <x v="2"/>
  </r>
  <r>
    <x v="24"/>
    <x v="1"/>
    <x v="4"/>
    <x v="3"/>
    <x v="0"/>
    <x v="3"/>
    <x v="66"/>
    <x v="34"/>
    <x v="11"/>
    <x v="106"/>
    <x v="120"/>
    <x v="1679"/>
    <x v="1951"/>
    <x v="1836"/>
    <x v="1959"/>
    <x v="310"/>
    <x v="20"/>
    <x v="13"/>
    <x v="1613"/>
    <x v="20"/>
    <x v="1"/>
  </r>
  <r>
    <x v="1"/>
    <x v="1"/>
    <x v="5"/>
    <x v="1"/>
    <x v="0"/>
    <x v="2"/>
    <x v="45"/>
    <x v="47"/>
    <x v="38"/>
    <x v="27"/>
    <x v="141"/>
    <x v="1105"/>
    <x v="1952"/>
    <x v="1837"/>
    <x v="1960"/>
    <x v="1249"/>
    <x v="101"/>
    <x v="130"/>
    <x v="100"/>
    <x v="101"/>
    <x v="1"/>
  </r>
  <r>
    <x v="20"/>
    <x v="0"/>
    <x v="5"/>
    <x v="4"/>
    <x v="3"/>
    <x v="2"/>
    <x v="93"/>
    <x v="8"/>
    <x v="54"/>
    <x v="136"/>
    <x v="30"/>
    <x v="1680"/>
    <x v="1953"/>
    <x v="1838"/>
    <x v="1961"/>
    <x v="1057"/>
    <x v="65"/>
    <x v="98"/>
    <x v="1614"/>
    <x v="65"/>
    <x v="1"/>
  </r>
  <r>
    <x v="47"/>
    <x v="1"/>
    <x v="6"/>
    <x v="4"/>
    <x v="4"/>
    <x v="3"/>
    <x v="112"/>
    <x v="58"/>
    <x v="36"/>
    <x v="38"/>
    <x v="237"/>
    <x v="1681"/>
    <x v="1954"/>
    <x v="1839"/>
    <x v="1962"/>
    <x v="745"/>
    <x v="143"/>
    <x v="26"/>
    <x v="1615"/>
    <x v="143"/>
    <x v="0"/>
  </r>
  <r>
    <x v="16"/>
    <x v="0"/>
    <x v="7"/>
    <x v="1"/>
    <x v="1"/>
    <x v="2"/>
    <x v="26"/>
    <x v="66"/>
    <x v="42"/>
    <x v="142"/>
    <x v="271"/>
    <x v="1682"/>
    <x v="1955"/>
    <x v="1840"/>
    <x v="1963"/>
    <x v="706"/>
    <x v="30"/>
    <x v="43"/>
    <x v="1616"/>
    <x v="30"/>
    <x v="0"/>
  </r>
  <r>
    <x v="48"/>
    <x v="0"/>
    <x v="7"/>
    <x v="3"/>
    <x v="1"/>
    <x v="2"/>
    <x v="19"/>
    <x v="13"/>
    <x v="44"/>
    <x v="139"/>
    <x v="127"/>
    <x v="1683"/>
    <x v="1956"/>
    <x v="1841"/>
    <x v="1453"/>
    <x v="396"/>
    <x v="53"/>
    <x v="58"/>
    <x v="1617"/>
    <x v="53"/>
    <x v="2"/>
  </r>
  <r>
    <x v="30"/>
    <x v="1"/>
    <x v="7"/>
    <x v="1"/>
    <x v="6"/>
    <x v="2"/>
    <x v="74"/>
    <x v="32"/>
    <x v="28"/>
    <x v="88"/>
    <x v="348"/>
    <x v="1684"/>
    <x v="1957"/>
    <x v="1842"/>
    <x v="1964"/>
    <x v="1250"/>
    <x v="118"/>
    <x v="147"/>
    <x v="1618"/>
    <x v="118"/>
    <x v="1"/>
  </r>
  <r>
    <x v="1"/>
    <x v="1"/>
    <x v="2"/>
    <x v="1"/>
    <x v="0"/>
    <x v="1"/>
    <x v="0"/>
    <x v="6"/>
    <x v="89"/>
    <x v="73"/>
    <x v="0"/>
    <x v="1225"/>
    <x v="1958"/>
    <x v="1843"/>
    <x v="1965"/>
    <x v="314"/>
    <x v="98"/>
    <x v="12"/>
    <x v="1619"/>
    <x v="98"/>
    <x v="1"/>
  </r>
  <r>
    <x v="42"/>
    <x v="1"/>
    <x v="6"/>
    <x v="0"/>
    <x v="5"/>
    <x v="3"/>
    <x v="84"/>
    <x v="17"/>
    <x v="9"/>
    <x v="87"/>
    <x v="183"/>
    <x v="1685"/>
    <x v="1959"/>
    <x v="1844"/>
    <x v="1966"/>
    <x v="1251"/>
    <x v="119"/>
    <x v="98"/>
    <x v="1620"/>
    <x v="119"/>
    <x v="2"/>
  </r>
  <r>
    <x v="16"/>
    <x v="0"/>
    <x v="3"/>
    <x v="1"/>
    <x v="6"/>
    <x v="2"/>
    <x v="71"/>
    <x v="56"/>
    <x v="10"/>
    <x v="143"/>
    <x v="141"/>
    <x v="1686"/>
    <x v="1960"/>
    <x v="1845"/>
    <x v="1967"/>
    <x v="43"/>
    <x v="71"/>
    <x v="156"/>
    <x v="1621"/>
    <x v="71"/>
    <x v="0"/>
  </r>
  <r>
    <x v="2"/>
    <x v="1"/>
    <x v="5"/>
    <x v="1"/>
    <x v="5"/>
    <x v="3"/>
    <x v="75"/>
    <x v="48"/>
    <x v="77"/>
    <x v="48"/>
    <x v="414"/>
    <x v="1687"/>
    <x v="1961"/>
    <x v="1846"/>
    <x v="1968"/>
    <x v="86"/>
    <x v="78"/>
    <x v="130"/>
    <x v="113"/>
    <x v="78"/>
    <x v="2"/>
  </r>
  <r>
    <x v="46"/>
    <x v="1"/>
    <x v="4"/>
    <x v="0"/>
    <x v="5"/>
    <x v="3"/>
    <x v="70"/>
    <x v="63"/>
    <x v="13"/>
    <x v="122"/>
    <x v="332"/>
    <x v="107"/>
    <x v="1962"/>
    <x v="1149"/>
    <x v="1969"/>
    <x v="1252"/>
    <x v="38"/>
    <x v="70"/>
    <x v="1622"/>
    <x v="38"/>
    <x v="1"/>
  </r>
  <r>
    <x v="7"/>
    <x v="1"/>
    <x v="9"/>
    <x v="4"/>
    <x v="4"/>
    <x v="0"/>
    <x v="4"/>
    <x v="3"/>
    <x v="9"/>
    <x v="78"/>
    <x v="130"/>
    <x v="1688"/>
    <x v="1963"/>
    <x v="1847"/>
    <x v="1970"/>
    <x v="1253"/>
    <x v="64"/>
    <x v="76"/>
    <x v="187"/>
    <x v="64"/>
    <x v="2"/>
  </r>
  <r>
    <x v="37"/>
    <x v="0"/>
    <x v="0"/>
    <x v="4"/>
    <x v="6"/>
    <x v="2"/>
    <x v="33"/>
    <x v="32"/>
    <x v="72"/>
    <x v="71"/>
    <x v="401"/>
    <x v="1689"/>
    <x v="1964"/>
    <x v="1848"/>
    <x v="1971"/>
    <x v="206"/>
    <x v="31"/>
    <x v="139"/>
    <x v="147"/>
    <x v="31"/>
    <x v="2"/>
  </r>
  <r>
    <x v="33"/>
    <x v="0"/>
    <x v="9"/>
    <x v="4"/>
    <x v="6"/>
    <x v="0"/>
    <x v="8"/>
    <x v="43"/>
    <x v="13"/>
    <x v="16"/>
    <x v="200"/>
    <x v="1009"/>
    <x v="1965"/>
    <x v="1849"/>
    <x v="1972"/>
    <x v="915"/>
    <x v="62"/>
    <x v="79"/>
    <x v="269"/>
    <x v="62"/>
    <x v="2"/>
  </r>
  <r>
    <x v="28"/>
    <x v="1"/>
    <x v="3"/>
    <x v="0"/>
    <x v="3"/>
    <x v="1"/>
    <x v="96"/>
    <x v="64"/>
    <x v="8"/>
    <x v="90"/>
    <x v="255"/>
    <x v="190"/>
    <x v="1966"/>
    <x v="130"/>
    <x v="1973"/>
    <x v="715"/>
    <x v="105"/>
    <x v="114"/>
    <x v="1623"/>
    <x v="105"/>
    <x v="0"/>
  </r>
  <r>
    <x v="32"/>
    <x v="0"/>
    <x v="0"/>
    <x v="0"/>
    <x v="3"/>
    <x v="0"/>
    <x v="48"/>
    <x v="67"/>
    <x v="75"/>
    <x v="103"/>
    <x v="77"/>
    <x v="1690"/>
    <x v="1967"/>
    <x v="1850"/>
    <x v="1974"/>
    <x v="1254"/>
    <x v="52"/>
    <x v="88"/>
    <x v="1624"/>
    <x v="52"/>
    <x v="1"/>
  </r>
  <r>
    <x v="18"/>
    <x v="1"/>
    <x v="0"/>
    <x v="3"/>
    <x v="1"/>
    <x v="0"/>
    <x v="34"/>
    <x v="33"/>
    <x v="11"/>
    <x v="134"/>
    <x v="198"/>
    <x v="1691"/>
    <x v="1968"/>
    <x v="29"/>
    <x v="1975"/>
    <x v="982"/>
    <x v="94"/>
    <x v="160"/>
    <x v="941"/>
    <x v="94"/>
    <x v="2"/>
  </r>
  <r>
    <x v="29"/>
    <x v="0"/>
    <x v="7"/>
    <x v="3"/>
    <x v="0"/>
    <x v="3"/>
    <x v="49"/>
    <x v="22"/>
    <x v="0"/>
    <x v="128"/>
    <x v="384"/>
    <x v="1692"/>
    <x v="1969"/>
    <x v="1851"/>
    <x v="1976"/>
    <x v="1085"/>
    <x v="41"/>
    <x v="119"/>
    <x v="1625"/>
    <x v="41"/>
    <x v="2"/>
  </r>
  <r>
    <x v="27"/>
    <x v="0"/>
    <x v="0"/>
    <x v="4"/>
    <x v="0"/>
    <x v="3"/>
    <x v="84"/>
    <x v="25"/>
    <x v="46"/>
    <x v="134"/>
    <x v="293"/>
    <x v="1693"/>
    <x v="1970"/>
    <x v="1852"/>
    <x v="1591"/>
    <x v="1188"/>
    <x v="106"/>
    <x v="177"/>
    <x v="1626"/>
    <x v="106"/>
    <x v="0"/>
  </r>
  <r>
    <x v="43"/>
    <x v="0"/>
    <x v="0"/>
    <x v="3"/>
    <x v="6"/>
    <x v="3"/>
    <x v="27"/>
    <x v="6"/>
    <x v="38"/>
    <x v="108"/>
    <x v="393"/>
    <x v="1084"/>
    <x v="1971"/>
    <x v="1853"/>
    <x v="1977"/>
    <x v="1255"/>
    <x v="139"/>
    <x v="189"/>
    <x v="694"/>
    <x v="139"/>
    <x v="2"/>
  </r>
  <r>
    <x v="24"/>
    <x v="0"/>
    <x v="3"/>
    <x v="1"/>
    <x v="2"/>
    <x v="2"/>
    <x v="85"/>
    <x v="26"/>
    <x v="80"/>
    <x v="108"/>
    <x v="431"/>
    <x v="1694"/>
    <x v="1972"/>
    <x v="1577"/>
    <x v="1978"/>
    <x v="1256"/>
    <x v="117"/>
    <x v="160"/>
    <x v="941"/>
    <x v="117"/>
    <x v="1"/>
  </r>
  <r>
    <x v="12"/>
    <x v="1"/>
    <x v="1"/>
    <x v="3"/>
    <x v="3"/>
    <x v="0"/>
    <x v="117"/>
    <x v="34"/>
    <x v="20"/>
    <x v="96"/>
    <x v="224"/>
    <x v="1695"/>
    <x v="1973"/>
    <x v="1854"/>
    <x v="1979"/>
    <x v="745"/>
    <x v="98"/>
    <x v="154"/>
    <x v="1627"/>
    <x v="98"/>
    <x v="0"/>
  </r>
  <r>
    <x v="15"/>
    <x v="1"/>
    <x v="6"/>
    <x v="0"/>
    <x v="1"/>
    <x v="1"/>
    <x v="72"/>
    <x v="21"/>
    <x v="55"/>
    <x v="77"/>
    <x v="130"/>
    <x v="544"/>
    <x v="1974"/>
    <x v="1855"/>
    <x v="1980"/>
    <x v="70"/>
    <x v="97"/>
    <x v="39"/>
    <x v="1628"/>
    <x v="97"/>
    <x v="2"/>
  </r>
  <r>
    <x v="14"/>
    <x v="0"/>
    <x v="5"/>
    <x v="2"/>
    <x v="5"/>
    <x v="0"/>
    <x v="81"/>
    <x v="56"/>
    <x v="47"/>
    <x v="142"/>
    <x v="10"/>
    <x v="1696"/>
    <x v="1975"/>
    <x v="62"/>
    <x v="1981"/>
    <x v="755"/>
    <x v="121"/>
    <x v="124"/>
    <x v="1629"/>
    <x v="121"/>
    <x v="2"/>
  </r>
  <r>
    <x v="20"/>
    <x v="0"/>
    <x v="3"/>
    <x v="2"/>
    <x v="6"/>
    <x v="0"/>
    <x v="74"/>
    <x v="30"/>
    <x v="13"/>
    <x v="150"/>
    <x v="374"/>
    <x v="1392"/>
    <x v="1976"/>
    <x v="1856"/>
    <x v="1982"/>
    <x v="587"/>
    <x v="43"/>
    <x v="63"/>
    <x v="522"/>
    <x v="43"/>
    <x v="1"/>
  </r>
  <r>
    <x v="60"/>
    <x v="2"/>
    <x v="10"/>
    <x v="5"/>
    <x v="7"/>
    <x v="4"/>
    <x v="120"/>
    <x v="80"/>
    <x v="90"/>
    <x v="160"/>
    <x v="446"/>
    <x v="1697"/>
    <x v="1977"/>
    <x v="1857"/>
    <x v="1983"/>
    <x v="1257"/>
    <x v="191"/>
    <x v="228"/>
    <x v="1630"/>
    <x v="19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B8692C-AB3B-4E6D-B1A9-68B20D8B7944}" name="PivotTable6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5" indent="0" outline="1" outlineData="1" multipleFieldFilters="0">
  <location ref="J3:K10" firstHeaderRow="1" firstDataRow="1" firstDataCol="1"/>
  <pivotFields count="22">
    <pivotField showAll="0"/>
    <pivotField showAll="0"/>
    <pivotField showAll="0"/>
    <pivotField axis="axisRow" dataField="1" showAll="0">
      <items count="7">
        <item x="1"/>
        <item x="0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vent_Typ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2CA912-5F9E-43B3-8077-96F08C6F95F3}" name="PivotTable4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5" indent="0" outline="1" outlineData="1" multipleFieldFilters="0">
  <location ref="G24:H29" firstHeaderRow="1" firstDataRow="1" firstDataCol="1"/>
  <pivotFields count="22"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0"/>
        <item x="2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Casualti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731BD3-F4F0-42FE-954A-6D7FE081CCD6}" name="PivotTable3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5" indent="0" outline="1" outlineData="1" multipleFieldFilters="0">
  <location ref="D24:E27" firstHeaderRow="1" firstDataRow="1" firstDataCol="1"/>
  <pivotFields count="22"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Total_Casualti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729440-0D6E-42C7-8D1B-CD261EDFE0AF}" name="PivotTable2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5" indent="0" outline="1" outlineData="1" multipleFieldFilters="0">
  <location ref="A24:B35" firstHeaderRow="1" firstDataRow="1" firstDataCol="1"/>
  <pivotFields count="22">
    <pivotField showAll="0"/>
    <pivotField showAll="0"/>
    <pivotField axis="axisRow" showAll="0">
      <items count="12">
        <item x="0"/>
        <item x="2"/>
        <item x="9"/>
        <item x="3"/>
        <item x="8"/>
        <item x="1"/>
        <item x="5"/>
        <item x="4"/>
        <item x="6"/>
        <item x="7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_Casualti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A8A74F-0CC2-4F2F-A205-4113CE8FB981}" name="PivotTable1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5" indent="0" outline="1" outlineData="1" multipleFieldFilters="0">
  <location ref="G15:H20" firstHeaderRow="1" firstDataRow="1" firstDataCol="1"/>
  <pivotFields count="22"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979">
        <item x="305"/>
        <item x="1249"/>
        <item x="784"/>
        <item x="884"/>
        <item x="1040"/>
        <item x="103"/>
        <item x="1152"/>
        <item x="1974"/>
        <item x="696"/>
        <item x="221"/>
        <item x="746"/>
        <item x="1687"/>
        <item x="856"/>
        <item x="446"/>
        <item x="63"/>
        <item x="144"/>
        <item x="1929"/>
        <item x="728"/>
        <item x="510"/>
        <item x="1403"/>
        <item x="1905"/>
        <item x="242"/>
        <item x="775"/>
        <item x="906"/>
        <item x="36"/>
        <item x="1427"/>
        <item x="736"/>
        <item x="1733"/>
        <item x="1918"/>
        <item x="1880"/>
        <item x="1949"/>
        <item x="498"/>
        <item x="273"/>
        <item x="1141"/>
        <item x="538"/>
        <item x="1882"/>
        <item x="1708"/>
        <item x="562"/>
        <item x="605"/>
        <item x="1273"/>
        <item x="1050"/>
        <item x="718"/>
        <item x="1627"/>
        <item x="286"/>
        <item x="1468"/>
        <item x="455"/>
        <item x="1800"/>
        <item x="226"/>
        <item x="505"/>
        <item x="1282"/>
        <item x="1954"/>
        <item x="17"/>
        <item x="1976"/>
        <item x="208"/>
        <item x="492"/>
        <item x="211"/>
        <item x="631"/>
        <item x="473"/>
        <item x="1201"/>
        <item x="1437"/>
        <item x="1839"/>
        <item x="1471"/>
        <item x="1087"/>
        <item x="98"/>
        <item x="229"/>
        <item x="1262"/>
        <item x="1108"/>
        <item x="170"/>
        <item x="1557"/>
        <item x="78"/>
        <item x="589"/>
        <item x="1680"/>
        <item x="1797"/>
        <item x="16"/>
        <item x="1158"/>
        <item x="1156"/>
        <item x="717"/>
        <item x="758"/>
        <item x="514"/>
        <item x="256"/>
        <item x="869"/>
        <item x="255"/>
        <item x="979"/>
        <item x="1513"/>
        <item x="1007"/>
        <item x="262"/>
        <item x="59"/>
        <item x="503"/>
        <item x="1699"/>
        <item x="1831"/>
        <item x="72"/>
        <item x="804"/>
        <item x="431"/>
        <item x="849"/>
        <item x="425"/>
        <item x="1509"/>
        <item x="1836"/>
        <item x="876"/>
        <item x="415"/>
        <item x="436"/>
        <item x="595"/>
        <item x="519"/>
        <item x="449"/>
        <item x="222"/>
        <item x="1789"/>
        <item x="15"/>
        <item x="1086"/>
        <item x="1206"/>
        <item x="1701"/>
        <item x="1867"/>
        <item x="1720"/>
        <item x="1082"/>
        <item x="1842"/>
        <item x="0"/>
        <item x="1443"/>
        <item x="1604"/>
        <item x="862"/>
        <item x="1338"/>
        <item x="547"/>
        <item x="825"/>
        <item x="1587"/>
        <item x="683"/>
        <item x="253"/>
        <item x="189"/>
        <item x="407"/>
        <item x="458"/>
        <item x="1121"/>
        <item x="1205"/>
        <item x="261"/>
        <item x="279"/>
        <item x="500"/>
        <item x="321"/>
        <item x="572"/>
        <item x="336"/>
        <item x="1039"/>
        <item x="1924"/>
        <item x="1020"/>
        <item x="1195"/>
        <item x="373"/>
        <item x="1846"/>
        <item x="169"/>
        <item x="930"/>
        <item x="43"/>
        <item x="87"/>
        <item x="49"/>
        <item x="1677"/>
        <item x="21"/>
        <item x="167"/>
        <item x="1312"/>
        <item x="535"/>
        <item x="314"/>
        <item x="1668"/>
        <item x="1122"/>
        <item x="1972"/>
        <item x="1453"/>
        <item x="842"/>
        <item x="599"/>
        <item x="313"/>
        <item x="1963"/>
        <item x="1416"/>
        <item x="1002"/>
        <item x="432"/>
        <item x="1706"/>
        <item x="405"/>
        <item x="384"/>
        <item x="1826"/>
        <item x="1214"/>
        <item x="1037"/>
        <item x="1414"/>
        <item x="274"/>
        <item x="392"/>
        <item x="1488"/>
        <item x="452"/>
        <item x="773"/>
        <item x="1696"/>
        <item x="1095"/>
        <item x="678"/>
        <item x="1376"/>
        <item x="1313"/>
        <item x="908"/>
        <item x="721"/>
        <item x="257"/>
        <item x="1868"/>
        <item x="913"/>
        <item x="810"/>
        <item x="801"/>
        <item x="1090"/>
        <item x="1109"/>
        <item x="613"/>
        <item x="1734"/>
        <item x="1525"/>
        <item x="200"/>
        <item x="171"/>
        <item x="408"/>
        <item x="198"/>
        <item x="799"/>
        <item x="1829"/>
        <item x="1232"/>
        <item x="681"/>
        <item x="79"/>
        <item x="1292"/>
        <item x="583"/>
        <item x="1475"/>
        <item x="1602"/>
        <item x="1617"/>
        <item x="786"/>
        <item x="1785"/>
        <item x="1594"/>
        <item x="1647"/>
        <item x="26"/>
        <item x="1805"/>
        <item x="557"/>
        <item x="590"/>
        <item x="770"/>
        <item x="270"/>
        <item x="1802"/>
        <item x="354"/>
        <item x="626"/>
        <item x="1192"/>
        <item x="1080"/>
        <item x="914"/>
        <item x="580"/>
        <item x="374"/>
        <item x="1223"/>
        <item x="793"/>
        <item x="819"/>
        <item x="618"/>
        <item x="357"/>
        <item x="168"/>
        <item x="278"/>
        <item x="166"/>
        <item x="401"/>
        <item x="1792"/>
        <item x="1213"/>
        <item x="160"/>
        <item x="938"/>
        <item x="1064"/>
        <item x="1470"/>
        <item x="755"/>
        <item x="1858"/>
        <item x="1757"/>
        <item x="1898"/>
        <item x="1118"/>
        <item x="1243"/>
        <item x="1057"/>
        <item x="772"/>
        <item x="926"/>
        <item x="264"/>
        <item x="1813"/>
        <item x="837"/>
        <item x="1053"/>
        <item x="224"/>
        <item x="1328"/>
        <item x="1719"/>
        <item x="985"/>
        <item x="851"/>
        <item x="1076"/>
        <item x="1362"/>
        <item x="634"/>
        <item x="1621"/>
        <item x="1394"/>
        <item x="1308"/>
        <item x="897"/>
        <item x="1848"/>
        <item x="105"/>
        <item x="1770"/>
        <item x="1597"/>
        <item x="900"/>
        <item x="225"/>
        <item x="788"/>
        <item x="1901"/>
        <item x="1874"/>
        <item x="1876"/>
        <item x="670"/>
        <item x="1314"/>
        <item x="644"/>
        <item x="1157"/>
        <item x="525"/>
        <item x="107"/>
        <item x="1705"/>
        <item x="290"/>
        <item x="1556"/>
        <item x="1548"/>
        <item x="1495"/>
        <item x="1434"/>
        <item x="1021"/>
        <item x="2"/>
        <item x="1728"/>
        <item x="1782"/>
        <item x="642"/>
        <item x="1788"/>
        <item x="781"/>
        <item x="223"/>
        <item x="1551"/>
        <item x="1271"/>
        <item x="508"/>
        <item x="251"/>
        <item x="682"/>
        <item x="1407"/>
        <item x="1478"/>
        <item x="1726"/>
        <item x="987"/>
        <item x="734"/>
        <item x="637"/>
        <item x="603"/>
        <item x="1486"/>
        <item x="25"/>
        <item x="483"/>
        <item x="1804"/>
        <item x="126"/>
        <item x="184"/>
        <item x="652"/>
        <item x="824"/>
        <item x="1212"/>
        <item x="1278"/>
        <item x="1628"/>
        <item x="1801"/>
        <item x="1790"/>
        <item x="231"/>
        <item x="1957"/>
        <item x="1575"/>
        <item x="766"/>
        <item x="1283"/>
        <item x="737"/>
        <item x="1931"/>
        <item x="961"/>
        <item x="1689"/>
        <item x="1049"/>
        <item x="1538"/>
        <item x="844"/>
        <item x="669"/>
        <item x="671"/>
        <item x="1240"/>
        <item x="1968"/>
        <item x="941"/>
        <item x="1051"/>
        <item x="1479"/>
        <item x="813"/>
        <item x="1766"/>
        <item x="880"/>
        <item x="1615"/>
        <item x="771"/>
        <item x="943"/>
        <item x="1493"/>
        <item x="1169"/>
        <item x="570"/>
        <item x="1395"/>
        <item x="616"/>
        <item x="409"/>
        <item x="1068"/>
        <item x="133"/>
        <item x="1934"/>
        <item x="411"/>
        <item x="882"/>
        <item x="1415"/>
        <item x="963"/>
        <item x="560"/>
        <item x="992"/>
        <item x="787"/>
        <item x="173"/>
        <item x="660"/>
        <item x="1208"/>
        <item x="1254"/>
        <item x="674"/>
        <item x="1702"/>
        <item x="1741"/>
        <item x="950"/>
        <item x="1389"/>
        <item x="1661"/>
        <item x="1209"/>
        <item x="1534"/>
        <item x="45"/>
        <item x="382"/>
        <item x="292"/>
        <item x="215"/>
        <item x="277"/>
        <item x="1695"/>
        <item x="1854"/>
        <item x="82"/>
        <item x="1279"/>
        <item x="1855"/>
        <item x="1838"/>
        <item x="1373"/>
        <item x="1377"/>
        <item x="393"/>
        <item x="1798"/>
        <item x="1264"/>
        <item x="1609"/>
        <item x="1100"/>
        <item x="1406"/>
        <item x="1915"/>
        <item x="996"/>
        <item x="735"/>
        <item x="359"/>
        <item x="988"/>
        <item x="855"/>
        <item x="422"/>
        <item x="692"/>
        <item x="994"/>
        <item x="416"/>
        <item x="976"/>
        <item x="1008"/>
        <item x="912"/>
        <item x="1760"/>
        <item x="1194"/>
        <item x="193"/>
        <item x="1449"/>
        <item x="1397"/>
        <item x="1879"/>
        <item x="1614"/>
        <item x="1355"/>
        <item x="1450"/>
        <item x="350"/>
        <item x="1091"/>
        <item x="968"/>
        <item x="782"/>
        <item x="1357"/>
        <item x="615"/>
        <item x="152"/>
        <item x="1081"/>
        <item x="109"/>
        <item x="752"/>
        <item x="470"/>
        <item x="1105"/>
        <item x="1061"/>
        <item x="966"/>
        <item x="438"/>
        <item x="830"/>
        <item x="903"/>
        <item x="744"/>
        <item x="1655"/>
        <item x="1256"/>
        <item x="1871"/>
        <item x="1294"/>
        <item x="932"/>
        <item x="984"/>
        <item x="1518"/>
        <item x="1658"/>
        <item x="1492"/>
        <item x="6"/>
        <item x="732"/>
        <item x="1332"/>
        <item x="385"/>
        <item x="1787"/>
        <item x="751"/>
        <item x="1936"/>
        <item x="1678"/>
        <item x="1031"/>
        <item x="414"/>
        <item x="1724"/>
        <item x="179"/>
        <item x="1073"/>
        <item x="1896"/>
        <item x="128"/>
        <item x="183"/>
        <item x="665"/>
        <item x="924"/>
        <item x="95"/>
        <item x="695"/>
        <item x="1771"/>
        <item x="1529"/>
        <item x="1866"/>
        <item x="67"/>
        <item x="64"/>
        <item x="1245"/>
        <item x="1834"/>
        <item x="1356"/>
        <item x="428"/>
        <item x="238"/>
        <item x="1675"/>
        <item x="497"/>
        <item x="515"/>
        <item x="427"/>
        <item x="1523"/>
        <item x="206"/>
        <item x="1102"/>
        <item x="1125"/>
        <item x="1554"/>
        <item x="1851"/>
        <item x="77"/>
        <item x="1662"/>
        <item x="1392"/>
        <item x="1756"/>
        <item x="1903"/>
        <item x="522"/>
        <item x="220"/>
        <item x="1552"/>
        <item x="331"/>
        <item x="29"/>
        <item x="710"/>
        <item x="836"/>
        <item x="630"/>
        <item x="1253"/>
        <item x="1024"/>
        <item x="1352"/>
        <item x="245"/>
        <item x="1565"/>
        <item x="1379"/>
        <item x="1869"/>
        <item x="543"/>
        <item x="1773"/>
        <item x="1185"/>
        <item x="228"/>
        <item x="948"/>
        <item x="1474"/>
        <item x="779"/>
        <item x="575"/>
        <item x="1541"/>
        <item x="765"/>
        <item x="312"/>
        <item x="1707"/>
        <item x="1779"/>
        <item x="280"/>
        <item x="104"/>
        <item x="1322"/>
        <item x="1045"/>
        <item x="1016"/>
        <item x="1566"/>
        <item x="1753"/>
        <item x="889"/>
        <item x="332"/>
        <item x="675"/>
        <item x="1490"/>
        <item x="394"/>
        <item x="1514"/>
        <item x="944"/>
        <item x="1177"/>
        <item x="390"/>
        <item x="349"/>
        <item x="1382"/>
        <item x="122"/>
        <item x="1107"/>
        <item x="707"/>
        <item x="1044"/>
        <item x="80"/>
        <item x="266"/>
        <item x="1115"/>
        <item x="1013"/>
        <item x="1197"/>
        <item x="833"/>
        <item x="177"/>
        <item x="1140"/>
        <item x="147"/>
        <item x="61"/>
        <item x="1202"/>
        <item x="1641"/>
        <item x="1426"/>
        <item x="361"/>
        <item x="316"/>
        <item x="635"/>
        <item x="568"/>
        <item x="1611"/>
        <item x="1973"/>
        <item x="1558"/>
        <item x="1116"/>
        <item x="1444"/>
        <item x="309"/>
        <item x="156"/>
        <item x="397"/>
        <item x="831"/>
        <item x="1330"/>
        <item x="1669"/>
        <item x="1941"/>
        <item x="1847"/>
        <item x="1784"/>
        <item x="947"/>
        <item x="608"/>
        <item x="871"/>
        <item x="1149"/>
        <item x="1071"/>
        <item x="933"/>
        <item x="656"/>
        <item x="19"/>
        <item x="1927"/>
        <item x="1843"/>
        <item x="713"/>
        <item x="268"/>
        <item x="1174"/>
        <item x="437"/>
        <item x="454"/>
        <item x="1451"/>
        <item x="28"/>
        <item x="1484"/>
        <item x="10"/>
        <item x="145"/>
        <item x="1298"/>
        <item x="877"/>
        <item x="1694"/>
        <item x="1932"/>
        <item x="1033"/>
        <item x="1520"/>
        <item x="191"/>
        <item x="1079"/>
        <item x="679"/>
        <item x="1151"/>
        <item x="464"/>
        <item x="783"/>
        <item x="1535"/>
        <item x="367"/>
        <item x="596"/>
        <item x="372"/>
        <item x="20"/>
        <item x="1340"/>
        <item x="1129"/>
        <item x="1367"/>
        <item x="1578"/>
        <item x="1041"/>
        <item x="918"/>
        <item x="66"/>
        <item x="971"/>
        <item x="1637"/>
        <item x="907"/>
        <item x="1713"/>
        <item x="657"/>
        <item x="1622"/>
        <item x="1911"/>
        <item x="1015"/>
        <item x="1832"/>
        <item x="1967"/>
        <item x="1361"/>
        <item x="1400"/>
        <item x="1448"/>
        <item x="1652"/>
        <item x="1112"/>
        <item x="1248"/>
        <item x="1499"/>
        <item x="482"/>
        <item x="137"/>
        <item x="693"/>
        <item x="1429"/>
        <item x="244"/>
        <item x="1960"/>
        <item x="1549"/>
        <item x="723"/>
        <item x="271"/>
        <item x="1512"/>
        <item x="609"/>
        <item x="673"/>
        <item x="1807"/>
        <item x="647"/>
        <item x="1190"/>
        <item x="1524"/>
        <item x="406"/>
        <item x="347"/>
        <item x="1507"/>
        <item x="478"/>
        <item x="283"/>
        <item x="1850"/>
        <item x="1052"/>
        <item x="983"/>
        <item x="1730"/>
        <item x="927"/>
        <item x="430"/>
        <item x="556"/>
        <item x="1263"/>
        <item x="991"/>
        <item x="1399"/>
        <item x="135"/>
        <item x="1182"/>
        <item x="1276"/>
        <item x="1958"/>
        <item x="1527"/>
        <item x="1252"/>
        <item x="24"/>
        <item x="1025"/>
        <item x="106"/>
        <item x="1247"/>
        <item x="1886"/>
        <item x="890"/>
        <item x="1844"/>
        <item x="1971"/>
        <item x="602"/>
        <item x="8"/>
        <item x="1543"/>
        <item x="136"/>
        <item x="731"/>
        <item x="529"/>
        <item x="864"/>
        <item x="1758"/>
        <item x="1740"/>
        <item x="1207"/>
        <item x="1744"/>
        <item x="789"/>
        <item x="1943"/>
        <item x="249"/>
        <item x="1307"/>
        <item x="1481"/>
        <item x="1055"/>
        <item x="826"/>
        <item x="1883"/>
        <item x="1186"/>
        <item x="1435"/>
        <item x="1791"/>
        <item x="790"/>
        <item x="863"/>
        <item x="275"/>
        <item x="581"/>
        <item x="388"/>
        <item x="1417"/>
        <item x="1653"/>
        <item x="1316"/>
        <item x="402"/>
        <item x="1461"/>
        <item x="91"/>
        <item x="1266"/>
        <item x="733"/>
        <item x="597"/>
        <item x="1712"/>
        <item x="1892"/>
        <item x="1442"/>
        <item x="308"/>
        <item x="1496"/>
        <item x="1821"/>
        <item x="1078"/>
        <item x="1935"/>
        <item x="1497"/>
        <item x="1775"/>
        <item x="619"/>
        <item x="30"/>
        <item x="1809"/>
        <item x="434"/>
        <item x="1408"/>
        <item x="1280"/>
        <item x="62"/>
        <item x="1046"/>
        <item x="667"/>
        <item x="757"/>
        <item x="1743"/>
        <item x="687"/>
        <item x="533"/>
        <item x="1885"/>
        <item x="150"/>
        <item x="27"/>
        <item x="563"/>
        <item x="1233"/>
        <item x="709"/>
        <item x="540"/>
        <item x="1754"/>
        <item x="748"/>
        <item x="53"/>
        <item x="794"/>
        <item x="1250"/>
        <item x="1643"/>
        <item x="768"/>
        <item x="1210"/>
        <item x="1732"/>
        <item x="68"/>
        <item x="1393"/>
        <item x="209"/>
        <item x="942"/>
        <item x="1391"/>
        <item x="750"/>
        <item x="1344"/>
        <item x="370"/>
        <item x="240"/>
        <item x="1762"/>
        <item x="1196"/>
        <item x="134"/>
        <item x="1536"/>
        <item x="1731"/>
        <item x="335"/>
        <item x="1721"/>
        <item x="1769"/>
        <item x="479"/>
        <item x="1583"/>
        <item x="466"/>
        <item x="1255"/>
        <item x="138"/>
        <item x="1500"/>
        <item x="632"/>
        <item x="967"/>
        <item x="47"/>
        <item x="549"/>
        <item x="1062"/>
        <item x="1722"/>
        <item x="1671"/>
        <item x="1325"/>
        <item x="1381"/>
        <item x="828"/>
        <item x="896"/>
        <item x="811"/>
        <item x="1620"/>
        <item x="55"/>
        <item x="546"/>
        <item x="929"/>
        <item x="318"/>
        <item x="485"/>
        <item x="502"/>
        <item x="121"/>
        <item x="891"/>
        <item x="668"/>
        <item x="1956"/>
        <item x="506"/>
        <item x="1830"/>
        <item x="60"/>
        <item x="1477"/>
        <item x="1430"/>
        <item x="954"/>
        <item x="207"/>
        <item x="1138"/>
        <item x="1796"/>
        <item x="537"/>
        <item x="1168"/>
        <item x="1398"/>
        <item x="1923"/>
        <item x="1419"/>
        <item x="860"/>
        <item x="1576"/>
        <item x="132"/>
        <item x="83"/>
        <item x="339"/>
        <item x="1939"/>
        <item x="940"/>
        <item x="1765"/>
        <item x="9"/>
        <item x="822"/>
        <item x="624"/>
        <item x="443"/>
        <item x="1217"/>
        <item x="1933"/>
        <item x="850"/>
        <item x="1679"/>
        <item x="246"/>
        <item x="213"/>
        <item x="1610"/>
        <item x="555"/>
        <item x="1439"/>
        <item x="348"/>
        <item x="1335"/>
        <item x="113"/>
        <item x="740"/>
        <item x="1914"/>
        <item x="995"/>
        <item x="14"/>
        <item x="1153"/>
        <item x="494"/>
        <item x="233"/>
        <item x="163"/>
        <item x="894"/>
        <item x="418"/>
        <item x="1369"/>
        <item x="1230"/>
        <item x="71"/>
        <item x="1729"/>
        <item x="1715"/>
        <item x="702"/>
        <item x="1054"/>
        <item x="417"/>
        <item x="1626"/>
        <item x="1401"/>
        <item x="1875"/>
        <item x="1913"/>
        <item x="1824"/>
        <item x="488"/>
        <item x="1895"/>
        <item x="1667"/>
        <item x="1945"/>
        <item x="785"/>
        <item x="1780"/>
        <item x="666"/>
        <item x="1329"/>
        <item x="362"/>
        <item x="1810"/>
        <item x="1579"/>
        <item x="1503"/>
        <item x="1459"/>
        <item x="1778"/>
        <item x="1310"/>
        <item x="1649"/>
        <item x="1835"/>
        <item x="1588"/>
        <item x="859"/>
        <item x="343"/>
        <item x="1605"/>
        <item x="1750"/>
        <item x="1951"/>
        <item x="955"/>
        <item x="1682"/>
        <item x="400"/>
        <item x="159"/>
        <item x="640"/>
        <item x="33"/>
        <item x="1553"/>
        <item x="756"/>
        <item x="974"/>
        <item x="1465"/>
        <item x="1226"/>
        <item x="1224"/>
        <item x="250"/>
        <item x="403"/>
        <item x="1870"/>
        <item x="840"/>
        <item x="1632"/>
        <item x="1586"/>
        <item x="155"/>
        <item x="1094"/>
        <item x="1909"/>
        <item x="1891"/>
        <item x="217"/>
        <item x="1269"/>
        <item x="767"/>
        <item x="480"/>
        <item x="1761"/>
        <item x="1845"/>
        <item x="442"/>
        <item x="972"/>
        <item x="1295"/>
        <item x="216"/>
        <item x="1270"/>
        <item x="125"/>
        <item x="694"/>
        <item x="1341"/>
        <item x="552"/>
        <item x="803"/>
        <item x="1363"/>
        <item x="1528"/>
        <item x="1685"/>
        <item x="1890"/>
        <item x="1865"/>
        <item x="338"/>
        <item x="1023"/>
        <item x="1405"/>
        <item x="1684"/>
        <item x="1260"/>
        <item x="1119"/>
        <item x="1833"/>
        <item x="905"/>
        <item x="1445"/>
        <item x="1321"/>
        <item x="1065"/>
        <item x="1011"/>
        <item x="1612"/>
        <item x="1433"/>
        <item x="554"/>
        <item x="1111"/>
        <item x="1004"/>
        <item x="1147"/>
        <item x="56"/>
        <item x="1859"/>
        <item x="1284"/>
        <item x="1537"/>
        <item x="1318"/>
        <item x="330"/>
        <item x="1660"/>
        <item x="1659"/>
        <item x="1598"/>
        <item x="190"/>
        <item x="1710"/>
        <item x="288"/>
        <item x="1172"/>
        <item x="315"/>
        <item x="252"/>
        <item x="577"/>
        <item x="76"/>
        <item x="700"/>
        <item x="475"/>
        <item x="174"/>
        <item x="800"/>
        <item x="421"/>
        <item x="1952"/>
        <item x="1651"/>
        <item x="175"/>
        <item x="1204"/>
        <item x="946"/>
        <item x="1704"/>
        <item x="1922"/>
        <item x="1272"/>
        <item x="410"/>
        <item x="1574"/>
        <item x="1144"/>
        <item x="1291"/>
        <item x="530"/>
        <item x="352"/>
        <item x="1160"/>
        <item x="412"/>
        <item x="116"/>
        <item x="970"/>
        <item x="1438"/>
        <item x="1043"/>
        <item x="805"/>
        <item x="1946"/>
        <item x="1162"/>
        <item x="550"/>
        <item x="1274"/>
        <item x="1837"/>
        <item x="873"/>
        <item x="870"/>
        <item x="287"/>
        <item x="457"/>
        <item x="1460"/>
        <item x="1114"/>
        <item x="711"/>
        <item x="1751"/>
        <item x="383"/>
        <item x="1511"/>
        <item x="1794"/>
        <item x="1396"/>
        <item x="18"/>
        <item x="1388"/>
        <item x="1261"/>
        <item x="1763"/>
        <item x="553"/>
        <item x="539"/>
        <item x="435"/>
        <item x="1143"/>
        <item x="858"/>
        <item x="715"/>
        <item x="585"/>
        <item x="379"/>
        <item x="945"/>
        <item x="1516"/>
        <item x="196"/>
        <item x="636"/>
        <item x="50"/>
        <item x="565"/>
        <item x="899"/>
        <item x="1455"/>
        <item x="1908"/>
        <item x="307"/>
        <item x="594"/>
        <item x="1723"/>
        <item x="1970"/>
        <item x="265"/>
        <item x="1346"/>
        <item x="1191"/>
        <item x="39"/>
        <item x="1727"/>
        <item x="459"/>
        <item x="1572"/>
        <item x="369"/>
        <item x="1101"/>
        <item x="1229"/>
        <item x="982"/>
        <item x="1368"/>
        <item x="413"/>
        <item x="1864"/>
        <item x="1857"/>
        <item x="65"/>
        <item x="461"/>
        <item x="958"/>
        <item x="1218"/>
        <item x="1700"/>
        <item x="1287"/>
        <item x="326"/>
        <item x="1014"/>
        <item x="1145"/>
        <item x="910"/>
        <item x="1244"/>
        <item x="664"/>
        <item x="1413"/>
        <item x="22"/>
        <item x="1236"/>
        <item x="936"/>
        <item x="981"/>
        <item x="1873"/>
        <item x="697"/>
        <item x="1029"/>
        <item x="872"/>
        <item x="1502"/>
        <item x="32"/>
        <item x="1539"/>
        <item x="1560"/>
        <item x="1508"/>
        <item x="1005"/>
        <item x="1075"/>
        <item x="513"/>
        <item x="439"/>
        <item x="424"/>
        <item x="722"/>
        <item x="542"/>
        <item x="1136"/>
        <item x="1221"/>
        <item x="1142"/>
        <item x="579"/>
        <item x="1950"/>
        <item x="1167"/>
        <item x="1132"/>
        <item x="1178"/>
        <item x="1424"/>
        <item x="1337"/>
        <item x="1881"/>
        <item x="164"/>
        <item x="892"/>
        <item x="1681"/>
        <item x="1693"/>
        <item x="1317"/>
        <item x="650"/>
        <item x="5"/>
        <item x="496"/>
        <item x="1811"/>
        <item x="1239"/>
        <item x="12"/>
        <item x="701"/>
        <item x="341"/>
        <item x="1457"/>
        <item x="294"/>
        <item x="368"/>
        <item x="1656"/>
        <item x="1155"/>
        <item x="1106"/>
        <item x="827"/>
        <item x="559"/>
        <item x="1237"/>
        <item x="201"/>
        <item x="611"/>
        <item x="641"/>
        <item x="1038"/>
        <item x="1522"/>
        <item x="295"/>
        <item x="1921"/>
        <item x="798"/>
        <item x="1624"/>
        <item x="846"/>
        <item x="1625"/>
        <item x="1515"/>
        <item x="1599"/>
        <item x="881"/>
        <item x="1944"/>
        <item x="866"/>
        <item x="1378"/>
        <item x="1755"/>
        <item x="142"/>
        <item x="934"/>
        <item x="725"/>
        <item x="1383"/>
        <item x="1193"/>
        <item x="1198"/>
        <item x="1645"/>
        <item x="600"/>
        <item x="1436"/>
        <item x="1010"/>
        <item x="317"/>
        <item x="54"/>
        <item x="643"/>
        <item x="149"/>
        <item x="481"/>
        <item x="1"/>
        <item x="792"/>
        <item x="566"/>
        <item x="37"/>
        <item x="423"/>
        <item x="1104"/>
        <item x="1372"/>
        <item x="854"/>
        <item x="1225"/>
        <item x="380"/>
        <item x="48"/>
        <item x="720"/>
        <item x="484"/>
        <item x="845"/>
        <item x="534"/>
        <item x="1215"/>
        <item x="1962"/>
        <item x="1286"/>
        <item x="633"/>
        <item x="1519"/>
        <item x="1517"/>
        <item x="1288"/>
        <item x="57"/>
        <item x="1130"/>
        <item x="1099"/>
        <item x="548"/>
        <item x="467"/>
        <item x="182"/>
        <item x="1670"/>
        <item x="989"/>
        <item x="638"/>
        <item x="1188"/>
        <item x="172"/>
        <item x="1135"/>
        <item x="204"/>
        <item x="118"/>
        <item x="472"/>
        <item x="84"/>
        <item x="282"/>
        <item x="1969"/>
        <item x="1309"/>
        <item x="203"/>
        <item x="1231"/>
        <item x="977"/>
        <item x="1246"/>
        <item x="1738"/>
        <item x="1959"/>
        <item x="1134"/>
        <item x="802"/>
        <item x="1323"/>
        <item x="742"/>
        <item x="337"/>
        <item x="1297"/>
        <item x="51"/>
        <item x="1736"/>
        <item x="158"/>
        <item x="1315"/>
        <item x="724"/>
        <item x="202"/>
        <item x="915"/>
        <item x="1374"/>
        <item x="1852"/>
        <item x="1334"/>
        <item x="1820"/>
        <item x="210"/>
        <item x="1767"/>
        <item x="812"/>
        <item x="1688"/>
        <item x="328"/>
        <item x="371"/>
        <item x="1306"/>
        <item x="232"/>
        <item x="1635"/>
        <item x="1331"/>
        <item x="887"/>
        <item x="1717"/>
        <item x="922"/>
        <item x="320"/>
        <item x="1454"/>
        <item x="951"/>
        <item x="645"/>
        <item x="902"/>
        <item x="1595"/>
        <item x="861"/>
        <item x="680"/>
        <item x="761"/>
        <item x="993"/>
        <item x="1019"/>
        <item x="389"/>
        <item x="119"/>
        <item x="536"/>
        <item x="377"/>
        <item x="1878"/>
        <item x="284"/>
        <item x="1793"/>
        <item x="1359"/>
        <item x="663"/>
        <item x="1697"/>
        <item x="1384"/>
        <item x="1420"/>
        <item x="1672"/>
        <item x="433"/>
        <item x="267"/>
        <item x="741"/>
        <item x="821"/>
        <item x="760"/>
        <item x="1170"/>
        <item x="1032"/>
        <item x="763"/>
        <item x="1452"/>
        <item x="764"/>
        <item x="739"/>
        <item x="140"/>
        <item x="1487"/>
        <item x="1228"/>
        <item x="303"/>
        <item x="1088"/>
        <item x="852"/>
        <item x="366"/>
        <item x="1390"/>
        <item x="1482"/>
        <item x="396"/>
        <item x="234"/>
        <item x="1164"/>
        <item x="1665"/>
        <item x="516"/>
        <item x="1817"/>
        <item x="1629"/>
        <item x="124"/>
        <item x="1386"/>
        <item x="1623"/>
        <item x="490"/>
        <item x="299"/>
        <item x="1827"/>
        <item x="1241"/>
        <item x="1532"/>
        <item x="1354"/>
        <item x="1034"/>
        <item x="1877"/>
        <item x="1456"/>
        <item x="1463"/>
        <item x="1485"/>
        <item x="254"/>
        <item x="796"/>
        <item x="1410"/>
        <item x="959"/>
        <item x="1299"/>
        <item x="471"/>
        <item x="743"/>
        <item x="1862"/>
        <item x="89"/>
        <item x="1018"/>
        <item x="1928"/>
        <item x="197"/>
        <item x="1772"/>
        <item x="1380"/>
        <item x="1259"/>
        <item x="194"/>
        <item x="606"/>
        <item x="990"/>
        <item x="888"/>
        <item x="1663"/>
        <item x="588"/>
        <item x="130"/>
        <item x="690"/>
        <item x="526"/>
        <item x="1267"/>
        <item x="1937"/>
        <item x="1938"/>
        <item x="236"/>
        <item x="658"/>
        <item x="1117"/>
        <item x="1300"/>
        <item x="629"/>
        <item x="199"/>
        <item x="610"/>
        <item x="1370"/>
        <item x="1302"/>
        <item x="1336"/>
        <item x="289"/>
        <item x="1902"/>
        <item x="521"/>
        <item x="1001"/>
        <item x="1027"/>
        <item x="1000"/>
        <item x="456"/>
        <item x="878"/>
        <item x="269"/>
        <item x="601"/>
        <item x="745"/>
        <item x="493"/>
        <item x="297"/>
        <item x="143"/>
        <item x="676"/>
        <item x="1083"/>
        <item x="520"/>
        <item x="243"/>
        <item x="92"/>
        <item x="1559"/>
        <item x="1137"/>
        <item x="1823"/>
        <item x="1268"/>
        <item x="247"/>
        <item x="1146"/>
        <item x="440"/>
        <item x="463"/>
        <item x="814"/>
        <item x="248"/>
        <item x="1220"/>
        <item x="311"/>
        <item x="1966"/>
        <item x="754"/>
        <item x="875"/>
        <item x="1092"/>
        <item x="178"/>
        <item x="1606"/>
        <item x="1542"/>
        <item x="444"/>
        <item x="573"/>
        <item x="1476"/>
        <item x="1601"/>
        <item x="1163"/>
        <item x="41"/>
        <item x="139"/>
        <item x="325"/>
        <item x="445"/>
        <item x="501"/>
        <item x="677"/>
        <item x="776"/>
        <item x="612"/>
        <item x="239"/>
        <item x="1664"/>
        <item x="925"/>
        <item x="807"/>
        <item x="829"/>
        <item x="975"/>
        <item x="541"/>
        <item x="1819"/>
        <item x="235"/>
        <item x="1311"/>
        <item x="1483"/>
        <item x="815"/>
        <item x="346"/>
        <item x="531"/>
        <item x="69"/>
        <item x="558"/>
        <item x="809"/>
        <item x="1320"/>
        <item x="909"/>
        <item x="123"/>
        <item x="1759"/>
        <item x="322"/>
        <item x="1301"/>
        <item x="780"/>
        <item x="127"/>
        <item x="460"/>
        <item x="661"/>
        <item x="1173"/>
        <item x="1814"/>
        <item x="1505"/>
        <item x="1828"/>
        <item x="699"/>
        <item x="1026"/>
        <item x="131"/>
        <item x="345"/>
        <item x="1856"/>
        <item x="1070"/>
        <item x="1596"/>
        <item x="569"/>
        <item x="1187"/>
        <item x="1072"/>
        <item x="1402"/>
        <item x="344"/>
        <item x="296"/>
        <item x="1925"/>
        <item x="834"/>
        <item x="1059"/>
        <item x="1211"/>
        <item x="468"/>
        <item x="1795"/>
        <item x="769"/>
        <item x="74"/>
        <item x="917"/>
        <item x="1676"/>
        <item x="953"/>
        <item x="1690"/>
        <item x="586"/>
        <item x="1840"/>
        <item x="1432"/>
        <item x="97"/>
        <item x="973"/>
        <item x="7"/>
        <item x="1799"/>
        <item x="969"/>
        <item x="205"/>
        <item x="607"/>
        <item x="1447"/>
        <item x="1639"/>
        <item x="218"/>
        <item x="1917"/>
        <item x="916"/>
        <item x="685"/>
        <item x="1889"/>
        <item x="1305"/>
        <item x="293"/>
        <item x="1803"/>
        <item x="523"/>
        <item x="1714"/>
        <item x="58"/>
        <item x="1506"/>
        <item x="1472"/>
        <item x="40"/>
        <item x="1764"/>
        <item x="1545"/>
        <item x="1812"/>
        <item x="567"/>
        <item x="1822"/>
        <item x="962"/>
        <item x="1258"/>
        <item x="1673"/>
        <item x="1657"/>
        <item x="141"/>
        <item x="1603"/>
        <item x="1526"/>
        <item x="258"/>
        <item x="1716"/>
        <item x="867"/>
        <item x="817"/>
        <item x="1618"/>
        <item x="684"/>
        <item x="1530"/>
        <item x="333"/>
        <item x="1175"/>
        <item x="237"/>
        <item x="1431"/>
        <item x="1296"/>
        <item x="447"/>
        <item x="212"/>
        <item x="1646"/>
        <item x="623"/>
        <item x="1590"/>
        <item x="1781"/>
        <item x="1333"/>
        <item x="1489"/>
        <item x="835"/>
        <item x="1573"/>
        <item x="1222"/>
        <item x="1349"/>
        <item x="1345"/>
        <item x="1818"/>
        <item x="1074"/>
        <item x="1165"/>
        <item x="1128"/>
        <item x="1139"/>
        <item x="188"/>
        <item x="93"/>
        <item x="1561"/>
        <item x="1409"/>
        <item x="1888"/>
        <item x="818"/>
        <item x="363"/>
        <item x="298"/>
        <item x="176"/>
        <item x="939"/>
        <item x="584"/>
        <item x="1806"/>
        <item x="587"/>
        <item x="1098"/>
        <item x="1084"/>
        <item x="1466"/>
        <item x="1580"/>
        <item x="1504"/>
        <item x="504"/>
        <item x="153"/>
        <item x="1251"/>
        <item x="291"/>
        <item x="662"/>
        <item x="241"/>
        <item x="1849"/>
        <item x="378"/>
        <item x="161"/>
        <item x="1464"/>
        <item x="448"/>
        <item x="1630"/>
        <item x="1666"/>
        <item x="1899"/>
        <item x="960"/>
        <item x="1887"/>
        <item x="386"/>
        <item x="162"/>
        <item x="1003"/>
        <item x="1910"/>
        <item x="730"/>
        <item x="528"/>
        <item x="86"/>
        <item x="157"/>
        <item x="659"/>
        <item x="1189"/>
        <item x="591"/>
        <item x="1786"/>
        <item x="1017"/>
        <item x="620"/>
        <item x="1422"/>
        <item x="1103"/>
        <item x="1028"/>
        <item x="1358"/>
        <item x="1285"/>
        <item x="688"/>
        <item x="1735"/>
        <item x="399"/>
        <item x="1441"/>
        <item x="281"/>
        <item x="358"/>
        <item x="848"/>
        <item x="419"/>
        <item x="1371"/>
        <item x="85"/>
        <item x="654"/>
        <item x="1940"/>
        <item x="980"/>
        <item x="1544"/>
        <item x="426"/>
        <item x="1048"/>
        <item x="1351"/>
        <item x="511"/>
        <item x="1469"/>
        <item x="1841"/>
        <item x="117"/>
        <item x="1166"/>
        <item x="1562"/>
        <item x="185"/>
        <item x="1365"/>
        <item x="499"/>
        <item x="1577"/>
        <item x="1686"/>
        <item x="759"/>
        <item x="1181"/>
        <item x="1303"/>
        <item x="1242"/>
        <item x="1319"/>
        <item x="451"/>
        <item x="592"/>
        <item x="1339"/>
        <item x="509"/>
        <item x="1216"/>
        <item x="120"/>
        <item x="672"/>
        <item x="1446"/>
        <item x="576"/>
        <item x="101"/>
        <item x="263"/>
        <item x="689"/>
        <item x="753"/>
        <item x="719"/>
        <item x="1860"/>
        <item x="791"/>
        <item x="192"/>
        <item x="593"/>
        <item x="1563"/>
        <item x="920"/>
        <item x="1480"/>
        <item x="714"/>
        <item x="749"/>
        <item x="148"/>
        <item x="462"/>
        <item x="1150"/>
        <item x="545"/>
        <item x="1494"/>
        <item x="885"/>
        <item x="1749"/>
        <item x="1919"/>
        <item x="151"/>
        <item x="1458"/>
        <item x="1592"/>
        <item x="986"/>
        <item x="797"/>
        <item x="1327"/>
        <item x="727"/>
        <item x="351"/>
        <item x="1326"/>
        <item x="507"/>
        <item x="108"/>
        <item x="353"/>
        <item x="1650"/>
        <item x="180"/>
        <item x="1893"/>
        <item x="1747"/>
        <item x="1159"/>
        <item x="1265"/>
        <item x="762"/>
        <item x="489"/>
        <item x="1093"/>
        <item x="391"/>
        <item x="1748"/>
        <item x="823"/>
        <item x="1521"/>
        <item x="1948"/>
        <item x="219"/>
        <item x="1425"/>
        <item x="1683"/>
        <item x="1124"/>
        <item x="1131"/>
        <item x="1473"/>
        <item x="949"/>
        <item x="1069"/>
        <item x="1631"/>
        <item x="646"/>
        <item x="1347"/>
        <item x="838"/>
        <item x="38"/>
        <item x="1569"/>
        <item x="886"/>
        <item x="1815"/>
        <item x="319"/>
        <item x="1776"/>
        <item x="1589"/>
        <item x="1636"/>
        <item x="35"/>
        <item x="115"/>
        <item x="843"/>
        <item x="935"/>
        <item x="901"/>
        <item x="1703"/>
        <item x="420"/>
        <item x="653"/>
        <item x="114"/>
        <item x="847"/>
        <item x="816"/>
        <item x="1752"/>
        <item x="716"/>
        <item x="774"/>
        <item x="698"/>
        <item x="1304"/>
        <item x="398"/>
        <item x="260"/>
        <item x="853"/>
        <item x="1608"/>
        <item x="1012"/>
        <item x="1953"/>
        <item x="1746"/>
        <item x="1042"/>
        <item x="517"/>
        <item x="627"/>
        <item x="1638"/>
        <item x="874"/>
        <item x="1739"/>
        <item x="1060"/>
        <item x="820"/>
        <item x="1467"/>
        <item x="738"/>
        <item x="1593"/>
        <item x="956"/>
        <item x="527"/>
        <item x="187"/>
        <item x="1555"/>
        <item x="1089"/>
        <item x="551"/>
        <item x="1289"/>
        <item x="340"/>
        <item x="729"/>
        <item x="1904"/>
        <item x="1926"/>
        <item x="1366"/>
        <item x="1964"/>
        <item x="306"/>
        <item x="146"/>
        <item x="1180"/>
        <item x="857"/>
        <item x="301"/>
        <item x="112"/>
        <item x="365"/>
        <item x="574"/>
        <item x="1411"/>
        <item x="1353"/>
        <item x="1219"/>
        <item x="1897"/>
        <item x="1920"/>
        <item x="129"/>
        <item x="708"/>
        <item x="726"/>
        <item x="1613"/>
        <item x="998"/>
        <item x="564"/>
        <item x="429"/>
        <item x="52"/>
        <item x="1711"/>
        <item x="1275"/>
        <item x="1234"/>
        <item x="75"/>
        <item x="165"/>
        <item x="978"/>
        <item x="1113"/>
        <item x="1930"/>
        <item x="465"/>
        <item x="622"/>
        <item x="1872"/>
        <item x="1036"/>
        <item x="614"/>
        <item x="1816"/>
        <item x="1737"/>
        <item x="919"/>
        <item x="94"/>
        <item x="1281"/>
        <item x="1421"/>
        <item x="304"/>
        <item x="88"/>
        <item x="808"/>
        <item x="1290"/>
        <item x="34"/>
        <item x="230"/>
        <item x="227"/>
        <item x="364"/>
        <item x="1725"/>
        <item x="1531"/>
        <item x="1853"/>
        <item x="1085"/>
        <item x="46"/>
        <item x="110"/>
        <item x="997"/>
        <item x="342"/>
        <item x="1120"/>
        <item x="100"/>
        <item x="706"/>
        <item x="1179"/>
        <item x="1423"/>
        <item x="1584"/>
        <item x="1567"/>
        <item x="1257"/>
        <item x="1912"/>
        <item x="395"/>
        <item x="487"/>
        <item x="999"/>
        <item x="1110"/>
        <item x="323"/>
        <item x="474"/>
        <item x="1418"/>
        <item x="1585"/>
        <item x="712"/>
        <item x="356"/>
        <item x="360"/>
        <item x="272"/>
        <item x="1568"/>
        <item x="96"/>
        <item x="1533"/>
        <item x="1203"/>
        <item x="704"/>
        <item x="1364"/>
        <item x="703"/>
        <item x="1022"/>
        <item x="868"/>
        <item x="1184"/>
        <item x="1063"/>
        <item x="1510"/>
        <item x="806"/>
        <item x="1006"/>
        <item x="1428"/>
        <item x="952"/>
        <item x="1916"/>
        <item x="1961"/>
        <item x="376"/>
        <item x="1654"/>
        <item x="578"/>
        <item x="1066"/>
        <item x="1277"/>
        <item x="1412"/>
        <item x="381"/>
        <item x="1861"/>
        <item x="705"/>
        <item x="111"/>
        <item x="1600"/>
        <item x="1607"/>
        <item x="102"/>
        <item x="1692"/>
        <item x="1199"/>
        <item x="154"/>
        <item x="1863"/>
        <item x="965"/>
        <item x="604"/>
        <item x="1774"/>
        <item x="1067"/>
        <item x="1348"/>
        <item x="1440"/>
        <item x="649"/>
        <item x="1709"/>
        <item x="1375"/>
        <item x="1176"/>
        <item x="181"/>
        <item x="1691"/>
        <item x="1965"/>
        <item x="1582"/>
        <item x="628"/>
        <item x="639"/>
        <item x="1947"/>
        <item x="1126"/>
        <item x="334"/>
        <item x="648"/>
        <item x="4"/>
        <item x="937"/>
        <item x="1148"/>
        <item x="31"/>
        <item x="691"/>
        <item x="1894"/>
        <item x="911"/>
        <item x="1884"/>
        <item x="1742"/>
        <item x="512"/>
        <item x="1540"/>
        <item x="923"/>
        <item x="957"/>
        <item x="1591"/>
        <item x="928"/>
        <item x="453"/>
        <item x="1056"/>
        <item x="893"/>
        <item x="1227"/>
        <item x="3"/>
        <item x="1564"/>
        <item x="1047"/>
        <item x="839"/>
        <item x="1462"/>
        <item x="1942"/>
        <item x="617"/>
        <item x="655"/>
        <item x="561"/>
        <item x="404"/>
        <item x="495"/>
        <item x="1360"/>
        <item x="1634"/>
        <item x="1238"/>
        <item x="964"/>
        <item x="90"/>
        <item x="214"/>
        <item x="1171"/>
        <item x="778"/>
        <item x="1783"/>
        <item x="1009"/>
        <item x="1581"/>
        <item x="1616"/>
        <item x="81"/>
        <item x="70"/>
        <item x="11"/>
        <item x="1077"/>
        <item x="1491"/>
        <item x="477"/>
        <item x="1324"/>
        <item x="1619"/>
        <item x="1154"/>
        <item x="1777"/>
        <item x="1235"/>
        <item x="1546"/>
        <item x="441"/>
        <item x="1097"/>
        <item x="1808"/>
        <item x="1342"/>
        <item x="450"/>
        <item x="883"/>
        <item x="518"/>
        <item x="1825"/>
        <item x="285"/>
        <item x="355"/>
        <item x="1570"/>
        <item x="865"/>
        <item x="310"/>
        <item x="898"/>
        <item x="324"/>
        <item x="1642"/>
        <item x="302"/>
        <item x="895"/>
        <item x="1200"/>
        <item x="1030"/>
        <item x="1718"/>
        <item x="625"/>
        <item x="469"/>
        <item x="42"/>
        <item x="1907"/>
        <item x="387"/>
        <item x="1648"/>
        <item x="1404"/>
        <item x="1640"/>
        <item x="1955"/>
        <item x="276"/>
        <item x="686"/>
        <item x="1385"/>
        <item x="1350"/>
        <item x="1644"/>
        <item x="259"/>
        <item x="375"/>
        <item x="879"/>
        <item x="1745"/>
        <item x="300"/>
        <item x="44"/>
        <item x="491"/>
        <item x="1058"/>
        <item x="747"/>
        <item x="1547"/>
        <item x="1343"/>
        <item x="186"/>
        <item x="73"/>
        <item x="795"/>
        <item x="1183"/>
        <item x="1387"/>
        <item x="1698"/>
        <item x="1633"/>
        <item x="1674"/>
        <item x="598"/>
        <item x="1123"/>
        <item x="777"/>
        <item x="904"/>
        <item x="1975"/>
        <item x="329"/>
        <item x="921"/>
        <item x="832"/>
        <item x="23"/>
        <item x="476"/>
        <item x="621"/>
        <item x="13"/>
        <item x="841"/>
        <item x="1161"/>
        <item x="544"/>
        <item x="532"/>
        <item x="1293"/>
        <item x="931"/>
        <item x="1906"/>
        <item x="1501"/>
        <item x="1127"/>
        <item x="571"/>
        <item x="1096"/>
        <item x="651"/>
        <item x="1035"/>
        <item x="486"/>
        <item x="1571"/>
        <item x="1550"/>
        <item x="99"/>
        <item x="524"/>
        <item x="327"/>
        <item x="1768"/>
        <item x="1498"/>
        <item x="195"/>
        <item x="582"/>
        <item x="1133"/>
        <item x="1900"/>
        <item x="197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21"/>
    <field x="0"/>
  </rowFields>
  <rowItems count="5">
    <i>
      <x/>
    </i>
    <i>
      <x v="2"/>
    </i>
    <i>
      <x v="3"/>
    </i>
    <i>
      <x v="4"/>
    </i>
    <i t="grand">
      <x/>
    </i>
  </rowItems>
  <colItems count="1">
    <i/>
  </colItems>
  <dataFields count="1">
    <dataField name="Average of Gold_Price_USD" fld="12" subtotal="average" baseField="21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82812B-556C-4834-9540-F289DF24A5C2}" name="Monthly Attack Trend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5" indent="0" outline="1" outlineData="1" multipleFieldFilters="0">
  <location ref="A15:B19" firstHeaderRow="1" firstDataRow="1" firstDataCol="1"/>
  <pivotFields count="22"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5">
        <item x="1"/>
        <item x="2"/>
        <item x="0"/>
        <item h="1"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Attacks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DB0677-2B8E-4416-834F-C24B343F2ED0}" name="Attacks By Target Type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5" indent="0" outline="1" outlineData="1" multipleFieldFilters="0">
  <location ref="G3:H11" firstHeaderRow="1" firstDataRow="1" firstDataCol="1"/>
  <pivotFields count="22"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axis="axisRow" showAll="0">
      <items count="9">
        <item x="4"/>
        <item x="5"/>
        <item x="1"/>
        <item x="2"/>
        <item x="3"/>
        <item x="6"/>
        <item x="0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Attacks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Attacks By Country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A3:B6" firstHeaderRow="1" firstDataRow="1" firstDataCol="1"/>
  <pivotFields count="21">
    <pivotField compact="0" numFmtId="14" showAll="0"/>
    <pivotField axis="axisRow" compact="0" showAll="0">
      <items count="3"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2" showAll="0"/>
    <pivotField dataField="1" compact="0" showAll="0">
      <items count="192">
        <item x="181"/>
        <item x="188"/>
        <item x="174"/>
        <item x="7"/>
        <item x="107"/>
        <item x="182"/>
        <item x="175"/>
        <item x="163"/>
        <item x="177"/>
        <item x="45"/>
        <item x="166"/>
        <item x="159"/>
        <item x="156"/>
        <item x="154"/>
        <item x="185"/>
        <item x="67"/>
        <item x="161"/>
        <item x="158"/>
        <item x="145"/>
        <item x="130"/>
        <item x="140"/>
        <item x="96"/>
        <item x="187"/>
        <item x="102"/>
        <item x="87"/>
        <item x="180"/>
        <item x="34"/>
        <item x="47"/>
        <item x="142"/>
        <item x="54"/>
        <item x="136"/>
        <item x="40"/>
        <item x="2"/>
        <item x="176"/>
        <item x="127"/>
        <item x="164"/>
        <item x="82"/>
        <item x="95"/>
        <item x="171"/>
        <item x="143"/>
        <item x="46"/>
        <item x="135"/>
        <item x="115"/>
        <item x="155"/>
        <item x="37"/>
        <item x="64"/>
        <item x="19"/>
        <item x="4"/>
        <item x="44"/>
        <item x="18"/>
        <item x="63"/>
        <item x="133"/>
        <item x="3"/>
        <item x="59"/>
        <item x="167"/>
        <item x="126"/>
        <item x="13"/>
        <item x="28"/>
        <item x="104"/>
        <item x="60"/>
        <item x="50"/>
        <item x="11"/>
        <item x="123"/>
        <item x="29"/>
        <item x="16"/>
        <item x="117"/>
        <item x="146"/>
        <item x="78"/>
        <item x="81"/>
        <item x="25"/>
        <item x="74"/>
        <item x="24"/>
        <item x="20"/>
        <item x="49"/>
        <item x="72"/>
        <item x="101"/>
        <item x="120"/>
        <item x="23"/>
        <item x="10"/>
        <item x="53"/>
        <item x="52"/>
        <item x="88"/>
        <item x="83"/>
        <item x="42"/>
        <item x="124"/>
        <item x="41"/>
        <item x="66"/>
        <item x="116"/>
        <item x="132"/>
        <item x="134"/>
        <item x="85"/>
        <item x="111"/>
        <item x="149"/>
        <item x="51"/>
        <item x="141"/>
        <item x="30"/>
        <item x="79"/>
        <item x="35"/>
        <item x="118"/>
        <item x="147"/>
        <item x="139"/>
        <item x="1"/>
        <item x="103"/>
        <item x="15"/>
        <item x="93"/>
        <item x="76"/>
        <item x="112"/>
        <item x="0"/>
        <item x="5"/>
        <item x="98"/>
        <item x="38"/>
        <item x="62"/>
        <item x="31"/>
        <item x="61"/>
        <item x="94"/>
        <item x="97"/>
        <item x="68"/>
        <item x="86"/>
        <item x="56"/>
        <item x="99"/>
        <item x="169"/>
        <item x="80"/>
        <item x="8"/>
        <item x="12"/>
        <item x="6"/>
        <item x="100"/>
        <item x="110"/>
        <item x="43"/>
        <item x="57"/>
        <item x="58"/>
        <item x="108"/>
        <item x="113"/>
        <item x="27"/>
        <item x="36"/>
        <item x="14"/>
        <item x="157"/>
        <item x="70"/>
        <item x="39"/>
        <item x="91"/>
        <item x="173"/>
        <item x="22"/>
        <item x="138"/>
        <item x="151"/>
        <item x="160"/>
        <item x="106"/>
        <item x="119"/>
        <item x="92"/>
        <item x="105"/>
        <item x="129"/>
        <item x="9"/>
        <item x="125"/>
        <item x="128"/>
        <item x="71"/>
        <item x="21"/>
        <item x="33"/>
        <item x="77"/>
        <item x="65"/>
        <item x="144"/>
        <item x="137"/>
        <item x="148"/>
        <item x="55"/>
        <item x="84"/>
        <item x="121"/>
        <item x="26"/>
        <item x="90"/>
        <item x="162"/>
        <item x="186"/>
        <item x="168"/>
        <item x="75"/>
        <item x="89"/>
        <item x="172"/>
        <item x="150"/>
        <item x="183"/>
        <item x="178"/>
        <item x="170"/>
        <item x="131"/>
        <item x="73"/>
        <item x="17"/>
        <item x="190"/>
        <item x="48"/>
        <item x="179"/>
        <item x="114"/>
        <item x="32"/>
        <item x="69"/>
        <item x="153"/>
        <item x="109"/>
        <item x="152"/>
        <item x="122"/>
        <item x="184"/>
        <item x="165"/>
        <item x="189"/>
        <item t="default"/>
      </items>
    </pivotField>
    <pivotField compact="0" showAll="0"/>
    <pivotField compact="0" numFmtId="2" showAll="0"/>
    <pivotField compact="0" showAll="0"/>
    <pivotField compact="0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Total_Attacks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Casualties By Event type" cacheId="7" applyNumberFormats="0" applyBorderFormats="0" applyFontFormats="0" applyPatternFormats="0" applyAlignmentFormats="0" applyWidthHeightFormats="1" dataCaption="Values" updatedVersion="7" minRefreshableVersion="3" useAutoFormatting="1" createdVersion="5" indent="0" compact="0" outline="1" outlineData="1" compactData="0" multipleFieldFilters="0">
  <location ref="D3:E9" firstHeaderRow="1" firstDataRow="1" firstDataCol="1"/>
  <pivotFields count="22">
    <pivotField compact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showAll="0"/>
    <pivotField compact="0" showAll="0"/>
    <pivotField axis="axisRow" compact="0" showAll="0">
      <items count="7">
        <item x="1"/>
        <item x="0"/>
        <item x="2"/>
        <item x="3"/>
        <item x="4"/>
        <item h="1" x="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Casualti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6ED977-F93F-4839-8EB8-D558B4F8E155}" name="Oil Price Analysis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5" indent="0" outline="1" outlineData="1" multipleFieldFilters="0">
  <location ref="D15:E20" firstHeaderRow="1" firstDataRow="1" firstDataCol="1"/>
  <pivotFields count="22"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21"/>
    <field x="0"/>
  </rowFields>
  <rowItems count="5">
    <i>
      <x/>
    </i>
    <i>
      <x v="2"/>
    </i>
    <i>
      <x v="3"/>
    </i>
    <i>
      <x v="4"/>
    </i>
    <i t="grand">
      <x/>
    </i>
  </rowItems>
  <colItems count="1">
    <i/>
  </colItems>
  <dataFields count="1">
    <dataField name="Average of Oil_Price_USD" fld="11" subtotal="average" baseField="21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35"/>
  <sheetViews>
    <sheetView workbookViewId="0">
      <selection activeCell="H7" sqref="H7"/>
    </sheetView>
  </sheetViews>
  <sheetFormatPr defaultColWidth="8.7265625" defaultRowHeight="14.5"/>
  <cols>
    <col min="1" max="1" width="12.36328125" bestFit="1" customWidth="1"/>
    <col min="2" max="2" width="21.08984375" bestFit="1" customWidth="1"/>
    <col min="4" max="4" width="12.36328125" bestFit="1" customWidth="1"/>
    <col min="5" max="5" width="21.08984375" bestFit="1" customWidth="1"/>
    <col min="7" max="7" width="12.36328125" bestFit="1" customWidth="1"/>
    <col min="8" max="8" width="21.08984375" bestFit="1" customWidth="1"/>
    <col min="10" max="10" width="12.36328125" bestFit="1" customWidth="1"/>
    <col min="11" max="11" width="18.453125" bestFit="1" customWidth="1"/>
  </cols>
  <sheetData>
    <row r="3" spans="1:11">
      <c r="A3" t="s">
        <v>0</v>
      </c>
      <c r="B3" t="s">
        <v>1</v>
      </c>
      <c r="D3" s="3" t="s">
        <v>2</v>
      </c>
      <c r="E3" t="s">
        <v>3</v>
      </c>
      <c r="G3" s="3" t="s">
        <v>52</v>
      </c>
      <c r="H3" t="s">
        <v>1</v>
      </c>
      <c r="J3" s="3" t="s">
        <v>52</v>
      </c>
      <c r="K3" t="s">
        <v>60</v>
      </c>
    </row>
    <row r="4" spans="1:11">
      <c r="A4" t="s">
        <v>4</v>
      </c>
      <c r="B4">
        <v>97276</v>
      </c>
      <c r="D4" t="s">
        <v>5</v>
      </c>
      <c r="E4" s="4">
        <v>49551</v>
      </c>
      <c r="G4" s="5" t="s">
        <v>41</v>
      </c>
      <c r="H4" s="4">
        <v>29056</v>
      </c>
      <c r="J4" s="5" t="s">
        <v>5</v>
      </c>
      <c r="K4" s="4">
        <v>418</v>
      </c>
    </row>
    <row r="5" spans="1:11">
      <c r="A5" t="s">
        <v>6</v>
      </c>
      <c r="B5">
        <v>102769</v>
      </c>
      <c r="D5" t="s">
        <v>7</v>
      </c>
      <c r="E5" s="4">
        <v>44826</v>
      </c>
      <c r="G5" s="5" t="s">
        <v>42</v>
      </c>
      <c r="H5" s="4">
        <v>31141</v>
      </c>
      <c r="J5" s="5" t="s">
        <v>7</v>
      </c>
      <c r="K5" s="4">
        <v>383</v>
      </c>
    </row>
    <row r="6" spans="1:11">
      <c r="A6" t="s">
        <v>8</v>
      </c>
      <c r="B6">
        <v>200045</v>
      </c>
      <c r="D6" t="s">
        <v>9</v>
      </c>
      <c r="E6" s="4">
        <v>48492</v>
      </c>
      <c r="G6" s="5" t="s">
        <v>35</v>
      </c>
      <c r="H6" s="4">
        <v>26130</v>
      </c>
      <c r="J6" s="5" t="s">
        <v>9</v>
      </c>
      <c r="K6" s="4">
        <v>404</v>
      </c>
    </row>
    <row r="7" spans="1:11">
      <c r="D7" t="s">
        <v>10</v>
      </c>
      <c r="E7" s="4">
        <v>49308</v>
      </c>
      <c r="G7" s="5" t="s">
        <v>37</v>
      </c>
      <c r="H7" s="4">
        <v>28425</v>
      </c>
      <c r="J7" s="5" t="s">
        <v>10</v>
      </c>
      <c r="K7" s="4">
        <v>411</v>
      </c>
    </row>
    <row r="8" spans="1:11">
      <c r="D8" t="s">
        <v>11</v>
      </c>
      <c r="E8" s="4">
        <v>44927</v>
      </c>
      <c r="G8" s="5" t="s">
        <v>38</v>
      </c>
      <c r="H8" s="4">
        <v>28727</v>
      </c>
      <c r="J8" s="5" t="s">
        <v>11</v>
      </c>
      <c r="K8" s="4">
        <v>384</v>
      </c>
    </row>
    <row r="9" spans="1:11">
      <c r="D9" t="s">
        <v>8</v>
      </c>
      <c r="E9" s="4">
        <v>237104</v>
      </c>
      <c r="G9" s="5" t="s">
        <v>47</v>
      </c>
      <c r="H9" s="4">
        <v>29650</v>
      </c>
      <c r="J9" s="5" t="s">
        <v>56</v>
      </c>
      <c r="K9" s="4"/>
    </row>
    <row r="10" spans="1:11">
      <c r="G10" s="5" t="s">
        <v>32</v>
      </c>
      <c r="H10" s="4">
        <v>26916</v>
      </c>
      <c r="J10" s="5" t="s">
        <v>8</v>
      </c>
      <c r="K10" s="4">
        <v>2000</v>
      </c>
    </row>
    <row r="11" spans="1:11">
      <c r="G11" s="5" t="s">
        <v>8</v>
      </c>
      <c r="H11" s="4">
        <v>200045</v>
      </c>
    </row>
    <row r="15" spans="1:11">
      <c r="A15" s="3" t="s">
        <v>52</v>
      </c>
      <c r="B15" t="s">
        <v>1</v>
      </c>
      <c r="D15" s="3" t="s">
        <v>52</v>
      </c>
      <c r="E15" t="s">
        <v>58</v>
      </c>
      <c r="G15" s="3" t="s">
        <v>52</v>
      </c>
      <c r="H15" t="s">
        <v>59</v>
      </c>
    </row>
    <row r="16" spans="1:11">
      <c r="A16" s="5" t="s">
        <v>53</v>
      </c>
      <c r="B16" s="4">
        <v>47342</v>
      </c>
      <c r="D16" s="5" t="s">
        <v>57</v>
      </c>
      <c r="E16" s="1"/>
      <c r="G16" s="5" t="s">
        <v>57</v>
      </c>
      <c r="H16" s="1"/>
    </row>
    <row r="17" spans="1:8">
      <c r="A17" s="5" t="s">
        <v>54</v>
      </c>
      <c r="B17" s="4">
        <v>100505</v>
      </c>
      <c r="D17" s="5" t="s">
        <v>53</v>
      </c>
      <c r="E17" s="1">
        <v>109.80123430962347</v>
      </c>
      <c r="G17" s="5" t="s">
        <v>53</v>
      </c>
      <c r="H17" s="1">
        <v>2154.3475104602494</v>
      </c>
    </row>
    <row r="18" spans="1:8">
      <c r="A18" s="5" t="s">
        <v>55</v>
      </c>
      <c r="B18" s="4">
        <v>52198</v>
      </c>
      <c r="D18" s="5" t="s">
        <v>54</v>
      </c>
      <c r="E18" s="1">
        <v>109.38855457227146</v>
      </c>
      <c r="G18" s="5" t="s">
        <v>54</v>
      </c>
      <c r="H18" s="1">
        <v>2148.4207177974454</v>
      </c>
    </row>
    <row r="19" spans="1:8">
      <c r="A19" s="5" t="s">
        <v>8</v>
      </c>
      <c r="B19" s="4">
        <v>200045</v>
      </c>
      <c r="D19" s="5" t="s">
        <v>55</v>
      </c>
      <c r="E19" s="1">
        <v>109.99201980198015</v>
      </c>
      <c r="G19" s="5" t="s">
        <v>55</v>
      </c>
      <c r="H19" s="1">
        <v>2165.9810693069312</v>
      </c>
    </row>
    <row r="20" spans="1:8">
      <c r="D20" s="5" t="s">
        <v>8</v>
      </c>
      <c r="E20" s="1">
        <v>109.63956000000026</v>
      </c>
      <c r="G20" s="5" t="s">
        <v>8</v>
      </c>
      <c r="H20" s="1">
        <v>2154.2712099999981</v>
      </c>
    </row>
    <row r="24" spans="1:8">
      <c r="A24" s="3" t="s">
        <v>52</v>
      </c>
      <c r="B24" t="s">
        <v>3</v>
      </c>
      <c r="D24" s="3" t="s">
        <v>52</v>
      </c>
      <c r="E24" t="s">
        <v>3</v>
      </c>
      <c r="G24" s="3" t="s">
        <v>52</v>
      </c>
      <c r="H24" t="s">
        <v>3</v>
      </c>
    </row>
    <row r="25" spans="1:8">
      <c r="A25" s="5" t="s">
        <v>31</v>
      </c>
      <c r="B25" s="4">
        <v>23320</v>
      </c>
      <c r="D25" s="5" t="s">
        <v>4</v>
      </c>
      <c r="E25" s="4">
        <v>115189</v>
      </c>
      <c r="G25" s="5" t="s">
        <v>39</v>
      </c>
      <c r="H25" s="4">
        <v>57052</v>
      </c>
    </row>
    <row r="26" spans="1:8">
      <c r="A26" s="5" t="s">
        <v>36</v>
      </c>
      <c r="B26" s="4">
        <v>23173</v>
      </c>
      <c r="D26" s="5" t="s">
        <v>6</v>
      </c>
      <c r="E26" s="4">
        <v>121915</v>
      </c>
      <c r="G26" s="5" t="s">
        <v>49</v>
      </c>
      <c r="H26" s="4">
        <v>64714</v>
      </c>
    </row>
    <row r="27" spans="1:8">
      <c r="A27" s="5" t="s">
        <v>51</v>
      </c>
      <c r="B27" s="4">
        <v>24891</v>
      </c>
      <c r="D27" s="5" t="s">
        <v>8</v>
      </c>
      <c r="E27" s="4">
        <v>237104</v>
      </c>
      <c r="G27" s="5" t="s">
        <v>33</v>
      </c>
      <c r="H27" s="4">
        <v>58881</v>
      </c>
    </row>
    <row r="28" spans="1:8">
      <c r="A28" s="5" t="s">
        <v>40</v>
      </c>
      <c r="B28" s="4">
        <v>26169</v>
      </c>
      <c r="G28" s="5" t="s">
        <v>45</v>
      </c>
      <c r="H28" s="4">
        <v>56457</v>
      </c>
    </row>
    <row r="29" spans="1:8">
      <c r="A29" s="5" t="s">
        <v>50</v>
      </c>
      <c r="B29" s="4">
        <v>24081</v>
      </c>
      <c r="G29" s="5" t="s">
        <v>8</v>
      </c>
      <c r="H29" s="4">
        <v>237104</v>
      </c>
    </row>
    <row r="30" spans="1:8">
      <c r="A30" s="5" t="s">
        <v>34</v>
      </c>
      <c r="B30" s="4">
        <v>19433</v>
      </c>
    </row>
    <row r="31" spans="1:8">
      <c r="A31" s="5" t="s">
        <v>44</v>
      </c>
      <c r="B31" s="4">
        <v>25579</v>
      </c>
    </row>
    <row r="32" spans="1:8">
      <c r="A32" s="5" t="s">
        <v>43</v>
      </c>
      <c r="B32" s="4">
        <v>25364</v>
      </c>
    </row>
    <row r="33" spans="1:2">
      <c r="A33" s="5" t="s">
        <v>46</v>
      </c>
      <c r="B33" s="4">
        <v>20266</v>
      </c>
    </row>
    <row r="34" spans="1:2">
      <c r="A34" s="5" t="s">
        <v>48</v>
      </c>
      <c r="B34" s="4">
        <v>24828</v>
      </c>
    </row>
    <row r="35" spans="1:2">
      <c r="A35" s="5" t="s">
        <v>8</v>
      </c>
      <c r="B35" s="4">
        <v>237104</v>
      </c>
    </row>
  </sheetData>
  <pageMargins left="0.75" right="0.75" top="1" bottom="1" header="0.5" footer="0.5"/>
  <pageSetup orientation="portrait" horizontalDpi="300" verticalDpi="300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001"/>
  <sheetViews>
    <sheetView tabSelected="1" workbookViewId="0">
      <selection activeCell="B1" sqref="A1:XFD1048576"/>
    </sheetView>
  </sheetViews>
  <sheetFormatPr defaultColWidth="9" defaultRowHeight="14.5"/>
  <cols>
    <col min="1" max="1" width="10.08984375" customWidth="1"/>
    <col min="16" max="16" width="8.7265625" style="1"/>
    <col min="19" max="19" width="8.7265625" style="1"/>
    <col min="21" max="21" width="7.90625" customWidth="1"/>
  </cols>
  <sheetData>
    <row r="1" spans="1:21">
      <c r="A1" t="s">
        <v>12</v>
      </c>
      <c r="B1" t="s">
        <v>0</v>
      </c>
      <c r="C1" t="s">
        <v>13</v>
      </c>
      <c r="D1" t="s">
        <v>2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s="1" t="s">
        <v>25</v>
      </c>
      <c r="Q1" t="s">
        <v>26</v>
      </c>
      <c r="R1" t="s">
        <v>27</v>
      </c>
      <c r="S1" s="1" t="s">
        <v>28</v>
      </c>
      <c r="T1" t="s">
        <v>29</v>
      </c>
      <c r="U1" t="s">
        <v>30</v>
      </c>
    </row>
    <row r="2" spans="1:21">
      <c r="A2" s="2">
        <v>46115</v>
      </c>
      <c r="B2" t="s">
        <v>4</v>
      </c>
      <c r="C2" t="s">
        <v>31</v>
      </c>
      <c r="D2" t="s">
        <v>7</v>
      </c>
      <c r="E2" t="s">
        <v>32</v>
      </c>
      <c r="F2" t="s">
        <v>33</v>
      </c>
      <c r="G2">
        <v>36</v>
      </c>
      <c r="H2">
        <v>76</v>
      </c>
      <c r="I2">
        <v>21</v>
      </c>
      <c r="J2">
        <v>17</v>
      </c>
      <c r="K2">
        <v>165</v>
      </c>
      <c r="L2">
        <v>97.47</v>
      </c>
      <c r="M2">
        <v>1846.15</v>
      </c>
      <c r="N2">
        <v>66784</v>
      </c>
      <c r="O2">
        <v>998.19</v>
      </c>
      <c r="P2" s="1">
        <v>-0.77900000000000003</v>
      </c>
      <c r="Q2">
        <f>G2+H2</f>
        <v>112</v>
      </c>
      <c r="R2">
        <f>J2+H2</f>
        <v>93</v>
      </c>
      <c r="S2" s="1">
        <f>(Q2-I2)/(Q2)</f>
        <v>0.8125</v>
      </c>
      <c r="T2">
        <f>Q2/100</f>
        <v>1.1200000000000001</v>
      </c>
      <c r="U2" t="str">
        <f>TEXT(A2,"mmm")</f>
        <v>Apr</v>
      </c>
    </row>
    <row r="3" spans="1:21">
      <c r="A3" s="2">
        <v>46072</v>
      </c>
      <c r="B3" t="s">
        <v>6</v>
      </c>
      <c r="C3" t="s">
        <v>34</v>
      </c>
      <c r="D3" t="s">
        <v>5</v>
      </c>
      <c r="E3" t="s">
        <v>35</v>
      </c>
      <c r="F3" t="s">
        <v>33</v>
      </c>
      <c r="G3">
        <v>82</v>
      </c>
      <c r="H3">
        <v>24</v>
      </c>
      <c r="I3">
        <v>18</v>
      </c>
      <c r="J3">
        <v>86</v>
      </c>
      <c r="K3">
        <v>30</v>
      </c>
      <c r="L3">
        <v>136.66</v>
      </c>
      <c r="M3">
        <v>2203.83</v>
      </c>
      <c r="N3">
        <v>66594</v>
      </c>
      <c r="O3">
        <v>1719.26</v>
      </c>
      <c r="P3" s="1">
        <v>0.873</v>
      </c>
      <c r="Q3">
        <f t="shared" ref="Q3:Q66" si="0">G3+H3</f>
        <v>106</v>
      </c>
      <c r="R3">
        <f t="shared" ref="R3:R66" si="1">J3+H3</f>
        <v>110</v>
      </c>
      <c r="S3" s="1">
        <f t="shared" ref="S3:S66" si="2">(Q3-I3)/(Q3)</f>
        <v>0.83018867924528306</v>
      </c>
      <c r="T3">
        <f t="shared" ref="T3:T66" si="3">Q3/100</f>
        <v>1.06</v>
      </c>
      <c r="U3" t="str">
        <f t="shared" ref="U3:U66" si="4">TEXT(A3,"mmm")</f>
        <v>Feb</v>
      </c>
    </row>
    <row r="4" spans="1:21">
      <c r="A4" s="2">
        <v>46093</v>
      </c>
      <c r="B4" t="s">
        <v>4</v>
      </c>
      <c r="C4" t="s">
        <v>36</v>
      </c>
      <c r="D4" t="s">
        <v>9</v>
      </c>
      <c r="E4" t="s">
        <v>37</v>
      </c>
      <c r="F4" t="s">
        <v>33</v>
      </c>
      <c r="G4">
        <v>22</v>
      </c>
      <c r="H4">
        <v>15</v>
      </c>
      <c r="I4">
        <v>22</v>
      </c>
      <c r="J4">
        <v>100</v>
      </c>
      <c r="K4">
        <v>417</v>
      </c>
      <c r="L4">
        <v>127.12</v>
      </c>
      <c r="M4">
        <v>1907.2</v>
      </c>
      <c r="N4">
        <v>73016</v>
      </c>
      <c r="O4">
        <v>982.12</v>
      </c>
      <c r="P4" s="1">
        <v>-0.22800000000000001</v>
      </c>
      <c r="Q4">
        <f t="shared" si="0"/>
        <v>37</v>
      </c>
      <c r="R4">
        <f t="shared" si="1"/>
        <v>115</v>
      </c>
      <c r="S4" s="1">
        <f t="shared" si="2"/>
        <v>0.40540540540540543</v>
      </c>
      <c r="T4">
        <f t="shared" si="3"/>
        <v>0.37</v>
      </c>
      <c r="U4" t="str">
        <f t="shared" si="4"/>
        <v>Mar</v>
      </c>
    </row>
    <row r="5" spans="1:21">
      <c r="A5" s="2">
        <v>46122</v>
      </c>
      <c r="B5" t="s">
        <v>6</v>
      </c>
      <c r="C5" t="s">
        <v>31</v>
      </c>
      <c r="D5" t="s">
        <v>10</v>
      </c>
      <c r="E5" t="s">
        <v>38</v>
      </c>
      <c r="F5" t="s">
        <v>39</v>
      </c>
      <c r="G5">
        <v>8</v>
      </c>
      <c r="H5">
        <v>49</v>
      </c>
      <c r="I5">
        <v>24</v>
      </c>
      <c r="J5">
        <v>141</v>
      </c>
      <c r="K5">
        <v>413</v>
      </c>
      <c r="L5">
        <v>88.27</v>
      </c>
      <c r="M5">
        <v>2457.13</v>
      </c>
      <c r="N5">
        <v>67818</v>
      </c>
      <c r="O5">
        <v>1584.58</v>
      </c>
      <c r="P5" s="1">
        <v>0.25600000000000001</v>
      </c>
      <c r="Q5">
        <f t="shared" si="0"/>
        <v>57</v>
      </c>
      <c r="R5">
        <f t="shared" si="1"/>
        <v>190</v>
      </c>
      <c r="S5" s="1">
        <f t="shared" si="2"/>
        <v>0.57894736842105265</v>
      </c>
      <c r="T5">
        <f t="shared" si="3"/>
        <v>0.56999999999999995</v>
      </c>
      <c r="U5" t="str">
        <f t="shared" si="4"/>
        <v>Apr</v>
      </c>
    </row>
    <row r="6" spans="1:21">
      <c r="A6" s="2">
        <v>46071</v>
      </c>
      <c r="B6" t="s">
        <v>4</v>
      </c>
      <c r="C6" t="s">
        <v>40</v>
      </c>
      <c r="D6" t="s">
        <v>11</v>
      </c>
      <c r="E6" t="s">
        <v>41</v>
      </c>
      <c r="F6" t="s">
        <v>33</v>
      </c>
      <c r="G6">
        <v>1</v>
      </c>
      <c r="H6">
        <v>51</v>
      </c>
      <c r="I6">
        <v>60</v>
      </c>
      <c r="J6">
        <v>158</v>
      </c>
      <c r="K6">
        <v>420</v>
      </c>
      <c r="L6">
        <v>123.47</v>
      </c>
      <c r="M6">
        <v>2451.38</v>
      </c>
      <c r="N6">
        <v>72736</v>
      </c>
      <c r="O6">
        <v>1625.46</v>
      </c>
      <c r="P6" s="1">
        <v>-0.99399999999999999</v>
      </c>
      <c r="Q6">
        <f t="shared" si="0"/>
        <v>52</v>
      </c>
      <c r="R6">
        <f t="shared" si="1"/>
        <v>209</v>
      </c>
      <c r="S6" s="1">
        <f t="shared" si="2"/>
        <v>-0.15384615384615385</v>
      </c>
      <c r="T6">
        <f t="shared" si="3"/>
        <v>0.52</v>
      </c>
      <c r="U6" t="str">
        <f t="shared" si="4"/>
        <v>Feb</v>
      </c>
    </row>
    <row r="7" spans="1:21">
      <c r="A7" s="2">
        <v>46087</v>
      </c>
      <c r="B7" t="s">
        <v>6</v>
      </c>
      <c r="C7" t="s">
        <v>31</v>
      </c>
      <c r="D7" t="s">
        <v>7</v>
      </c>
      <c r="E7" t="s">
        <v>42</v>
      </c>
      <c r="F7" t="s">
        <v>33</v>
      </c>
      <c r="G7">
        <v>107</v>
      </c>
      <c r="H7">
        <v>6</v>
      </c>
      <c r="I7">
        <v>86</v>
      </c>
      <c r="J7">
        <v>14</v>
      </c>
      <c r="K7">
        <v>259</v>
      </c>
      <c r="L7">
        <v>107.71</v>
      </c>
      <c r="M7">
        <v>2187.46</v>
      </c>
      <c r="N7">
        <v>69725</v>
      </c>
      <c r="O7">
        <v>1564.21</v>
      </c>
      <c r="P7" s="1">
        <v>0.32200000000000001</v>
      </c>
      <c r="Q7">
        <f t="shared" si="0"/>
        <v>113</v>
      </c>
      <c r="R7">
        <f t="shared" si="1"/>
        <v>20</v>
      </c>
      <c r="S7" s="1">
        <f t="shared" si="2"/>
        <v>0.23893805309734514</v>
      </c>
      <c r="T7">
        <f t="shared" si="3"/>
        <v>1.1299999999999999</v>
      </c>
      <c r="U7" t="str">
        <f t="shared" si="4"/>
        <v>Mar</v>
      </c>
    </row>
    <row r="8" spans="1:21">
      <c r="A8" s="2">
        <v>46091</v>
      </c>
      <c r="B8" t="s">
        <v>4</v>
      </c>
      <c r="C8" t="s">
        <v>43</v>
      </c>
      <c r="D8" t="s">
        <v>7</v>
      </c>
      <c r="E8" t="s">
        <v>38</v>
      </c>
      <c r="F8" t="s">
        <v>39</v>
      </c>
      <c r="G8">
        <v>51</v>
      </c>
      <c r="H8">
        <v>78</v>
      </c>
      <c r="I8">
        <v>10</v>
      </c>
      <c r="J8">
        <v>67</v>
      </c>
      <c r="K8">
        <v>232</v>
      </c>
      <c r="L8">
        <v>118.42</v>
      </c>
      <c r="M8">
        <v>1963.56</v>
      </c>
      <c r="N8">
        <v>69966</v>
      </c>
      <c r="O8">
        <v>1473.96</v>
      </c>
      <c r="P8" s="1">
        <v>0.34899999999999998</v>
      </c>
      <c r="Q8">
        <f t="shared" si="0"/>
        <v>129</v>
      </c>
      <c r="R8">
        <f t="shared" si="1"/>
        <v>145</v>
      </c>
      <c r="S8" s="1">
        <f t="shared" si="2"/>
        <v>0.92248062015503873</v>
      </c>
      <c r="T8">
        <f t="shared" si="3"/>
        <v>1.29</v>
      </c>
      <c r="U8" t="str">
        <f t="shared" si="4"/>
        <v>Mar</v>
      </c>
    </row>
    <row r="9" spans="1:21">
      <c r="A9" s="2">
        <v>46107</v>
      </c>
      <c r="B9" t="s">
        <v>4</v>
      </c>
      <c r="C9" t="s">
        <v>44</v>
      </c>
      <c r="D9" t="s">
        <v>7</v>
      </c>
      <c r="E9" t="s">
        <v>42</v>
      </c>
      <c r="F9" t="s">
        <v>45</v>
      </c>
      <c r="G9">
        <v>6</v>
      </c>
      <c r="H9">
        <v>0</v>
      </c>
      <c r="I9">
        <v>33</v>
      </c>
      <c r="J9">
        <v>47</v>
      </c>
      <c r="K9">
        <v>156</v>
      </c>
      <c r="L9">
        <v>103.92</v>
      </c>
      <c r="M9">
        <v>2307.5500000000002</v>
      </c>
      <c r="N9">
        <v>70330</v>
      </c>
      <c r="O9">
        <v>1010.04</v>
      </c>
      <c r="P9" s="1">
        <v>0.28299999999999997</v>
      </c>
      <c r="Q9">
        <f t="shared" si="0"/>
        <v>6</v>
      </c>
      <c r="R9">
        <f t="shared" si="1"/>
        <v>47</v>
      </c>
      <c r="S9" s="1">
        <f t="shared" si="2"/>
        <v>-4.5</v>
      </c>
      <c r="T9">
        <f t="shared" si="3"/>
        <v>0.06</v>
      </c>
      <c r="U9" t="str">
        <f t="shared" si="4"/>
        <v>Mar</v>
      </c>
    </row>
    <row r="10" spans="1:21">
      <c r="A10" s="2">
        <v>46096</v>
      </c>
      <c r="B10" t="s">
        <v>4</v>
      </c>
      <c r="C10" t="s">
        <v>43</v>
      </c>
      <c r="D10" t="s">
        <v>11</v>
      </c>
      <c r="E10" t="s">
        <v>41</v>
      </c>
      <c r="F10" t="s">
        <v>33</v>
      </c>
      <c r="G10">
        <v>50</v>
      </c>
      <c r="H10">
        <v>77</v>
      </c>
      <c r="I10">
        <v>40</v>
      </c>
      <c r="J10">
        <v>8</v>
      </c>
      <c r="K10">
        <v>123</v>
      </c>
      <c r="L10">
        <v>99.51</v>
      </c>
      <c r="M10">
        <v>2046.99</v>
      </c>
      <c r="N10">
        <v>75551</v>
      </c>
      <c r="O10">
        <v>966.86</v>
      </c>
      <c r="P10" s="1">
        <v>0.19500000000000001</v>
      </c>
      <c r="Q10">
        <f t="shared" si="0"/>
        <v>127</v>
      </c>
      <c r="R10">
        <f t="shared" si="1"/>
        <v>85</v>
      </c>
      <c r="S10" s="1">
        <f t="shared" si="2"/>
        <v>0.68503937007874016</v>
      </c>
      <c r="T10">
        <f t="shared" si="3"/>
        <v>1.27</v>
      </c>
      <c r="U10" t="str">
        <f t="shared" si="4"/>
        <v>Mar</v>
      </c>
    </row>
    <row r="11" spans="1:21">
      <c r="A11" s="2">
        <v>46125</v>
      </c>
      <c r="B11" t="s">
        <v>6</v>
      </c>
      <c r="C11" t="s">
        <v>43</v>
      </c>
      <c r="D11" t="s">
        <v>9</v>
      </c>
      <c r="E11" t="s">
        <v>41</v>
      </c>
      <c r="F11" t="s">
        <v>39</v>
      </c>
      <c r="G11">
        <v>83</v>
      </c>
      <c r="H11">
        <v>71</v>
      </c>
      <c r="I11">
        <v>45</v>
      </c>
      <c r="J11">
        <v>36</v>
      </c>
      <c r="K11">
        <v>349</v>
      </c>
      <c r="L11">
        <v>136.13</v>
      </c>
      <c r="M11">
        <v>2095.15</v>
      </c>
      <c r="N11">
        <v>66846</v>
      </c>
      <c r="O11">
        <v>1635.81</v>
      </c>
      <c r="P11" s="1">
        <v>-0.27500000000000002</v>
      </c>
      <c r="Q11">
        <f t="shared" si="0"/>
        <v>154</v>
      </c>
      <c r="R11">
        <f t="shared" si="1"/>
        <v>107</v>
      </c>
      <c r="S11" s="1">
        <f t="shared" si="2"/>
        <v>0.70779220779220775</v>
      </c>
      <c r="T11">
        <f t="shared" si="3"/>
        <v>1.54</v>
      </c>
      <c r="U11" t="str">
        <f t="shared" si="4"/>
        <v>Apr</v>
      </c>
    </row>
    <row r="12" spans="1:21">
      <c r="A12" s="2">
        <v>46082</v>
      </c>
      <c r="B12" t="s">
        <v>4</v>
      </c>
      <c r="C12" t="s">
        <v>46</v>
      </c>
      <c r="D12" t="s">
        <v>9</v>
      </c>
      <c r="E12" t="s">
        <v>47</v>
      </c>
      <c r="F12" t="s">
        <v>33</v>
      </c>
      <c r="G12">
        <v>11</v>
      </c>
      <c r="H12">
        <v>72</v>
      </c>
      <c r="I12">
        <v>4</v>
      </c>
      <c r="J12">
        <v>61</v>
      </c>
      <c r="K12">
        <v>111</v>
      </c>
      <c r="L12">
        <v>106.99</v>
      </c>
      <c r="M12">
        <v>2017.82</v>
      </c>
      <c r="N12">
        <v>65671</v>
      </c>
      <c r="O12">
        <v>1758.34</v>
      </c>
      <c r="P12" s="1">
        <v>-3.7999999999999999E-2</v>
      </c>
      <c r="Q12">
        <f t="shared" si="0"/>
        <v>83</v>
      </c>
      <c r="R12">
        <f t="shared" si="1"/>
        <v>133</v>
      </c>
      <c r="S12" s="1">
        <f t="shared" si="2"/>
        <v>0.95180722891566261</v>
      </c>
      <c r="T12">
        <f t="shared" si="3"/>
        <v>0.83</v>
      </c>
      <c r="U12" t="str">
        <f t="shared" si="4"/>
        <v>Mar</v>
      </c>
    </row>
    <row r="13" spans="1:21">
      <c r="A13" s="2">
        <v>46091</v>
      </c>
      <c r="B13" t="s">
        <v>4</v>
      </c>
      <c r="C13" t="s">
        <v>48</v>
      </c>
      <c r="D13" t="s">
        <v>9</v>
      </c>
      <c r="E13" t="s">
        <v>38</v>
      </c>
      <c r="F13" t="s">
        <v>39</v>
      </c>
      <c r="G13">
        <v>17</v>
      </c>
      <c r="H13">
        <v>49</v>
      </c>
      <c r="I13">
        <v>85</v>
      </c>
      <c r="J13">
        <v>12</v>
      </c>
      <c r="K13">
        <v>270</v>
      </c>
      <c r="L13">
        <v>98.27</v>
      </c>
      <c r="M13">
        <v>2465.37</v>
      </c>
      <c r="N13">
        <v>68366</v>
      </c>
      <c r="O13">
        <v>1787.51</v>
      </c>
      <c r="P13" s="1">
        <v>0.98299999999999998</v>
      </c>
      <c r="Q13">
        <f t="shared" si="0"/>
        <v>66</v>
      </c>
      <c r="R13">
        <f t="shared" si="1"/>
        <v>61</v>
      </c>
      <c r="S13" s="1">
        <f t="shared" si="2"/>
        <v>-0.2878787878787879</v>
      </c>
      <c r="T13">
        <f t="shared" si="3"/>
        <v>0.66</v>
      </c>
      <c r="U13" t="str">
        <f t="shared" si="4"/>
        <v>Mar</v>
      </c>
    </row>
    <row r="14" spans="1:21">
      <c r="A14" s="2">
        <v>46076</v>
      </c>
      <c r="B14" t="s">
        <v>4</v>
      </c>
      <c r="C14" t="s">
        <v>48</v>
      </c>
      <c r="D14" t="s">
        <v>10</v>
      </c>
      <c r="E14" t="s">
        <v>42</v>
      </c>
      <c r="F14" t="s">
        <v>49</v>
      </c>
      <c r="G14">
        <v>3</v>
      </c>
      <c r="H14">
        <v>63</v>
      </c>
      <c r="I14">
        <v>87</v>
      </c>
      <c r="J14">
        <v>55</v>
      </c>
      <c r="K14">
        <v>115</v>
      </c>
      <c r="L14">
        <v>83.2</v>
      </c>
      <c r="M14">
        <v>2188.3000000000002</v>
      </c>
      <c r="N14">
        <v>64247</v>
      </c>
      <c r="O14">
        <v>1242.01</v>
      </c>
      <c r="P14" s="1">
        <v>-0.99399999999999999</v>
      </c>
      <c r="Q14">
        <f t="shared" si="0"/>
        <v>66</v>
      </c>
      <c r="R14">
        <f t="shared" si="1"/>
        <v>118</v>
      </c>
      <c r="S14" s="1">
        <f t="shared" si="2"/>
        <v>-0.31818181818181818</v>
      </c>
      <c r="T14">
        <f t="shared" si="3"/>
        <v>0.66</v>
      </c>
      <c r="U14" t="str">
        <f t="shared" si="4"/>
        <v>Feb</v>
      </c>
    </row>
    <row r="15" spans="1:21">
      <c r="A15" s="2">
        <v>46093</v>
      </c>
      <c r="B15" t="s">
        <v>6</v>
      </c>
      <c r="C15" t="s">
        <v>50</v>
      </c>
      <c r="D15" t="s">
        <v>7</v>
      </c>
      <c r="E15" t="s">
        <v>38</v>
      </c>
      <c r="F15" t="s">
        <v>49</v>
      </c>
      <c r="G15">
        <v>119</v>
      </c>
      <c r="H15">
        <v>9</v>
      </c>
      <c r="I15">
        <v>58</v>
      </c>
      <c r="J15">
        <v>104</v>
      </c>
      <c r="K15">
        <v>252</v>
      </c>
      <c r="L15">
        <v>90.16</v>
      </c>
      <c r="M15">
        <v>2493.5500000000002</v>
      </c>
      <c r="N15">
        <v>75629</v>
      </c>
      <c r="O15">
        <v>1462.05</v>
      </c>
      <c r="P15" s="1">
        <v>-0.75600000000000001</v>
      </c>
      <c r="Q15">
        <f t="shared" si="0"/>
        <v>128</v>
      </c>
      <c r="R15">
        <f t="shared" si="1"/>
        <v>113</v>
      </c>
      <c r="S15" s="1">
        <f t="shared" si="2"/>
        <v>0.546875</v>
      </c>
      <c r="T15">
        <f t="shared" si="3"/>
        <v>1.28</v>
      </c>
      <c r="U15" t="str">
        <f t="shared" si="4"/>
        <v>Mar</v>
      </c>
    </row>
    <row r="16" spans="1:21">
      <c r="A16" s="2">
        <v>46114</v>
      </c>
      <c r="B16" t="s">
        <v>4</v>
      </c>
      <c r="C16" t="s">
        <v>50</v>
      </c>
      <c r="D16" t="s">
        <v>5</v>
      </c>
      <c r="E16" t="s">
        <v>41</v>
      </c>
      <c r="F16" t="s">
        <v>39</v>
      </c>
      <c r="G16">
        <v>8</v>
      </c>
      <c r="H16">
        <v>53</v>
      </c>
      <c r="I16">
        <v>27</v>
      </c>
      <c r="J16">
        <v>54</v>
      </c>
      <c r="K16">
        <v>443</v>
      </c>
      <c r="L16">
        <v>119.6</v>
      </c>
      <c r="M16">
        <v>2101.39</v>
      </c>
      <c r="N16">
        <v>67089</v>
      </c>
      <c r="O16">
        <v>1103.22</v>
      </c>
      <c r="P16" s="1">
        <v>0.106</v>
      </c>
      <c r="Q16">
        <f t="shared" si="0"/>
        <v>61</v>
      </c>
      <c r="R16">
        <f t="shared" si="1"/>
        <v>107</v>
      </c>
      <c r="S16" s="1">
        <f t="shared" si="2"/>
        <v>0.55737704918032782</v>
      </c>
      <c r="T16">
        <f t="shared" si="3"/>
        <v>0.61</v>
      </c>
      <c r="U16" t="str">
        <f t="shared" si="4"/>
        <v>Apr</v>
      </c>
    </row>
    <row r="17" spans="1:21">
      <c r="A17" s="2">
        <v>46110</v>
      </c>
      <c r="B17" t="s">
        <v>6</v>
      </c>
      <c r="C17" t="s">
        <v>48</v>
      </c>
      <c r="D17" t="s">
        <v>7</v>
      </c>
      <c r="E17" t="s">
        <v>32</v>
      </c>
      <c r="F17" t="s">
        <v>49</v>
      </c>
      <c r="G17">
        <v>67</v>
      </c>
      <c r="H17">
        <v>72</v>
      </c>
      <c r="I17">
        <v>32</v>
      </c>
      <c r="J17">
        <v>92</v>
      </c>
      <c r="K17">
        <v>231</v>
      </c>
      <c r="L17">
        <v>105.47</v>
      </c>
      <c r="M17">
        <v>1843.71</v>
      </c>
      <c r="N17">
        <v>64903</v>
      </c>
      <c r="O17">
        <v>1357.24</v>
      </c>
      <c r="P17" s="1">
        <v>0.98199999999999998</v>
      </c>
      <c r="Q17">
        <f t="shared" si="0"/>
        <v>139</v>
      </c>
      <c r="R17">
        <f t="shared" si="1"/>
        <v>164</v>
      </c>
      <c r="S17" s="1">
        <f t="shared" si="2"/>
        <v>0.76978417266187049</v>
      </c>
      <c r="T17">
        <f t="shared" si="3"/>
        <v>1.39</v>
      </c>
      <c r="U17" t="str">
        <f t="shared" si="4"/>
        <v>Mar</v>
      </c>
    </row>
    <row r="18" spans="1:21">
      <c r="A18" s="2">
        <v>46094</v>
      </c>
      <c r="B18" t="s">
        <v>4</v>
      </c>
      <c r="C18" t="s">
        <v>36</v>
      </c>
      <c r="D18" t="s">
        <v>7</v>
      </c>
      <c r="E18" t="s">
        <v>41</v>
      </c>
      <c r="F18" t="s">
        <v>33</v>
      </c>
      <c r="G18">
        <v>68</v>
      </c>
      <c r="H18">
        <v>40</v>
      </c>
      <c r="I18">
        <v>66</v>
      </c>
      <c r="J18">
        <v>46</v>
      </c>
      <c r="K18">
        <v>53</v>
      </c>
      <c r="L18">
        <v>111.95</v>
      </c>
      <c r="M18">
        <v>1828.98</v>
      </c>
      <c r="N18">
        <v>75465</v>
      </c>
      <c r="O18">
        <v>1458.84</v>
      </c>
      <c r="P18" s="1">
        <v>0.56100000000000005</v>
      </c>
      <c r="Q18">
        <f t="shared" si="0"/>
        <v>108</v>
      </c>
      <c r="R18">
        <f t="shared" si="1"/>
        <v>86</v>
      </c>
      <c r="S18" s="1">
        <f t="shared" si="2"/>
        <v>0.3888888888888889</v>
      </c>
      <c r="T18">
        <f t="shared" si="3"/>
        <v>1.08</v>
      </c>
      <c r="U18" t="str">
        <f t="shared" si="4"/>
        <v>Mar</v>
      </c>
    </row>
    <row r="19" spans="1:21">
      <c r="A19" s="2">
        <v>46076</v>
      </c>
      <c r="B19" t="s">
        <v>6</v>
      </c>
      <c r="C19" t="s">
        <v>44</v>
      </c>
      <c r="D19" t="s">
        <v>5</v>
      </c>
      <c r="E19" t="s">
        <v>47</v>
      </c>
      <c r="F19" t="s">
        <v>45</v>
      </c>
      <c r="G19">
        <v>97</v>
      </c>
      <c r="H19">
        <v>9</v>
      </c>
      <c r="I19">
        <v>72</v>
      </c>
      <c r="J19">
        <v>5</v>
      </c>
      <c r="K19">
        <v>284</v>
      </c>
      <c r="L19">
        <v>114.48</v>
      </c>
      <c r="M19">
        <v>1819.78</v>
      </c>
      <c r="N19">
        <v>69905</v>
      </c>
      <c r="O19">
        <v>1567.79</v>
      </c>
      <c r="P19" s="1">
        <v>-0.128</v>
      </c>
      <c r="Q19">
        <f t="shared" si="0"/>
        <v>106</v>
      </c>
      <c r="R19">
        <f t="shared" si="1"/>
        <v>14</v>
      </c>
      <c r="S19" s="1">
        <f t="shared" si="2"/>
        <v>0.32075471698113206</v>
      </c>
      <c r="T19">
        <f t="shared" si="3"/>
        <v>1.06</v>
      </c>
      <c r="U19" t="str">
        <f t="shared" si="4"/>
        <v>Feb</v>
      </c>
    </row>
    <row r="20" spans="1:21">
      <c r="A20" s="2">
        <v>46107</v>
      </c>
      <c r="B20" t="s">
        <v>6</v>
      </c>
      <c r="C20" t="s">
        <v>40</v>
      </c>
      <c r="D20" t="s">
        <v>9</v>
      </c>
      <c r="E20" t="s">
        <v>38</v>
      </c>
      <c r="F20" t="s">
        <v>49</v>
      </c>
      <c r="G20">
        <v>104</v>
      </c>
      <c r="H20">
        <v>8</v>
      </c>
      <c r="I20">
        <v>18</v>
      </c>
      <c r="J20">
        <v>23</v>
      </c>
      <c r="K20">
        <v>439</v>
      </c>
      <c r="L20">
        <v>86.43</v>
      </c>
      <c r="M20">
        <v>2161.6799999999998</v>
      </c>
      <c r="N20">
        <v>70155</v>
      </c>
      <c r="O20">
        <v>925.65</v>
      </c>
      <c r="P20" s="1">
        <v>0.39700000000000002</v>
      </c>
      <c r="Q20">
        <f t="shared" si="0"/>
        <v>112</v>
      </c>
      <c r="R20">
        <f t="shared" si="1"/>
        <v>31</v>
      </c>
      <c r="S20" s="1">
        <f t="shared" si="2"/>
        <v>0.8392857142857143</v>
      </c>
      <c r="T20">
        <f t="shared" si="3"/>
        <v>1.1200000000000001</v>
      </c>
      <c r="U20" t="str">
        <f t="shared" si="4"/>
        <v>Mar</v>
      </c>
    </row>
    <row r="21" spans="1:21">
      <c r="A21" s="2">
        <v>46106</v>
      </c>
      <c r="B21" t="s">
        <v>4</v>
      </c>
      <c r="C21" t="s">
        <v>40</v>
      </c>
      <c r="D21" t="s">
        <v>5</v>
      </c>
      <c r="E21" t="s">
        <v>41</v>
      </c>
      <c r="F21" t="s">
        <v>49</v>
      </c>
      <c r="G21">
        <v>30</v>
      </c>
      <c r="H21">
        <v>39</v>
      </c>
      <c r="I21">
        <v>48</v>
      </c>
      <c r="J21">
        <v>137</v>
      </c>
      <c r="K21">
        <v>299</v>
      </c>
      <c r="L21">
        <v>114.86</v>
      </c>
      <c r="M21">
        <v>2012.68</v>
      </c>
      <c r="N21">
        <v>69341</v>
      </c>
      <c r="O21">
        <v>974.14</v>
      </c>
      <c r="P21" s="1">
        <v>-0.26500000000000001</v>
      </c>
      <c r="Q21">
        <f t="shared" si="0"/>
        <v>69</v>
      </c>
      <c r="R21">
        <f t="shared" si="1"/>
        <v>176</v>
      </c>
      <c r="S21" s="1">
        <f t="shared" si="2"/>
        <v>0.30434782608695654</v>
      </c>
      <c r="T21">
        <f t="shared" si="3"/>
        <v>0.69</v>
      </c>
      <c r="U21" t="str">
        <f t="shared" si="4"/>
        <v>Mar</v>
      </c>
    </row>
    <row r="22" spans="1:21">
      <c r="A22" s="2">
        <v>46072</v>
      </c>
      <c r="B22" t="s">
        <v>6</v>
      </c>
      <c r="C22" t="s">
        <v>31</v>
      </c>
      <c r="D22" t="s">
        <v>7</v>
      </c>
      <c r="E22" t="s">
        <v>38</v>
      </c>
      <c r="F22" t="s">
        <v>45</v>
      </c>
      <c r="G22">
        <v>31</v>
      </c>
      <c r="H22">
        <v>38</v>
      </c>
      <c r="I22">
        <v>43</v>
      </c>
      <c r="J22">
        <v>15</v>
      </c>
      <c r="K22">
        <v>372</v>
      </c>
      <c r="L22">
        <v>88.78</v>
      </c>
      <c r="M22">
        <v>2024.38</v>
      </c>
      <c r="N22">
        <v>65762</v>
      </c>
      <c r="O22">
        <v>1645.42</v>
      </c>
      <c r="P22" s="1">
        <v>0.28399999999999997</v>
      </c>
      <c r="Q22">
        <f t="shared" si="0"/>
        <v>69</v>
      </c>
      <c r="R22">
        <f t="shared" si="1"/>
        <v>53</v>
      </c>
      <c r="S22" s="1">
        <f t="shared" si="2"/>
        <v>0.37681159420289856</v>
      </c>
      <c r="T22">
        <f t="shared" si="3"/>
        <v>0.69</v>
      </c>
      <c r="U22" t="str">
        <f t="shared" si="4"/>
        <v>Feb</v>
      </c>
    </row>
    <row r="23" spans="1:21">
      <c r="A23" s="2">
        <v>46116</v>
      </c>
      <c r="B23" t="s">
        <v>4</v>
      </c>
      <c r="C23" t="s">
        <v>40</v>
      </c>
      <c r="D23" t="s">
        <v>9</v>
      </c>
      <c r="E23" t="s">
        <v>47</v>
      </c>
      <c r="F23" t="s">
        <v>45</v>
      </c>
      <c r="G23">
        <v>77</v>
      </c>
      <c r="H23">
        <v>50</v>
      </c>
      <c r="I23">
        <v>79</v>
      </c>
      <c r="J23">
        <v>28</v>
      </c>
      <c r="K23">
        <v>33</v>
      </c>
      <c r="L23">
        <v>123.7</v>
      </c>
      <c r="M23">
        <v>1859.72</v>
      </c>
      <c r="N23">
        <v>64034</v>
      </c>
      <c r="O23">
        <v>1151.83</v>
      </c>
      <c r="P23" s="1">
        <v>-0.33</v>
      </c>
      <c r="Q23">
        <f t="shared" si="0"/>
        <v>127</v>
      </c>
      <c r="R23">
        <f t="shared" si="1"/>
        <v>78</v>
      </c>
      <c r="S23" s="1">
        <f t="shared" si="2"/>
        <v>0.37795275590551181</v>
      </c>
      <c r="T23">
        <f t="shared" si="3"/>
        <v>1.27</v>
      </c>
      <c r="U23" t="str">
        <f t="shared" si="4"/>
        <v>Apr</v>
      </c>
    </row>
    <row r="24" spans="1:21">
      <c r="A24" s="2">
        <v>46075</v>
      </c>
      <c r="B24" t="s">
        <v>4</v>
      </c>
      <c r="C24" t="s">
        <v>44</v>
      </c>
      <c r="D24" t="s">
        <v>11</v>
      </c>
      <c r="E24" t="s">
        <v>42</v>
      </c>
      <c r="F24" t="s">
        <v>39</v>
      </c>
      <c r="G24">
        <v>114</v>
      </c>
      <c r="H24">
        <v>68</v>
      </c>
      <c r="I24">
        <v>24</v>
      </c>
      <c r="J24">
        <v>58</v>
      </c>
      <c r="K24">
        <v>79</v>
      </c>
      <c r="L24">
        <v>110.68</v>
      </c>
      <c r="M24">
        <v>2177.16</v>
      </c>
      <c r="N24">
        <v>71250</v>
      </c>
      <c r="O24">
        <v>1698.13</v>
      </c>
      <c r="P24" s="1">
        <v>-0.80700000000000005</v>
      </c>
      <c r="Q24">
        <f t="shared" si="0"/>
        <v>182</v>
      </c>
      <c r="R24">
        <f t="shared" si="1"/>
        <v>126</v>
      </c>
      <c r="S24" s="1">
        <f t="shared" si="2"/>
        <v>0.86813186813186816</v>
      </c>
      <c r="T24">
        <f t="shared" si="3"/>
        <v>1.82</v>
      </c>
      <c r="U24" t="str">
        <f t="shared" si="4"/>
        <v>Feb</v>
      </c>
    </row>
    <row r="25" spans="1:21">
      <c r="A25" s="2">
        <v>46112</v>
      </c>
      <c r="B25" t="s">
        <v>6</v>
      </c>
      <c r="C25" t="s">
        <v>31</v>
      </c>
      <c r="D25" t="s">
        <v>9</v>
      </c>
      <c r="E25" t="s">
        <v>47</v>
      </c>
      <c r="F25" t="s">
        <v>39</v>
      </c>
      <c r="G25">
        <v>58</v>
      </c>
      <c r="H25">
        <v>11</v>
      </c>
      <c r="I25">
        <v>51</v>
      </c>
      <c r="J25">
        <v>96</v>
      </c>
      <c r="K25">
        <v>206</v>
      </c>
      <c r="L25">
        <v>128.53</v>
      </c>
      <c r="M25">
        <v>2493.04</v>
      </c>
      <c r="N25">
        <v>70586</v>
      </c>
      <c r="O25">
        <v>1453.97</v>
      </c>
      <c r="P25" s="1">
        <v>-0.31</v>
      </c>
      <c r="Q25">
        <f t="shared" si="0"/>
        <v>69</v>
      </c>
      <c r="R25">
        <f t="shared" si="1"/>
        <v>107</v>
      </c>
      <c r="S25" s="1">
        <f t="shared" si="2"/>
        <v>0.2608695652173913</v>
      </c>
      <c r="T25">
        <f t="shared" si="3"/>
        <v>0.69</v>
      </c>
      <c r="U25" t="str">
        <f t="shared" si="4"/>
        <v>Mar</v>
      </c>
    </row>
    <row r="26" spans="1:21">
      <c r="A26" s="2">
        <v>46068</v>
      </c>
      <c r="B26" t="s">
        <v>4</v>
      </c>
      <c r="C26" t="s">
        <v>44</v>
      </c>
      <c r="D26" t="s">
        <v>10</v>
      </c>
      <c r="E26" t="s">
        <v>41</v>
      </c>
      <c r="F26" t="s">
        <v>39</v>
      </c>
      <c r="G26">
        <v>37</v>
      </c>
      <c r="H26">
        <v>17</v>
      </c>
      <c r="I26">
        <v>18</v>
      </c>
      <c r="J26">
        <v>94</v>
      </c>
      <c r="K26">
        <v>13</v>
      </c>
      <c r="L26">
        <v>88.81</v>
      </c>
      <c r="M26">
        <v>2044.68</v>
      </c>
      <c r="N26">
        <v>64605</v>
      </c>
      <c r="O26">
        <v>1169.1300000000001</v>
      </c>
      <c r="P26" s="1">
        <v>-0.219</v>
      </c>
      <c r="Q26">
        <f t="shared" si="0"/>
        <v>54</v>
      </c>
      <c r="R26">
        <f t="shared" si="1"/>
        <v>111</v>
      </c>
      <c r="S26" s="1">
        <f t="shared" si="2"/>
        <v>0.66666666666666663</v>
      </c>
      <c r="T26">
        <f t="shared" si="3"/>
        <v>0.54</v>
      </c>
      <c r="U26" t="str">
        <f t="shared" si="4"/>
        <v>Feb</v>
      </c>
    </row>
    <row r="27" spans="1:21">
      <c r="A27" s="2">
        <v>46079</v>
      </c>
      <c r="B27" t="s">
        <v>4</v>
      </c>
      <c r="C27" t="s">
        <v>50</v>
      </c>
      <c r="D27" t="s">
        <v>11</v>
      </c>
      <c r="E27" t="s">
        <v>41</v>
      </c>
      <c r="F27" t="s">
        <v>49</v>
      </c>
      <c r="G27">
        <v>40</v>
      </c>
      <c r="H27">
        <v>11</v>
      </c>
      <c r="I27">
        <v>21</v>
      </c>
      <c r="J27">
        <v>111</v>
      </c>
      <c r="K27">
        <v>439</v>
      </c>
      <c r="L27">
        <v>106.72</v>
      </c>
      <c r="M27">
        <v>1915.2</v>
      </c>
      <c r="N27">
        <v>71349</v>
      </c>
      <c r="O27">
        <v>1535.86</v>
      </c>
      <c r="P27" s="1">
        <v>-0.628</v>
      </c>
      <c r="Q27">
        <f t="shared" si="0"/>
        <v>51</v>
      </c>
      <c r="R27">
        <f t="shared" si="1"/>
        <v>122</v>
      </c>
      <c r="S27" s="1">
        <f t="shared" si="2"/>
        <v>0.58823529411764708</v>
      </c>
      <c r="T27">
        <f t="shared" si="3"/>
        <v>0.51</v>
      </c>
      <c r="U27" t="str">
        <f t="shared" si="4"/>
        <v>Feb</v>
      </c>
    </row>
    <row r="28" spans="1:21">
      <c r="A28" s="2">
        <v>46123</v>
      </c>
      <c r="B28" t="s">
        <v>6</v>
      </c>
      <c r="C28" t="s">
        <v>44</v>
      </c>
      <c r="D28" t="s">
        <v>10</v>
      </c>
      <c r="E28" t="s">
        <v>38</v>
      </c>
      <c r="F28" t="s">
        <v>49</v>
      </c>
      <c r="G28">
        <v>52</v>
      </c>
      <c r="H28">
        <v>25</v>
      </c>
      <c r="I28">
        <v>3</v>
      </c>
      <c r="J28">
        <v>66</v>
      </c>
      <c r="K28">
        <v>131</v>
      </c>
      <c r="L28">
        <v>91.17</v>
      </c>
      <c r="M28">
        <v>1884.96</v>
      </c>
      <c r="N28">
        <v>66464</v>
      </c>
      <c r="O28">
        <v>1749.89</v>
      </c>
      <c r="P28" s="1">
        <v>-0.60199999999999998</v>
      </c>
      <c r="Q28">
        <f t="shared" si="0"/>
        <v>77</v>
      </c>
      <c r="R28">
        <f t="shared" si="1"/>
        <v>91</v>
      </c>
      <c r="S28" s="1">
        <f t="shared" si="2"/>
        <v>0.96103896103896103</v>
      </c>
      <c r="T28">
        <f t="shared" si="3"/>
        <v>0.77</v>
      </c>
      <c r="U28" t="str">
        <f t="shared" si="4"/>
        <v>Apr</v>
      </c>
    </row>
    <row r="29" spans="1:21">
      <c r="A29" s="2">
        <v>46126</v>
      </c>
      <c r="B29" t="s">
        <v>6</v>
      </c>
      <c r="C29" t="s">
        <v>51</v>
      </c>
      <c r="D29" t="s">
        <v>9</v>
      </c>
      <c r="E29" t="s">
        <v>42</v>
      </c>
      <c r="F29" t="s">
        <v>45</v>
      </c>
      <c r="G29">
        <v>104</v>
      </c>
      <c r="H29">
        <v>54</v>
      </c>
      <c r="I29">
        <v>49</v>
      </c>
      <c r="J29">
        <v>93</v>
      </c>
      <c r="K29">
        <v>175</v>
      </c>
      <c r="L29">
        <v>116.42</v>
      </c>
      <c r="M29">
        <v>2067.33</v>
      </c>
      <c r="N29">
        <v>74502</v>
      </c>
      <c r="O29">
        <v>1265.1199999999999</v>
      </c>
      <c r="P29" s="1">
        <v>-0.79800000000000004</v>
      </c>
      <c r="Q29">
        <f t="shared" si="0"/>
        <v>158</v>
      </c>
      <c r="R29">
        <f t="shared" si="1"/>
        <v>147</v>
      </c>
      <c r="S29" s="1">
        <f t="shared" si="2"/>
        <v>0.689873417721519</v>
      </c>
      <c r="T29">
        <f t="shared" si="3"/>
        <v>1.58</v>
      </c>
      <c r="U29" t="str">
        <f t="shared" si="4"/>
        <v>Apr</v>
      </c>
    </row>
    <row r="30" spans="1:21">
      <c r="A30" s="2">
        <v>46074</v>
      </c>
      <c r="B30" t="s">
        <v>6</v>
      </c>
      <c r="C30" t="s">
        <v>46</v>
      </c>
      <c r="D30" t="s">
        <v>10</v>
      </c>
      <c r="E30" t="s">
        <v>38</v>
      </c>
      <c r="F30" t="s">
        <v>39</v>
      </c>
      <c r="G30">
        <v>74</v>
      </c>
      <c r="H30">
        <v>71</v>
      </c>
      <c r="I30">
        <v>37</v>
      </c>
      <c r="J30">
        <v>74</v>
      </c>
      <c r="K30">
        <v>33</v>
      </c>
      <c r="L30">
        <v>84.27</v>
      </c>
      <c r="M30">
        <v>2017.46</v>
      </c>
      <c r="N30">
        <v>68482</v>
      </c>
      <c r="O30">
        <v>1300.79</v>
      </c>
      <c r="P30" s="1">
        <v>-0.753</v>
      </c>
      <c r="Q30">
        <f t="shared" si="0"/>
        <v>145</v>
      </c>
      <c r="R30">
        <f t="shared" si="1"/>
        <v>145</v>
      </c>
      <c r="S30" s="1">
        <f t="shared" si="2"/>
        <v>0.7448275862068966</v>
      </c>
      <c r="T30">
        <f t="shared" si="3"/>
        <v>1.45</v>
      </c>
      <c r="U30" t="str">
        <f t="shared" si="4"/>
        <v>Feb</v>
      </c>
    </row>
    <row r="31" spans="1:21">
      <c r="A31" s="2">
        <v>46087</v>
      </c>
      <c r="B31" t="s">
        <v>6</v>
      </c>
      <c r="C31" t="s">
        <v>48</v>
      </c>
      <c r="D31" t="s">
        <v>10</v>
      </c>
      <c r="E31" t="s">
        <v>38</v>
      </c>
      <c r="F31" t="s">
        <v>33</v>
      </c>
      <c r="G31">
        <v>27</v>
      </c>
      <c r="H31">
        <v>55</v>
      </c>
      <c r="I31">
        <v>46</v>
      </c>
      <c r="J31">
        <v>88</v>
      </c>
      <c r="K31">
        <v>32</v>
      </c>
      <c r="L31">
        <v>104.41</v>
      </c>
      <c r="M31">
        <v>1981.95</v>
      </c>
      <c r="N31">
        <v>72264</v>
      </c>
      <c r="O31">
        <v>1569.21</v>
      </c>
      <c r="P31" s="1">
        <v>-0.66400000000000003</v>
      </c>
      <c r="Q31">
        <f t="shared" si="0"/>
        <v>82</v>
      </c>
      <c r="R31">
        <f t="shared" si="1"/>
        <v>143</v>
      </c>
      <c r="S31" s="1">
        <f t="shared" si="2"/>
        <v>0.43902439024390244</v>
      </c>
      <c r="T31">
        <f t="shared" si="3"/>
        <v>0.82</v>
      </c>
      <c r="U31" t="str">
        <f t="shared" si="4"/>
        <v>Mar</v>
      </c>
    </row>
    <row r="32" spans="1:21">
      <c r="A32" s="2">
        <v>46112</v>
      </c>
      <c r="B32" t="s">
        <v>4</v>
      </c>
      <c r="C32" t="s">
        <v>31</v>
      </c>
      <c r="D32" t="s">
        <v>9</v>
      </c>
      <c r="E32" t="s">
        <v>37</v>
      </c>
      <c r="F32" t="s">
        <v>45</v>
      </c>
      <c r="G32">
        <v>39</v>
      </c>
      <c r="H32">
        <v>37</v>
      </c>
      <c r="I32">
        <v>5</v>
      </c>
      <c r="J32">
        <v>151</v>
      </c>
      <c r="K32">
        <v>61</v>
      </c>
      <c r="L32">
        <v>110.89</v>
      </c>
      <c r="M32">
        <v>2063.7600000000002</v>
      </c>
      <c r="N32">
        <v>71432</v>
      </c>
      <c r="O32">
        <v>1350.5</v>
      </c>
      <c r="P32" s="1">
        <v>-0.68700000000000006</v>
      </c>
      <c r="Q32">
        <f t="shared" si="0"/>
        <v>76</v>
      </c>
      <c r="R32">
        <f t="shared" si="1"/>
        <v>188</v>
      </c>
      <c r="S32" s="1">
        <f t="shared" si="2"/>
        <v>0.93421052631578949</v>
      </c>
      <c r="T32">
        <f t="shared" si="3"/>
        <v>0.76</v>
      </c>
      <c r="U32" t="str">
        <f t="shared" si="4"/>
        <v>Mar</v>
      </c>
    </row>
    <row r="33" spans="1:21">
      <c r="A33" s="2">
        <v>46073</v>
      </c>
      <c r="B33" t="s">
        <v>4</v>
      </c>
      <c r="C33" t="s">
        <v>31</v>
      </c>
      <c r="D33" t="s">
        <v>10</v>
      </c>
      <c r="E33" t="s">
        <v>47</v>
      </c>
      <c r="F33" t="s">
        <v>45</v>
      </c>
      <c r="G33">
        <v>45</v>
      </c>
      <c r="H33">
        <v>61</v>
      </c>
      <c r="I33">
        <v>45</v>
      </c>
      <c r="J33">
        <v>158</v>
      </c>
      <c r="K33">
        <v>159</v>
      </c>
      <c r="L33">
        <v>139.9</v>
      </c>
      <c r="M33">
        <v>2453.86</v>
      </c>
      <c r="N33">
        <v>66603</v>
      </c>
      <c r="O33">
        <v>1705.22</v>
      </c>
      <c r="P33" s="1">
        <v>-0.76</v>
      </c>
      <c r="Q33">
        <f t="shared" si="0"/>
        <v>106</v>
      </c>
      <c r="R33">
        <f t="shared" si="1"/>
        <v>219</v>
      </c>
      <c r="S33" s="1">
        <f t="shared" si="2"/>
        <v>0.57547169811320753</v>
      </c>
      <c r="T33">
        <f t="shared" si="3"/>
        <v>1.06</v>
      </c>
      <c r="U33" t="str">
        <f t="shared" si="4"/>
        <v>Feb</v>
      </c>
    </row>
    <row r="34" spans="1:21">
      <c r="A34" s="2">
        <v>46124</v>
      </c>
      <c r="B34" t="s">
        <v>4</v>
      </c>
      <c r="C34" t="s">
        <v>48</v>
      </c>
      <c r="D34" t="s">
        <v>7</v>
      </c>
      <c r="E34" t="s">
        <v>41</v>
      </c>
      <c r="F34" t="s">
        <v>33</v>
      </c>
      <c r="G34">
        <v>51</v>
      </c>
      <c r="H34">
        <v>23</v>
      </c>
      <c r="I34">
        <v>17</v>
      </c>
      <c r="J34">
        <v>27</v>
      </c>
      <c r="K34">
        <v>399</v>
      </c>
      <c r="L34">
        <v>102.89</v>
      </c>
      <c r="M34">
        <v>2180.12</v>
      </c>
      <c r="N34">
        <v>68217</v>
      </c>
      <c r="O34">
        <v>983.07</v>
      </c>
      <c r="P34" s="1">
        <v>0.73799999999999999</v>
      </c>
      <c r="Q34">
        <f t="shared" si="0"/>
        <v>74</v>
      </c>
      <c r="R34">
        <f t="shared" si="1"/>
        <v>50</v>
      </c>
      <c r="S34" s="1">
        <f t="shared" si="2"/>
        <v>0.77027027027027029</v>
      </c>
      <c r="T34">
        <f t="shared" si="3"/>
        <v>0.74</v>
      </c>
      <c r="U34" t="str">
        <f t="shared" si="4"/>
        <v>Apr</v>
      </c>
    </row>
    <row r="35" spans="1:21">
      <c r="A35" s="2">
        <v>46092</v>
      </c>
      <c r="B35" t="s">
        <v>6</v>
      </c>
      <c r="C35" t="s">
        <v>51</v>
      </c>
      <c r="D35" t="s">
        <v>10</v>
      </c>
      <c r="E35" t="s">
        <v>41</v>
      </c>
      <c r="F35" t="s">
        <v>39</v>
      </c>
      <c r="G35">
        <v>111</v>
      </c>
      <c r="H35">
        <v>57</v>
      </c>
      <c r="I35">
        <v>61</v>
      </c>
      <c r="J35">
        <v>19</v>
      </c>
      <c r="K35">
        <v>61</v>
      </c>
      <c r="L35">
        <v>111.38</v>
      </c>
      <c r="M35">
        <v>2116.4299999999998</v>
      </c>
      <c r="N35">
        <v>69351</v>
      </c>
      <c r="O35">
        <v>1471.36</v>
      </c>
      <c r="P35" s="1">
        <v>0.34100000000000003</v>
      </c>
      <c r="Q35">
        <f t="shared" si="0"/>
        <v>168</v>
      </c>
      <c r="R35">
        <f t="shared" si="1"/>
        <v>76</v>
      </c>
      <c r="S35" s="1">
        <f t="shared" si="2"/>
        <v>0.63690476190476186</v>
      </c>
      <c r="T35">
        <f t="shared" si="3"/>
        <v>1.68</v>
      </c>
      <c r="U35" t="str">
        <f t="shared" si="4"/>
        <v>Mar</v>
      </c>
    </row>
    <row r="36" spans="1:21">
      <c r="A36" s="2">
        <v>46123</v>
      </c>
      <c r="B36" t="s">
        <v>6</v>
      </c>
      <c r="C36" t="s">
        <v>31</v>
      </c>
      <c r="D36" t="s">
        <v>11</v>
      </c>
      <c r="E36" t="s">
        <v>42</v>
      </c>
      <c r="F36" t="s">
        <v>45</v>
      </c>
      <c r="G36">
        <v>58</v>
      </c>
      <c r="H36">
        <v>79</v>
      </c>
      <c r="I36">
        <v>59</v>
      </c>
      <c r="J36">
        <v>10</v>
      </c>
      <c r="K36">
        <v>231</v>
      </c>
      <c r="L36">
        <v>89.12</v>
      </c>
      <c r="M36">
        <v>2419.83</v>
      </c>
      <c r="N36">
        <v>68036</v>
      </c>
      <c r="O36">
        <v>1696.87</v>
      </c>
      <c r="P36" s="1">
        <v>-0.73699999999999999</v>
      </c>
      <c r="Q36">
        <f t="shared" si="0"/>
        <v>137</v>
      </c>
      <c r="R36">
        <f t="shared" si="1"/>
        <v>89</v>
      </c>
      <c r="S36" s="1">
        <f t="shared" si="2"/>
        <v>0.56934306569343063</v>
      </c>
      <c r="T36">
        <f t="shared" si="3"/>
        <v>1.37</v>
      </c>
      <c r="U36" t="str">
        <f t="shared" si="4"/>
        <v>Apr</v>
      </c>
    </row>
    <row r="37" spans="1:21">
      <c r="A37" s="2">
        <v>46121</v>
      </c>
      <c r="B37" t="s">
        <v>4</v>
      </c>
      <c r="C37" t="s">
        <v>44</v>
      </c>
      <c r="D37" t="s">
        <v>10</v>
      </c>
      <c r="E37" t="s">
        <v>37</v>
      </c>
      <c r="F37" t="s">
        <v>49</v>
      </c>
      <c r="G37">
        <v>15</v>
      </c>
      <c r="H37">
        <v>47</v>
      </c>
      <c r="I37">
        <v>63</v>
      </c>
      <c r="J37">
        <v>38</v>
      </c>
      <c r="K37">
        <v>317</v>
      </c>
      <c r="L37">
        <v>92.16</v>
      </c>
      <c r="M37">
        <v>2387.25</v>
      </c>
      <c r="N37">
        <v>69442</v>
      </c>
      <c r="O37">
        <v>932.48</v>
      </c>
      <c r="P37" s="1">
        <v>-0.86399999999999999</v>
      </c>
      <c r="Q37">
        <f t="shared" si="0"/>
        <v>62</v>
      </c>
      <c r="R37">
        <f t="shared" si="1"/>
        <v>85</v>
      </c>
      <c r="S37" s="1">
        <f t="shared" si="2"/>
        <v>-1.6129032258064516E-2</v>
      </c>
      <c r="T37">
        <f t="shared" si="3"/>
        <v>0.62</v>
      </c>
      <c r="U37" t="str">
        <f t="shared" si="4"/>
        <v>Apr</v>
      </c>
    </row>
    <row r="38" spans="1:21">
      <c r="A38" s="2">
        <v>46116</v>
      </c>
      <c r="B38" t="s">
        <v>6</v>
      </c>
      <c r="C38" t="s">
        <v>31</v>
      </c>
      <c r="D38" t="s">
        <v>10</v>
      </c>
      <c r="E38" t="s">
        <v>32</v>
      </c>
      <c r="F38" t="s">
        <v>39</v>
      </c>
      <c r="G38">
        <v>22</v>
      </c>
      <c r="H38">
        <v>46</v>
      </c>
      <c r="I38">
        <v>12</v>
      </c>
      <c r="J38">
        <v>111</v>
      </c>
      <c r="K38">
        <v>245</v>
      </c>
      <c r="L38">
        <v>95.39</v>
      </c>
      <c r="M38">
        <v>1809.26</v>
      </c>
      <c r="N38">
        <v>75815</v>
      </c>
      <c r="O38">
        <v>1202.3900000000001</v>
      </c>
      <c r="P38" s="1">
        <v>-4.1000000000000002E-2</v>
      </c>
      <c r="Q38">
        <f t="shared" si="0"/>
        <v>68</v>
      </c>
      <c r="R38">
        <f t="shared" si="1"/>
        <v>157</v>
      </c>
      <c r="S38" s="1">
        <f t="shared" si="2"/>
        <v>0.82352941176470584</v>
      </c>
      <c r="T38">
        <f t="shared" si="3"/>
        <v>0.68</v>
      </c>
      <c r="U38" t="str">
        <f t="shared" si="4"/>
        <v>Apr</v>
      </c>
    </row>
    <row r="39" spans="1:21">
      <c r="A39" s="2">
        <v>46127</v>
      </c>
      <c r="B39" t="s">
        <v>4</v>
      </c>
      <c r="C39" t="s">
        <v>31</v>
      </c>
      <c r="D39" t="s">
        <v>11</v>
      </c>
      <c r="E39" t="s">
        <v>32</v>
      </c>
      <c r="F39" t="s">
        <v>49</v>
      </c>
      <c r="G39">
        <v>100</v>
      </c>
      <c r="H39">
        <v>0</v>
      </c>
      <c r="I39">
        <v>27</v>
      </c>
      <c r="J39">
        <v>119</v>
      </c>
      <c r="K39">
        <v>283</v>
      </c>
      <c r="L39">
        <v>136.08000000000001</v>
      </c>
      <c r="M39">
        <v>2204.83</v>
      </c>
      <c r="N39">
        <v>65068</v>
      </c>
      <c r="O39">
        <v>1126.3599999999999</v>
      </c>
      <c r="P39" s="1">
        <v>0.55300000000000005</v>
      </c>
      <c r="Q39">
        <f t="shared" si="0"/>
        <v>100</v>
      </c>
      <c r="R39">
        <f t="shared" si="1"/>
        <v>119</v>
      </c>
      <c r="S39" s="1">
        <f t="shared" si="2"/>
        <v>0.73</v>
      </c>
      <c r="T39">
        <f t="shared" si="3"/>
        <v>1</v>
      </c>
      <c r="U39" t="str">
        <f t="shared" si="4"/>
        <v>Apr</v>
      </c>
    </row>
    <row r="40" spans="1:21">
      <c r="A40" s="2">
        <v>46068</v>
      </c>
      <c r="B40" t="s">
        <v>6</v>
      </c>
      <c r="C40" t="s">
        <v>36</v>
      </c>
      <c r="D40" t="s">
        <v>10</v>
      </c>
      <c r="E40" t="s">
        <v>47</v>
      </c>
      <c r="F40" t="s">
        <v>49</v>
      </c>
      <c r="G40">
        <v>99</v>
      </c>
      <c r="H40">
        <v>18</v>
      </c>
      <c r="I40">
        <v>36</v>
      </c>
      <c r="J40">
        <v>54</v>
      </c>
      <c r="K40">
        <v>311</v>
      </c>
      <c r="L40">
        <v>137.38</v>
      </c>
      <c r="M40">
        <v>2382.38</v>
      </c>
      <c r="N40">
        <v>67400</v>
      </c>
      <c r="O40">
        <v>1683.38</v>
      </c>
      <c r="P40" s="1">
        <v>-0.504</v>
      </c>
      <c r="Q40">
        <f t="shared" si="0"/>
        <v>117</v>
      </c>
      <c r="R40">
        <f t="shared" si="1"/>
        <v>72</v>
      </c>
      <c r="S40" s="1">
        <f t="shared" si="2"/>
        <v>0.69230769230769229</v>
      </c>
      <c r="T40">
        <f t="shared" si="3"/>
        <v>1.17</v>
      </c>
      <c r="U40" t="str">
        <f t="shared" si="4"/>
        <v>Feb</v>
      </c>
    </row>
    <row r="41" spans="1:21">
      <c r="A41" s="2">
        <v>46102</v>
      </c>
      <c r="B41" t="s">
        <v>6</v>
      </c>
      <c r="C41" t="s">
        <v>36</v>
      </c>
      <c r="D41" t="s">
        <v>7</v>
      </c>
      <c r="E41" t="s">
        <v>37</v>
      </c>
      <c r="F41" t="s">
        <v>39</v>
      </c>
      <c r="G41">
        <v>115</v>
      </c>
      <c r="H41">
        <v>72</v>
      </c>
      <c r="I41">
        <v>16</v>
      </c>
      <c r="J41">
        <v>82</v>
      </c>
      <c r="K41">
        <v>136</v>
      </c>
      <c r="L41">
        <v>123.66</v>
      </c>
      <c r="M41">
        <v>2168.41</v>
      </c>
      <c r="N41">
        <v>74692</v>
      </c>
      <c r="O41">
        <v>1668.04</v>
      </c>
      <c r="P41" s="1">
        <v>-0.98</v>
      </c>
      <c r="Q41">
        <f t="shared" si="0"/>
        <v>187</v>
      </c>
      <c r="R41">
        <f t="shared" si="1"/>
        <v>154</v>
      </c>
      <c r="S41" s="1">
        <f t="shared" si="2"/>
        <v>0.91443850267379678</v>
      </c>
      <c r="T41">
        <f t="shared" si="3"/>
        <v>1.87</v>
      </c>
      <c r="U41" t="str">
        <f t="shared" si="4"/>
        <v>Mar</v>
      </c>
    </row>
    <row r="42" spans="1:21">
      <c r="A42" s="2">
        <v>46124</v>
      </c>
      <c r="B42" t="s">
        <v>6</v>
      </c>
      <c r="C42" t="s">
        <v>48</v>
      </c>
      <c r="D42" t="s">
        <v>11</v>
      </c>
      <c r="E42" t="s">
        <v>47</v>
      </c>
      <c r="F42" t="s">
        <v>45</v>
      </c>
      <c r="G42">
        <v>83</v>
      </c>
      <c r="H42">
        <v>76</v>
      </c>
      <c r="I42">
        <v>23</v>
      </c>
      <c r="J42">
        <v>44</v>
      </c>
      <c r="K42">
        <v>245</v>
      </c>
      <c r="L42">
        <v>136.41999999999999</v>
      </c>
      <c r="M42">
        <v>2313.5500000000002</v>
      </c>
      <c r="N42">
        <v>70086</v>
      </c>
      <c r="O42">
        <v>1556.23</v>
      </c>
      <c r="P42" s="1">
        <v>0.93200000000000005</v>
      </c>
      <c r="Q42">
        <f t="shared" si="0"/>
        <v>159</v>
      </c>
      <c r="R42">
        <f t="shared" si="1"/>
        <v>120</v>
      </c>
      <c r="S42" s="1">
        <f t="shared" si="2"/>
        <v>0.85534591194968557</v>
      </c>
      <c r="T42">
        <f t="shared" si="3"/>
        <v>1.59</v>
      </c>
      <c r="U42" t="str">
        <f t="shared" si="4"/>
        <v>Apr</v>
      </c>
    </row>
    <row r="43" spans="1:21">
      <c r="A43" s="2">
        <v>46077</v>
      </c>
      <c r="B43" t="s">
        <v>6</v>
      </c>
      <c r="C43" t="s">
        <v>36</v>
      </c>
      <c r="D43" t="s">
        <v>5</v>
      </c>
      <c r="E43" t="s">
        <v>32</v>
      </c>
      <c r="F43" t="s">
        <v>39</v>
      </c>
      <c r="G43">
        <v>27</v>
      </c>
      <c r="H43">
        <v>4</v>
      </c>
      <c r="I43">
        <v>85</v>
      </c>
      <c r="J43">
        <v>86</v>
      </c>
      <c r="K43">
        <v>331</v>
      </c>
      <c r="L43">
        <v>132.18</v>
      </c>
      <c r="M43">
        <v>2279.89</v>
      </c>
      <c r="N43">
        <v>70944</v>
      </c>
      <c r="O43">
        <v>1398.75</v>
      </c>
      <c r="P43" s="1">
        <v>-0.95899999999999996</v>
      </c>
      <c r="Q43">
        <f t="shared" si="0"/>
        <v>31</v>
      </c>
      <c r="R43">
        <f t="shared" si="1"/>
        <v>90</v>
      </c>
      <c r="S43" s="1">
        <f t="shared" si="2"/>
        <v>-1.7419354838709677</v>
      </c>
      <c r="T43">
        <f t="shared" si="3"/>
        <v>0.31</v>
      </c>
      <c r="U43" t="str">
        <f t="shared" si="4"/>
        <v>Feb</v>
      </c>
    </row>
    <row r="44" spans="1:21">
      <c r="A44" s="2">
        <v>46082</v>
      </c>
      <c r="B44" t="s">
        <v>6</v>
      </c>
      <c r="C44" t="s">
        <v>43</v>
      </c>
      <c r="D44" t="s">
        <v>10</v>
      </c>
      <c r="E44" t="s">
        <v>41</v>
      </c>
      <c r="F44" t="s">
        <v>45</v>
      </c>
      <c r="G44">
        <v>97</v>
      </c>
      <c r="H44">
        <v>5</v>
      </c>
      <c r="I44">
        <v>26</v>
      </c>
      <c r="J44">
        <v>133</v>
      </c>
      <c r="K44">
        <v>415</v>
      </c>
      <c r="L44">
        <v>133.16</v>
      </c>
      <c r="M44">
        <v>2477.04</v>
      </c>
      <c r="N44">
        <v>69072</v>
      </c>
      <c r="O44">
        <v>1328.99</v>
      </c>
      <c r="P44" s="1">
        <v>-0.17599999999999999</v>
      </c>
      <c r="Q44">
        <f t="shared" si="0"/>
        <v>102</v>
      </c>
      <c r="R44">
        <f t="shared" si="1"/>
        <v>138</v>
      </c>
      <c r="S44" s="1">
        <f t="shared" si="2"/>
        <v>0.74509803921568629</v>
      </c>
      <c r="T44">
        <f t="shared" si="3"/>
        <v>1.02</v>
      </c>
      <c r="U44" t="str">
        <f t="shared" si="4"/>
        <v>Mar</v>
      </c>
    </row>
    <row r="45" spans="1:21">
      <c r="A45" s="2">
        <v>46106</v>
      </c>
      <c r="B45" t="s">
        <v>4</v>
      </c>
      <c r="C45" t="s">
        <v>44</v>
      </c>
      <c r="D45" t="s">
        <v>11</v>
      </c>
      <c r="E45" t="s">
        <v>38</v>
      </c>
      <c r="F45" t="s">
        <v>33</v>
      </c>
      <c r="G45">
        <v>59</v>
      </c>
      <c r="H45">
        <v>79</v>
      </c>
      <c r="I45">
        <v>83</v>
      </c>
      <c r="J45">
        <v>59</v>
      </c>
      <c r="K45">
        <v>17</v>
      </c>
      <c r="L45">
        <v>82.34</v>
      </c>
      <c r="M45">
        <v>1858.94</v>
      </c>
      <c r="N45">
        <v>70364</v>
      </c>
      <c r="O45">
        <v>1515.32</v>
      </c>
      <c r="P45" s="1">
        <v>0.67300000000000004</v>
      </c>
      <c r="Q45">
        <f t="shared" si="0"/>
        <v>138</v>
      </c>
      <c r="R45">
        <f t="shared" si="1"/>
        <v>138</v>
      </c>
      <c r="S45" s="1">
        <f t="shared" si="2"/>
        <v>0.39855072463768115</v>
      </c>
      <c r="T45">
        <f t="shared" si="3"/>
        <v>1.38</v>
      </c>
      <c r="U45" t="str">
        <f t="shared" si="4"/>
        <v>Mar</v>
      </c>
    </row>
    <row r="46" spans="1:21">
      <c r="A46" s="2">
        <v>46072</v>
      </c>
      <c r="B46" t="s">
        <v>6</v>
      </c>
      <c r="C46" t="s">
        <v>48</v>
      </c>
      <c r="D46" t="s">
        <v>5</v>
      </c>
      <c r="E46" t="s">
        <v>47</v>
      </c>
      <c r="F46" t="s">
        <v>33</v>
      </c>
      <c r="G46">
        <v>90</v>
      </c>
      <c r="H46">
        <v>39</v>
      </c>
      <c r="I46">
        <v>35</v>
      </c>
      <c r="J46">
        <v>14</v>
      </c>
      <c r="K46">
        <v>260</v>
      </c>
      <c r="L46">
        <v>105.21</v>
      </c>
      <c r="M46">
        <v>2482.5300000000002</v>
      </c>
      <c r="N46">
        <v>69860</v>
      </c>
      <c r="O46">
        <v>1125.47</v>
      </c>
      <c r="P46" s="1">
        <v>-0.93300000000000005</v>
      </c>
      <c r="Q46">
        <f t="shared" si="0"/>
        <v>129</v>
      </c>
      <c r="R46">
        <f t="shared" si="1"/>
        <v>53</v>
      </c>
      <c r="S46" s="1">
        <f t="shared" si="2"/>
        <v>0.72868217054263562</v>
      </c>
      <c r="T46">
        <f t="shared" si="3"/>
        <v>1.29</v>
      </c>
      <c r="U46" t="str">
        <f t="shared" si="4"/>
        <v>Feb</v>
      </c>
    </row>
    <row r="47" spans="1:21">
      <c r="A47" s="2">
        <v>46114</v>
      </c>
      <c r="B47" t="s">
        <v>4</v>
      </c>
      <c r="C47" t="s">
        <v>48</v>
      </c>
      <c r="D47" t="s">
        <v>7</v>
      </c>
      <c r="E47" t="s">
        <v>41</v>
      </c>
      <c r="F47" t="s">
        <v>49</v>
      </c>
      <c r="G47">
        <v>18</v>
      </c>
      <c r="H47">
        <v>31</v>
      </c>
      <c r="I47">
        <v>26</v>
      </c>
      <c r="J47">
        <v>16</v>
      </c>
      <c r="K47">
        <v>396</v>
      </c>
      <c r="L47">
        <v>104.05</v>
      </c>
      <c r="M47">
        <v>1939.04</v>
      </c>
      <c r="N47">
        <v>64452</v>
      </c>
      <c r="O47">
        <v>1640.93</v>
      </c>
      <c r="P47" s="1">
        <v>-0.16</v>
      </c>
      <c r="Q47">
        <f t="shared" si="0"/>
        <v>49</v>
      </c>
      <c r="R47">
        <f t="shared" si="1"/>
        <v>47</v>
      </c>
      <c r="S47" s="1">
        <f t="shared" si="2"/>
        <v>0.46938775510204084</v>
      </c>
      <c r="T47">
        <f t="shared" si="3"/>
        <v>0.49</v>
      </c>
      <c r="U47" t="str">
        <f t="shared" si="4"/>
        <v>Apr</v>
      </c>
    </row>
    <row r="48" spans="1:21">
      <c r="A48" s="2">
        <v>46077</v>
      </c>
      <c r="B48" t="s">
        <v>6</v>
      </c>
      <c r="C48" t="s">
        <v>31</v>
      </c>
      <c r="D48" t="s">
        <v>11</v>
      </c>
      <c r="E48" t="s">
        <v>37</v>
      </c>
      <c r="F48" t="s">
        <v>39</v>
      </c>
      <c r="G48">
        <v>38</v>
      </c>
      <c r="H48">
        <v>77</v>
      </c>
      <c r="I48">
        <v>33</v>
      </c>
      <c r="J48">
        <v>55</v>
      </c>
      <c r="K48">
        <v>27</v>
      </c>
      <c r="L48">
        <v>132.07</v>
      </c>
      <c r="M48">
        <v>2422.44</v>
      </c>
      <c r="N48">
        <v>73422</v>
      </c>
      <c r="O48">
        <v>1472.66</v>
      </c>
      <c r="P48" s="1">
        <v>0.21099999999999999</v>
      </c>
      <c r="Q48">
        <f t="shared" si="0"/>
        <v>115</v>
      </c>
      <c r="R48">
        <f t="shared" si="1"/>
        <v>132</v>
      </c>
      <c r="S48" s="1">
        <f t="shared" si="2"/>
        <v>0.71304347826086956</v>
      </c>
      <c r="T48">
        <f t="shared" si="3"/>
        <v>1.1499999999999999</v>
      </c>
      <c r="U48" t="str">
        <f t="shared" si="4"/>
        <v>Feb</v>
      </c>
    </row>
    <row r="49" spans="1:21">
      <c r="A49" s="2">
        <v>46091</v>
      </c>
      <c r="B49" t="s">
        <v>6</v>
      </c>
      <c r="C49" t="s">
        <v>51</v>
      </c>
      <c r="D49" t="s">
        <v>11</v>
      </c>
      <c r="E49" t="s">
        <v>41</v>
      </c>
      <c r="F49" t="s">
        <v>45</v>
      </c>
      <c r="G49">
        <v>68</v>
      </c>
      <c r="H49">
        <v>74</v>
      </c>
      <c r="I49">
        <v>1</v>
      </c>
      <c r="J49">
        <v>72</v>
      </c>
      <c r="K49">
        <v>219</v>
      </c>
      <c r="L49">
        <v>107.34</v>
      </c>
      <c r="M49">
        <v>2079.34</v>
      </c>
      <c r="N49">
        <v>70482</v>
      </c>
      <c r="O49">
        <v>1545.48</v>
      </c>
      <c r="P49" s="1">
        <v>0.32900000000000001</v>
      </c>
      <c r="Q49">
        <f t="shared" si="0"/>
        <v>142</v>
      </c>
      <c r="R49">
        <f t="shared" si="1"/>
        <v>146</v>
      </c>
      <c r="S49" s="1">
        <f t="shared" si="2"/>
        <v>0.99295774647887325</v>
      </c>
      <c r="T49">
        <f t="shared" si="3"/>
        <v>1.42</v>
      </c>
      <c r="U49" t="str">
        <f t="shared" si="4"/>
        <v>Mar</v>
      </c>
    </row>
    <row r="50" spans="1:21">
      <c r="A50" s="2">
        <v>46103</v>
      </c>
      <c r="B50" t="s">
        <v>4</v>
      </c>
      <c r="C50" t="s">
        <v>48</v>
      </c>
      <c r="D50" t="s">
        <v>9</v>
      </c>
      <c r="E50" t="s">
        <v>41</v>
      </c>
      <c r="F50" t="s">
        <v>49</v>
      </c>
      <c r="G50">
        <v>24</v>
      </c>
      <c r="H50">
        <v>12</v>
      </c>
      <c r="I50">
        <v>72</v>
      </c>
      <c r="J50">
        <v>153</v>
      </c>
      <c r="K50">
        <v>27</v>
      </c>
      <c r="L50">
        <v>137.71</v>
      </c>
      <c r="M50">
        <v>2207.56</v>
      </c>
      <c r="N50">
        <v>69615</v>
      </c>
      <c r="O50">
        <v>1028.56</v>
      </c>
      <c r="P50" s="1">
        <v>2.9000000000000001E-2</v>
      </c>
      <c r="Q50">
        <f t="shared" si="0"/>
        <v>36</v>
      </c>
      <c r="R50">
        <f t="shared" si="1"/>
        <v>165</v>
      </c>
      <c r="S50" s="1">
        <f t="shared" si="2"/>
        <v>-1</v>
      </c>
      <c r="T50">
        <f t="shared" si="3"/>
        <v>0.36</v>
      </c>
      <c r="U50" t="str">
        <f t="shared" si="4"/>
        <v>Mar</v>
      </c>
    </row>
    <row r="51" spans="1:21">
      <c r="A51" s="2">
        <v>46071</v>
      </c>
      <c r="B51" t="s">
        <v>4</v>
      </c>
      <c r="C51" t="s">
        <v>51</v>
      </c>
      <c r="D51" t="s">
        <v>9</v>
      </c>
      <c r="E51" t="s">
        <v>37</v>
      </c>
      <c r="F51" t="s">
        <v>49</v>
      </c>
      <c r="G51">
        <v>13</v>
      </c>
      <c r="H51">
        <v>77</v>
      </c>
      <c r="I51">
        <v>9</v>
      </c>
      <c r="J51">
        <v>53</v>
      </c>
      <c r="K51">
        <v>86</v>
      </c>
      <c r="L51">
        <v>98.04</v>
      </c>
      <c r="M51">
        <v>1859.4</v>
      </c>
      <c r="N51">
        <v>75247</v>
      </c>
      <c r="O51">
        <v>1330.1</v>
      </c>
      <c r="P51" s="1">
        <v>-0.34399999999999997</v>
      </c>
      <c r="Q51">
        <f t="shared" si="0"/>
        <v>90</v>
      </c>
      <c r="R51">
        <f t="shared" si="1"/>
        <v>130</v>
      </c>
      <c r="S51" s="1">
        <f t="shared" si="2"/>
        <v>0.9</v>
      </c>
      <c r="T51">
        <f t="shared" si="3"/>
        <v>0.9</v>
      </c>
      <c r="U51" t="str">
        <f t="shared" si="4"/>
        <v>Feb</v>
      </c>
    </row>
    <row r="52" spans="1:21">
      <c r="A52" s="2">
        <v>46076</v>
      </c>
      <c r="B52" t="s">
        <v>4</v>
      </c>
      <c r="C52" t="s">
        <v>40</v>
      </c>
      <c r="D52" t="s">
        <v>10</v>
      </c>
      <c r="E52" t="s">
        <v>47</v>
      </c>
      <c r="F52" t="s">
        <v>39</v>
      </c>
      <c r="G52">
        <v>82</v>
      </c>
      <c r="H52">
        <v>6</v>
      </c>
      <c r="I52">
        <v>67</v>
      </c>
      <c r="J52">
        <v>146</v>
      </c>
      <c r="K52">
        <v>126</v>
      </c>
      <c r="L52">
        <v>113.07</v>
      </c>
      <c r="M52">
        <v>2166.23</v>
      </c>
      <c r="N52">
        <v>70901</v>
      </c>
      <c r="O52">
        <v>1032.45</v>
      </c>
      <c r="P52" s="1">
        <v>-0.221</v>
      </c>
      <c r="Q52">
        <f t="shared" si="0"/>
        <v>88</v>
      </c>
      <c r="R52">
        <f t="shared" si="1"/>
        <v>152</v>
      </c>
      <c r="S52" s="1">
        <f t="shared" si="2"/>
        <v>0.23863636363636365</v>
      </c>
      <c r="T52">
        <f t="shared" si="3"/>
        <v>0.88</v>
      </c>
      <c r="U52" t="str">
        <f t="shared" si="4"/>
        <v>Feb</v>
      </c>
    </row>
    <row r="53" spans="1:21">
      <c r="A53" s="2">
        <v>46087</v>
      </c>
      <c r="B53" t="s">
        <v>6</v>
      </c>
      <c r="C53" t="s">
        <v>46</v>
      </c>
      <c r="D53" t="s">
        <v>7</v>
      </c>
      <c r="E53" t="s">
        <v>35</v>
      </c>
      <c r="F53" t="s">
        <v>33</v>
      </c>
      <c r="G53">
        <v>55</v>
      </c>
      <c r="H53">
        <v>77</v>
      </c>
      <c r="I53">
        <v>30</v>
      </c>
      <c r="J53">
        <v>139</v>
      </c>
      <c r="K53">
        <v>274</v>
      </c>
      <c r="L53">
        <v>117.82</v>
      </c>
      <c r="M53">
        <v>2218.67</v>
      </c>
      <c r="N53">
        <v>66667</v>
      </c>
      <c r="O53">
        <v>1158.21</v>
      </c>
      <c r="P53" s="1">
        <v>0.85499999999999998</v>
      </c>
      <c r="Q53">
        <f t="shared" si="0"/>
        <v>132</v>
      </c>
      <c r="R53">
        <f t="shared" si="1"/>
        <v>216</v>
      </c>
      <c r="S53" s="1">
        <f t="shared" si="2"/>
        <v>0.77272727272727271</v>
      </c>
      <c r="T53">
        <f t="shared" si="3"/>
        <v>1.32</v>
      </c>
      <c r="U53" t="str">
        <f t="shared" si="4"/>
        <v>Mar</v>
      </c>
    </row>
    <row r="54" spans="1:21">
      <c r="A54" s="2">
        <v>46116</v>
      </c>
      <c r="B54" t="s">
        <v>4</v>
      </c>
      <c r="C54" t="s">
        <v>48</v>
      </c>
      <c r="D54" t="s">
        <v>11</v>
      </c>
      <c r="E54" t="s">
        <v>32</v>
      </c>
      <c r="F54" t="s">
        <v>45</v>
      </c>
      <c r="G54">
        <v>113</v>
      </c>
      <c r="H54">
        <v>25</v>
      </c>
      <c r="I54">
        <v>81</v>
      </c>
      <c r="J54">
        <v>8</v>
      </c>
      <c r="K54">
        <v>312</v>
      </c>
      <c r="L54">
        <v>113.37</v>
      </c>
      <c r="M54">
        <v>2413.17</v>
      </c>
      <c r="N54">
        <v>73978</v>
      </c>
      <c r="O54">
        <v>1622.63</v>
      </c>
      <c r="P54" s="1">
        <v>0.247</v>
      </c>
      <c r="Q54">
        <f t="shared" si="0"/>
        <v>138</v>
      </c>
      <c r="R54">
        <f t="shared" si="1"/>
        <v>33</v>
      </c>
      <c r="S54" s="1">
        <f t="shared" si="2"/>
        <v>0.41304347826086957</v>
      </c>
      <c r="T54">
        <f t="shared" si="3"/>
        <v>1.38</v>
      </c>
      <c r="U54" t="str">
        <f t="shared" si="4"/>
        <v>Apr</v>
      </c>
    </row>
    <row r="55" spans="1:21">
      <c r="A55" s="2">
        <v>46069</v>
      </c>
      <c r="B55" t="s">
        <v>4</v>
      </c>
      <c r="C55" t="s">
        <v>51</v>
      </c>
      <c r="D55" t="s">
        <v>7</v>
      </c>
      <c r="E55" t="s">
        <v>37</v>
      </c>
      <c r="F55" t="s">
        <v>45</v>
      </c>
      <c r="G55">
        <v>33</v>
      </c>
      <c r="H55">
        <v>20</v>
      </c>
      <c r="I55">
        <v>13</v>
      </c>
      <c r="J55">
        <v>136</v>
      </c>
      <c r="K55">
        <v>377</v>
      </c>
      <c r="L55">
        <v>99.72</v>
      </c>
      <c r="M55">
        <v>2069.3000000000002</v>
      </c>
      <c r="N55">
        <v>66142</v>
      </c>
      <c r="O55">
        <v>1463.18</v>
      </c>
      <c r="P55" s="1">
        <v>-0.77200000000000002</v>
      </c>
      <c r="Q55">
        <f t="shared" si="0"/>
        <v>53</v>
      </c>
      <c r="R55">
        <f t="shared" si="1"/>
        <v>156</v>
      </c>
      <c r="S55" s="1">
        <f t="shared" si="2"/>
        <v>0.75471698113207553</v>
      </c>
      <c r="T55">
        <f t="shared" si="3"/>
        <v>0.53</v>
      </c>
      <c r="U55" t="str">
        <f t="shared" si="4"/>
        <v>Feb</v>
      </c>
    </row>
    <row r="56" spans="1:21">
      <c r="A56" s="2">
        <v>46068</v>
      </c>
      <c r="B56" t="s">
        <v>4</v>
      </c>
      <c r="C56" t="s">
        <v>48</v>
      </c>
      <c r="D56" t="s">
        <v>10</v>
      </c>
      <c r="E56" t="s">
        <v>42</v>
      </c>
      <c r="F56" t="s">
        <v>39</v>
      </c>
      <c r="G56">
        <v>13</v>
      </c>
      <c r="H56">
        <v>1</v>
      </c>
      <c r="I56">
        <v>78</v>
      </c>
      <c r="J56">
        <v>21</v>
      </c>
      <c r="K56">
        <v>142</v>
      </c>
      <c r="L56">
        <v>80.959999999999994</v>
      </c>
      <c r="M56">
        <v>2203.0500000000002</v>
      </c>
      <c r="N56">
        <v>71352</v>
      </c>
      <c r="O56">
        <v>1088.24</v>
      </c>
      <c r="P56" s="1">
        <v>-0.27600000000000002</v>
      </c>
      <c r="Q56">
        <f t="shared" si="0"/>
        <v>14</v>
      </c>
      <c r="R56">
        <f t="shared" si="1"/>
        <v>22</v>
      </c>
      <c r="S56" s="1">
        <f t="shared" si="2"/>
        <v>-4.5714285714285712</v>
      </c>
      <c r="T56">
        <f t="shared" si="3"/>
        <v>0.14000000000000001</v>
      </c>
      <c r="U56" t="str">
        <f t="shared" si="4"/>
        <v>Feb</v>
      </c>
    </row>
    <row r="57" spans="1:21">
      <c r="A57" s="2">
        <v>46084</v>
      </c>
      <c r="B57" t="s">
        <v>4</v>
      </c>
      <c r="C57" t="s">
        <v>51</v>
      </c>
      <c r="D57" t="s">
        <v>11</v>
      </c>
      <c r="E57" t="s">
        <v>41</v>
      </c>
      <c r="F57" t="s">
        <v>33</v>
      </c>
      <c r="G57">
        <v>77</v>
      </c>
      <c r="H57">
        <v>31</v>
      </c>
      <c r="I57">
        <v>69</v>
      </c>
      <c r="J57">
        <v>98</v>
      </c>
      <c r="K57">
        <v>6</v>
      </c>
      <c r="L57">
        <v>109.96</v>
      </c>
      <c r="M57">
        <v>2083.56</v>
      </c>
      <c r="N57">
        <v>65356</v>
      </c>
      <c r="O57">
        <v>1231.8499999999999</v>
      </c>
      <c r="P57" s="1">
        <v>-0.53700000000000003</v>
      </c>
      <c r="Q57">
        <f t="shared" si="0"/>
        <v>108</v>
      </c>
      <c r="R57">
        <f t="shared" si="1"/>
        <v>129</v>
      </c>
      <c r="S57" s="1">
        <f t="shared" si="2"/>
        <v>0.3611111111111111</v>
      </c>
      <c r="T57">
        <f t="shared" si="3"/>
        <v>1.08</v>
      </c>
      <c r="U57" t="str">
        <f t="shared" si="4"/>
        <v>Mar</v>
      </c>
    </row>
    <row r="58" spans="1:21">
      <c r="A58" s="2">
        <v>46122</v>
      </c>
      <c r="B58" t="s">
        <v>4</v>
      </c>
      <c r="C58" t="s">
        <v>46</v>
      </c>
      <c r="D58" t="s">
        <v>7</v>
      </c>
      <c r="E58" t="s">
        <v>41</v>
      </c>
      <c r="F58" t="s">
        <v>45</v>
      </c>
      <c r="G58">
        <v>62</v>
      </c>
      <c r="H58">
        <v>12</v>
      </c>
      <c r="I58">
        <v>88</v>
      </c>
      <c r="J58">
        <v>152</v>
      </c>
      <c r="K58">
        <v>375</v>
      </c>
      <c r="L58">
        <v>138.85</v>
      </c>
      <c r="M58">
        <v>2140.85</v>
      </c>
      <c r="N58">
        <v>68873</v>
      </c>
      <c r="O58">
        <v>1130.03</v>
      </c>
      <c r="P58" s="1">
        <v>0.312</v>
      </c>
      <c r="Q58">
        <f t="shared" si="0"/>
        <v>74</v>
      </c>
      <c r="R58">
        <f t="shared" si="1"/>
        <v>164</v>
      </c>
      <c r="S58" s="1">
        <f t="shared" si="2"/>
        <v>-0.1891891891891892</v>
      </c>
      <c r="T58">
        <f t="shared" si="3"/>
        <v>0.74</v>
      </c>
      <c r="U58" t="str">
        <f t="shared" si="4"/>
        <v>Apr</v>
      </c>
    </row>
    <row r="59" spans="1:21">
      <c r="A59" s="2">
        <v>46099</v>
      </c>
      <c r="B59" t="s">
        <v>4</v>
      </c>
      <c r="C59" t="s">
        <v>51</v>
      </c>
      <c r="D59" t="s">
        <v>9</v>
      </c>
      <c r="E59" t="s">
        <v>41</v>
      </c>
      <c r="F59" t="s">
        <v>39</v>
      </c>
      <c r="G59">
        <v>5</v>
      </c>
      <c r="H59">
        <v>40</v>
      </c>
      <c r="I59">
        <v>24</v>
      </c>
      <c r="J59">
        <v>3</v>
      </c>
      <c r="K59">
        <v>211</v>
      </c>
      <c r="L59">
        <v>83.72</v>
      </c>
      <c r="M59">
        <v>2211.11</v>
      </c>
      <c r="N59">
        <v>65507</v>
      </c>
      <c r="O59">
        <v>1402.14</v>
      </c>
      <c r="P59" s="1">
        <v>0.89300000000000002</v>
      </c>
      <c r="Q59">
        <f t="shared" si="0"/>
        <v>45</v>
      </c>
      <c r="R59">
        <f t="shared" si="1"/>
        <v>43</v>
      </c>
      <c r="S59" s="1">
        <f t="shared" si="2"/>
        <v>0.46666666666666667</v>
      </c>
      <c r="T59">
        <f t="shared" si="3"/>
        <v>0.45</v>
      </c>
      <c r="U59" t="str">
        <f t="shared" si="4"/>
        <v>Mar</v>
      </c>
    </row>
    <row r="60" spans="1:21">
      <c r="A60" s="2">
        <v>46097</v>
      </c>
      <c r="B60" t="s">
        <v>6</v>
      </c>
      <c r="C60" t="s">
        <v>36</v>
      </c>
      <c r="D60" t="s">
        <v>11</v>
      </c>
      <c r="E60" t="s">
        <v>37</v>
      </c>
      <c r="F60" t="s">
        <v>39</v>
      </c>
      <c r="G60">
        <v>14</v>
      </c>
      <c r="H60">
        <v>18</v>
      </c>
      <c r="I60">
        <v>30</v>
      </c>
      <c r="J60">
        <v>24</v>
      </c>
      <c r="K60">
        <v>91</v>
      </c>
      <c r="L60">
        <v>129.91</v>
      </c>
      <c r="M60">
        <v>2312.39</v>
      </c>
      <c r="N60">
        <v>68500</v>
      </c>
      <c r="O60">
        <v>1453.59</v>
      </c>
      <c r="P60" s="1">
        <v>-0.95099999999999996</v>
      </c>
      <c r="Q60">
        <f t="shared" si="0"/>
        <v>32</v>
      </c>
      <c r="R60">
        <f t="shared" si="1"/>
        <v>42</v>
      </c>
      <c r="S60" s="1">
        <f t="shared" si="2"/>
        <v>6.25E-2</v>
      </c>
      <c r="T60">
        <f t="shared" si="3"/>
        <v>0.32</v>
      </c>
      <c r="U60" t="str">
        <f t="shared" si="4"/>
        <v>Mar</v>
      </c>
    </row>
    <row r="61" spans="1:21">
      <c r="A61" s="2">
        <v>46112</v>
      </c>
      <c r="B61" t="s">
        <v>6</v>
      </c>
      <c r="C61" t="s">
        <v>43</v>
      </c>
      <c r="D61" t="s">
        <v>10</v>
      </c>
      <c r="E61" t="s">
        <v>41</v>
      </c>
      <c r="F61" t="s">
        <v>39</v>
      </c>
      <c r="G61">
        <v>113</v>
      </c>
      <c r="H61">
        <v>71</v>
      </c>
      <c r="I61">
        <v>37</v>
      </c>
      <c r="J61">
        <v>111</v>
      </c>
      <c r="K61">
        <v>196</v>
      </c>
      <c r="L61">
        <v>105.82</v>
      </c>
      <c r="M61">
        <v>1835.29</v>
      </c>
      <c r="N61">
        <v>64478</v>
      </c>
      <c r="O61">
        <v>1621.98</v>
      </c>
      <c r="P61" s="1">
        <v>-0.39100000000000001</v>
      </c>
      <c r="Q61">
        <f t="shared" si="0"/>
        <v>184</v>
      </c>
      <c r="R61">
        <f t="shared" si="1"/>
        <v>182</v>
      </c>
      <c r="S61" s="1">
        <f t="shared" si="2"/>
        <v>0.79891304347826086</v>
      </c>
      <c r="T61">
        <f t="shared" si="3"/>
        <v>1.84</v>
      </c>
      <c r="U61" t="str">
        <f t="shared" si="4"/>
        <v>Mar</v>
      </c>
    </row>
    <row r="62" spans="1:21">
      <c r="A62" s="2">
        <v>46096</v>
      </c>
      <c r="B62" t="s">
        <v>6</v>
      </c>
      <c r="C62" t="s">
        <v>43</v>
      </c>
      <c r="D62" t="s">
        <v>7</v>
      </c>
      <c r="E62" t="s">
        <v>41</v>
      </c>
      <c r="F62" t="s">
        <v>49</v>
      </c>
      <c r="G62">
        <v>42</v>
      </c>
      <c r="H62">
        <v>9</v>
      </c>
      <c r="I62">
        <v>52</v>
      </c>
      <c r="J62">
        <v>84</v>
      </c>
      <c r="K62">
        <v>40</v>
      </c>
      <c r="L62">
        <v>133.75</v>
      </c>
      <c r="M62">
        <v>2087.0500000000002</v>
      </c>
      <c r="N62">
        <v>71603</v>
      </c>
      <c r="O62">
        <v>936.45</v>
      </c>
      <c r="P62" s="1">
        <v>0.21299999999999999</v>
      </c>
      <c r="Q62">
        <f t="shared" si="0"/>
        <v>51</v>
      </c>
      <c r="R62">
        <f t="shared" si="1"/>
        <v>93</v>
      </c>
      <c r="S62" s="1">
        <f t="shared" si="2"/>
        <v>-1.9607843137254902E-2</v>
      </c>
      <c r="T62">
        <f t="shared" si="3"/>
        <v>0.51</v>
      </c>
      <c r="U62" t="str">
        <f t="shared" si="4"/>
        <v>Mar</v>
      </c>
    </row>
    <row r="63" spans="1:21">
      <c r="A63" s="2">
        <v>46075</v>
      </c>
      <c r="B63" t="s">
        <v>4</v>
      </c>
      <c r="C63" t="s">
        <v>40</v>
      </c>
      <c r="D63" t="s">
        <v>7</v>
      </c>
      <c r="E63" t="s">
        <v>35</v>
      </c>
      <c r="F63" t="s">
        <v>45</v>
      </c>
      <c r="G63">
        <v>21</v>
      </c>
      <c r="H63">
        <v>57</v>
      </c>
      <c r="I63">
        <v>79</v>
      </c>
      <c r="J63">
        <v>90</v>
      </c>
      <c r="K63">
        <v>259</v>
      </c>
      <c r="L63">
        <v>110.43</v>
      </c>
      <c r="M63">
        <v>2001.16</v>
      </c>
      <c r="N63">
        <v>74647</v>
      </c>
      <c r="O63">
        <v>1404.84</v>
      </c>
      <c r="P63" s="1">
        <v>0.90500000000000003</v>
      </c>
      <c r="Q63">
        <f t="shared" si="0"/>
        <v>78</v>
      </c>
      <c r="R63">
        <f t="shared" si="1"/>
        <v>147</v>
      </c>
      <c r="S63" s="1">
        <f t="shared" si="2"/>
        <v>-1.282051282051282E-2</v>
      </c>
      <c r="T63">
        <f t="shared" si="3"/>
        <v>0.78</v>
      </c>
      <c r="U63" t="str">
        <f t="shared" si="4"/>
        <v>Feb</v>
      </c>
    </row>
    <row r="64" spans="1:21">
      <c r="A64" s="2">
        <v>46091</v>
      </c>
      <c r="B64" t="s">
        <v>4</v>
      </c>
      <c r="C64" t="s">
        <v>36</v>
      </c>
      <c r="D64" t="s">
        <v>9</v>
      </c>
      <c r="E64" t="s">
        <v>35</v>
      </c>
      <c r="F64" t="s">
        <v>39</v>
      </c>
      <c r="G64">
        <v>65</v>
      </c>
      <c r="H64">
        <v>0</v>
      </c>
      <c r="I64">
        <v>37</v>
      </c>
      <c r="J64">
        <v>44</v>
      </c>
      <c r="K64">
        <v>112</v>
      </c>
      <c r="L64">
        <v>133.81</v>
      </c>
      <c r="M64">
        <v>2065.86</v>
      </c>
      <c r="N64">
        <v>65259</v>
      </c>
      <c r="O64">
        <v>1284.48</v>
      </c>
      <c r="P64" s="1">
        <v>2.5000000000000001E-2</v>
      </c>
      <c r="Q64">
        <f t="shared" si="0"/>
        <v>65</v>
      </c>
      <c r="R64">
        <f t="shared" si="1"/>
        <v>44</v>
      </c>
      <c r="S64" s="1">
        <f t="shared" si="2"/>
        <v>0.43076923076923079</v>
      </c>
      <c r="T64">
        <f t="shared" si="3"/>
        <v>0.65</v>
      </c>
      <c r="U64" t="str">
        <f t="shared" si="4"/>
        <v>Mar</v>
      </c>
    </row>
    <row r="65" spans="1:21">
      <c r="A65" s="2">
        <v>46078</v>
      </c>
      <c r="B65" t="s">
        <v>4</v>
      </c>
      <c r="C65" t="s">
        <v>44</v>
      </c>
      <c r="D65" t="s">
        <v>11</v>
      </c>
      <c r="E65" t="s">
        <v>37</v>
      </c>
      <c r="F65" t="s">
        <v>33</v>
      </c>
      <c r="G65">
        <v>27</v>
      </c>
      <c r="H65">
        <v>71</v>
      </c>
      <c r="I65">
        <v>37</v>
      </c>
      <c r="J65">
        <v>98</v>
      </c>
      <c r="K65">
        <v>151</v>
      </c>
      <c r="L65">
        <v>117.75</v>
      </c>
      <c r="M65">
        <v>1807.11</v>
      </c>
      <c r="N65">
        <v>73501</v>
      </c>
      <c r="O65">
        <v>1212.1199999999999</v>
      </c>
      <c r="P65" s="1">
        <v>-0.90700000000000003</v>
      </c>
      <c r="Q65">
        <f t="shared" si="0"/>
        <v>98</v>
      </c>
      <c r="R65">
        <f t="shared" si="1"/>
        <v>169</v>
      </c>
      <c r="S65" s="1">
        <f t="shared" si="2"/>
        <v>0.62244897959183676</v>
      </c>
      <c r="T65">
        <f t="shared" si="3"/>
        <v>0.98</v>
      </c>
      <c r="U65" t="str">
        <f t="shared" si="4"/>
        <v>Feb</v>
      </c>
    </row>
    <row r="66" spans="1:21">
      <c r="A66" s="2">
        <v>46109</v>
      </c>
      <c r="B66" t="s">
        <v>6</v>
      </c>
      <c r="C66" t="s">
        <v>51</v>
      </c>
      <c r="D66" t="s">
        <v>7</v>
      </c>
      <c r="E66" t="s">
        <v>32</v>
      </c>
      <c r="F66" t="s">
        <v>39</v>
      </c>
      <c r="G66">
        <v>30</v>
      </c>
      <c r="H66">
        <v>55</v>
      </c>
      <c r="I66">
        <v>38</v>
      </c>
      <c r="J66">
        <v>97</v>
      </c>
      <c r="K66">
        <v>310</v>
      </c>
      <c r="L66">
        <v>94.83</v>
      </c>
      <c r="M66">
        <v>1971.71</v>
      </c>
      <c r="N66">
        <v>64373</v>
      </c>
      <c r="O66">
        <v>1546.11</v>
      </c>
      <c r="P66" s="1">
        <v>0.57299999999999995</v>
      </c>
      <c r="Q66">
        <f t="shared" si="0"/>
        <v>85</v>
      </c>
      <c r="R66">
        <f t="shared" si="1"/>
        <v>152</v>
      </c>
      <c r="S66" s="1">
        <f t="shared" si="2"/>
        <v>0.55294117647058827</v>
      </c>
      <c r="T66">
        <f t="shared" si="3"/>
        <v>0.85</v>
      </c>
      <c r="U66" t="str">
        <f t="shared" si="4"/>
        <v>Mar</v>
      </c>
    </row>
    <row r="67" spans="1:21">
      <c r="A67" s="2">
        <v>46103</v>
      </c>
      <c r="B67" t="s">
        <v>6</v>
      </c>
      <c r="C67" t="s">
        <v>31</v>
      </c>
      <c r="D67" t="s">
        <v>11</v>
      </c>
      <c r="E67" t="s">
        <v>32</v>
      </c>
      <c r="F67" t="s">
        <v>33</v>
      </c>
      <c r="G67">
        <v>78</v>
      </c>
      <c r="H67">
        <v>7</v>
      </c>
      <c r="I67">
        <v>3</v>
      </c>
      <c r="J67">
        <v>47</v>
      </c>
      <c r="K67">
        <v>26</v>
      </c>
      <c r="L67">
        <v>82.05</v>
      </c>
      <c r="M67">
        <v>2172.2399999999998</v>
      </c>
      <c r="N67">
        <v>75444</v>
      </c>
      <c r="O67">
        <v>1707.07</v>
      </c>
      <c r="P67" s="1">
        <v>0.65500000000000003</v>
      </c>
      <c r="Q67">
        <f t="shared" ref="Q67:Q130" si="5">G67+H67</f>
        <v>85</v>
      </c>
      <c r="R67">
        <f t="shared" ref="R67:R130" si="6">J67+H67</f>
        <v>54</v>
      </c>
      <c r="S67" s="1">
        <f t="shared" ref="S67:S130" si="7">(Q67-I67)/(Q67)</f>
        <v>0.96470588235294119</v>
      </c>
      <c r="T67">
        <f t="shared" ref="T67:T130" si="8">Q67/100</f>
        <v>0.85</v>
      </c>
      <c r="U67" t="str">
        <f t="shared" ref="U67:U130" si="9">TEXT(A67,"mmm")</f>
        <v>Mar</v>
      </c>
    </row>
    <row r="68" spans="1:21">
      <c r="A68" s="2">
        <v>46068</v>
      </c>
      <c r="B68" t="s">
        <v>6</v>
      </c>
      <c r="C68" t="s">
        <v>48</v>
      </c>
      <c r="D68" t="s">
        <v>9</v>
      </c>
      <c r="E68" t="s">
        <v>38</v>
      </c>
      <c r="F68" t="s">
        <v>39</v>
      </c>
      <c r="G68">
        <v>76</v>
      </c>
      <c r="H68">
        <v>8</v>
      </c>
      <c r="I68">
        <v>59</v>
      </c>
      <c r="J68">
        <v>93</v>
      </c>
      <c r="K68">
        <v>125</v>
      </c>
      <c r="L68">
        <v>120.17</v>
      </c>
      <c r="M68">
        <v>2026.13</v>
      </c>
      <c r="N68">
        <v>64644</v>
      </c>
      <c r="O68">
        <v>1337.19</v>
      </c>
      <c r="P68" s="1">
        <v>-0.66900000000000004</v>
      </c>
      <c r="Q68">
        <f t="shared" si="5"/>
        <v>84</v>
      </c>
      <c r="R68">
        <f t="shared" si="6"/>
        <v>101</v>
      </c>
      <c r="S68" s="1">
        <f t="shared" si="7"/>
        <v>0.29761904761904762</v>
      </c>
      <c r="T68">
        <f t="shared" si="8"/>
        <v>0.84</v>
      </c>
      <c r="U68" t="str">
        <f t="shared" si="9"/>
        <v>Feb</v>
      </c>
    </row>
    <row r="69" spans="1:21">
      <c r="A69" s="2">
        <v>46075</v>
      </c>
      <c r="B69" t="s">
        <v>4</v>
      </c>
      <c r="C69" t="s">
        <v>48</v>
      </c>
      <c r="D69" t="s">
        <v>11</v>
      </c>
      <c r="E69" t="s">
        <v>47</v>
      </c>
      <c r="F69" t="s">
        <v>49</v>
      </c>
      <c r="G69">
        <v>18</v>
      </c>
      <c r="H69">
        <v>16</v>
      </c>
      <c r="I69">
        <v>54</v>
      </c>
      <c r="J69">
        <v>33</v>
      </c>
      <c r="K69">
        <v>1</v>
      </c>
      <c r="L69">
        <v>112.62</v>
      </c>
      <c r="M69">
        <v>1971.27</v>
      </c>
      <c r="N69">
        <v>68987</v>
      </c>
      <c r="O69">
        <v>1715.47</v>
      </c>
      <c r="P69" s="1">
        <v>3.6999999999999998E-2</v>
      </c>
      <c r="Q69">
        <f t="shared" si="5"/>
        <v>34</v>
      </c>
      <c r="R69">
        <f t="shared" si="6"/>
        <v>49</v>
      </c>
      <c r="S69" s="1">
        <f t="shared" si="7"/>
        <v>-0.58823529411764708</v>
      </c>
      <c r="T69">
        <f t="shared" si="8"/>
        <v>0.34</v>
      </c>
      <c r="U69" t="str">
        <f t="shared" si="9"/>
        <v>Feb</v>
      </c>
    </row>
    <row r="70" spans="1:21">
      <c r="A70" s="2">
        <v>46091</v>
      </c>
      <c r="B70" t="s">
        <v>6</v>
      </c>
      <c r="C70" t="s">
        <v>36</v>
      </c>
      <c r="D70" t="s">
        <v>5</v>
      </c>
      <c r="E70" t="s">
        <v>41</v>
      </c>
      <c r="F70" t="s">
        <v>45</v>
      </c>
      <c r="G70">
        <v>117</v>
      </c>
      <c r="H70">
        <v>48</v>
      </c>
      <c r="I70">
        <v>83</v>
      </c>
      <c r="J70">
        <v>73</v>
      </c>
      <c r="K70">
        <v>196</v>
      </c>
      <c r="L70">
        <v>137.54</v>
      </c>
      <c r="M70">
        <v>2071.4699999999998</v>
      </c>
      <c r="N70">
        <v>70830</v>
      </c>
      <c r="O70">
        <v>1479.69</v>
      </c>
      <c r="P70" s="1">
        <v>-0.30399999999999999</v>
      </c>
      <c r="Q70">
        <f t="shared" si="5"/>
        <v>165</v>
      </c>
      <c r="R70">
        <f t="shared" si="6"/>
        <v>121</v>
      </c>
      <c r="S70" s="1">
        <f t="shared" si="7"/>
        <v>0.49696969696969695</v>
      </c>
      <c r="T70">
        <f t="shared" si="8"/>
        <v>1.65</v>
      </c>
      <c r="U70" t="str">
        <f t="shared" si="9"/>
        <v>Mar</v>
      </c>
    </row>
    <row r="71" spans="1:21">
      <c r="A71" s="2">
        <v>46096</v>
      </c>
      <c r="B71" t="s">
        <v>4</v>
      </c>
      <c r="C71" t="s">
        <v>46</v>
      </c>
      <c r="D71" t="s">
        <v>5</v>
      </c>
      <c r="E71" t="s">
        <v>47</v>
      </c>
      <c r="F71" t="s">
        <v>45</v>
      </c>
      <c r="G71">
        <v>69</v>
      </c>
      <c r="H71">
        <v>54</v>
      </c>
      <c r="I71">
        <v>7</v>
      </c>
      <c r="J71">
        <v>24</v>
      </c>
      <c r="K71">
        <v>295</v>
      </c>
      <c r="L71">
        <v>87.26</v>
      </c>
      <c r="M71">
        <v>2286.8000000000002</v>
      </c>
      <c r="N71">
        <v>69135</v>
      </c>
      <c r="O71">
        <v>1295.5</v>
      </c>
      <c r="P71" s="1">
        <v>0.54200000000000004</v>
      </c>
      <c r="Q71">
        <f t="shared" si="5"/>
        <v>123</v>
      </c>
      <c r="R71">
        <f t="shared" si="6"/>
        <v>78</v>
      </c>
      <c r="S71" s="1">
        <f t="shared" si="7"/>
        <v>0.94308943089430897</v>
      </c>
      <c r="T71">
        <f t="shared" si="8"/>
        <v>1.23</v>
      </c>
      <c r="U71" t="str">
        <f t="shared" si="9"/>
        <v>Mar</v>
      </c>
    </row>
    <row r="72" spans="1:21">
      <c r="A72" s="2">
        <v>46123</v>
      </c>
      <c r="B72" t="s">
        <v>4</v>
      </c>
      <c r="C72" t="s">
        <v>43</v>
      </c>
      <c r="D72" t="s">
        <v>5</v>
      </c>
      <c r="E72" t="s">
        <v>41</v>
      </c>
      <c r="F72" t="s">
        <v>49</v>
      </c>
      <c r="G72">
        <v>67</v>
      </c>
      <c r="H72">
        <v>66</v>
      </c>
      <c r="I72">
        <v>88</v>
      </c>
      <c r="J72">
        <v>144</v>
      </c>
      <c r="K72">
        <v>387</v>
      </c>
      <c r="L72">
        <v>93.31</v>
      </c>
      <c r="M72">
        <v>2465.09</v>
      </c>
      <c r="N72">
        <v>67648</v>
      </c>
      <c r="O72">
        <v>1485.75</v>
      </c>
      <c r="P72" s="1">
        <v>0.27900000000000003</v>
      </c>
      <c r="Q72">
        <f t="shared" si="5"/>
        <v>133</v>
      </c>
      <c r="R72">
        <f t="shared" si="6"/>
        <v>210</v>
      </c>
      <c r="S72" s="1">
        <f t="shared" si="7"/>
        <v>0.33834586466165412</v>
      </c>
      <c r="T72">
        <f t="shared" si="8"/>
        <v>1.33</v>
      </c>
      <c r="U72" t="str">
        <f t="shared" si="9"/>
        <v>Apr</v>
      </c>
    </row>
    <row r="73" spans="1:21">
      <c r="A73" s="2">
        <v>46100</v>
      </c>
      <c r="B73" t="s">
        <v>6</v>
      </c>
      <c r="C73" t="s">
        <v>51</v>
      </c>
      <c r="D73" t="s">
        <v>9</v>
      </c>
      <c r="E73" t="s">
        <v>42</v>
      </c>
      <c r="F73" t="s">
        <v>49</v>
      </c>
      <c r="G73">
        <v>74</v>
      </c>
      <c r="H73">
        <v>60</v>
      </c>
      <c r="I73">
        <v>63</v>
      </c>
      <c r="J73">
        <v>7</v>
      </c>
      <c r="K73">
        <v>117</v>
      </c>
      <c r="L73">
        <v>97.1</v>
      </c>
      <c r="M73">
        <v>2104.13</v>
      </c>
      <c r="N73">
        <v>73245</v>
      </c>
      <c r="O73">
        <v>1160.7</v>
      </c>
      <c r="P73" s="1">
        <v>2.7E-2</v>
      </c>
      <c r="Q73">
        <f t="shared" si="5"/>
        <v>134</v>
      </c>
      <c r="R73">
        <f t="shared" si="6"/>
        <v>67</v>
      </c>
      <c r="S73" s="1">
        <f t="shared" si="7"/>
        <v>0.52985074626865669</v>
      </c>
      <c r="T73">
        <f t="shared" si="8"/>
        <v>1.34</v>
      </c>
      <c r="U73" t="str">
        <f t="shared" si="9"/>
        <v>Mar</v>
      </c>
    </row>
    <row r="74" spans="1:21">
      <c r="A74" s="2">
        <v>46089</v>
      </c>
      <c r="B74" t="s">
        <v>4</v>
      </c>
      <c r="C74" t="s">
        <v>46</v>
      </c>
      <c r="D74" t="s">
        <v>5</v>
      </c>
      <c r="E74" t="s">
        <v>37</v>
      </c>
      <c r="F74" t="s">
        <v>45</v>
      </c>
      <c r="G74">
        <v>52</v>
      </c>
      <c r="H74">
        <v>6</v>
      </c>
      <c r="I74">
        <v>62</v>
      </c>
      <c r="J74">
        <v>63</v>
      </c>
      <c r="K74">
        <v>133</v>
      </c>
      <c r="L74">
        <v>117.93</v>
      </c>
      <c r="M74">
        <v>1836.27</v>
      </c>
      <c r="N74">
        <v>73222</v>
      </c>
      <c r="O74">
        <v>906.34</v>
      </c>
      <c r="P74" s="1">
        <v>-0.86399999999999999</v>
      </c>
      <c r="Q74">
        <f t="shared" si="5"/>
        <v>58</v>
      </c>
      <c r="R74">
        <f t="shared" si="6"/>
        <v>69</v>
      </c>
      <c r="S74" s="1">
        <f t="shared" si="7"/>
        <v>-6.8965517241379309E-2</v>
      </c>
      <c r="T74">
        <f t="shared" si="8"/>
        <v>0.57999999999999996</v>
      </c>
      <c r="U74" t="str">
        <f t="shared" si="9"/>
        <v>Mar</v>
      </c>
    </row>
    <row r="75" spans="1:21">
      <c r="A75" s="2">
        <v>46104</v>
      </c>
      <c r="B75" t="s">
        <v>6</v>
      </c>
      <c r="C75" t="s">
        <v>31</v>
      </c>
      <c r="D75" t="s">
        <v>11</v>
      </c>
      <c r="E75" t="s">
        <v>35</v>
      </c>
      <c r="F75" t="s">
        <v>33</v>
      </c>
      <c r="G75">
        <v>69</v>
      </c>
      <c r="H75">
        <v>68</v>
      </c>
      <c r="I75">
        <v>24</v>
      </c>
      <c r="J75">
        <v>15</v>
      </c>
      <c r="K75">
        <v>440</v>
      </c>
      <c r="L75">
        <v>109.29</v>
      </c>
      <c r="M75">
        <v>2485.64</v>
      </c>
      <c r="N75">
        <v>67910</v>
      </c>
      <c r="O75">
        <v>1031.75</v>
      </c>
      <c r="P75" s="1">
        <v>-0.39800000000000002</v>
      </c>
      <c r="Q75">
        <f t="shared" si="5"/>
        <v>137</v>
      </c>
      <c r="R75">
        <f t="shared" si="6"/>
        <v>83</v>
      </c>
      <c r="S75" s="1">
        <f t="shared" si="7"/>
        <v>0.82481751824817517</v>
      </c>
      <c r="T75">
        <f t="shared" si="8"/>
        <v>1.37</v>
      </c>
      <c r="U75" t="str">
        <f t="shared" si="9"/>
        <v>Mar</v>
      </c>
    </row>
    <row r="76" spans="1:21">
      <c r="A76" s="2">
        <v>46103</v>
      </c>
      <c r="B76" t="s">
        <v>6</v>
      </c>
      <c r="C76" t="s">
        <v>34</v>
      </c>
      <c r="D76" t="s">
        <v>11</v>
      </c>
      <c r="E76" t="s">
        <v>42</v>
      </c>
      <c r="F76" t="s">
        <v>39</v>
      </c>
      <c r="G76">
        <v>37</v>
      </c>
      <c r="H76">
        <v>27</v>
      </c>
      <c r="I76">
        <v>86</v>
      </c>
      <c r="J76">
        <v>1</v>
      </c>
      <c r="K76">
        <v>265</v>
      </c>
      <c r="L76">
        <v>93.52</v>
      </c>
      <c r="M76">
        <v>2303.39</v>
      </c>
      <c r="N76">
        <v>74105</v>
      </c>
      <c r="O76">
        <v>1406.98</v>
      </c>
      <c r="P76" s="1">
        <v>0.23200000000000001</v>
      </c>
      <c r="Q76">
        <f t="shared" si="5"/>
        <v>64</v>
      </c>
      <c r="R76">
        <f t="shared" si="6"/>
        <v>28</v>
      </c>
      <c r="S76" s="1">
        <f t="shared" si="7"/>
        <v>-0.34375</v>
      </c>
      <c r="T76">
        <f t="shared" si="8"/>
        <v>0.64</v>
      </c>
      <c r="U76" t="str">
        <f t="shared" si="9"/>
        <v>Mar</v>
      </c>
    </row>
    <row r="77" spans="1:21">
      <c r="A77" s="2">
        <v>46101</v>
      </c>
      <c r="B77" t="s">
        <v>6</v>
      </c>
      <c r="C77" t="s">
        <v>40</v>
      </c>
      <c r="D77" t="s">
        <v>11</v>
      </c>
      <c r="E77" t="s">
        <v>37</v>
      </c>
      <c r="F77" t="s">
        <v>45</v>
      </c>
      <c r="G77">
        <v>62</v>
      </c>
      <c r="H77">
        <v>53</v>
      </c>
      <c r="I77">
        <v>46</v>
      </c>
      <c r="J77">
        <v>31</v>
      </c>
      <c r="K77">
        <v>138</v>
      </c>
      <c r="L77">
        <v>83.37</v>
      </c>
      <c r="M77">
        <v>2414.0500000000002</v>
      </c>
      <c r="N77">
        <v>69165</v>
      </c>
      <c r="O77">
        <v>1491.86</v>
      </c>
      <c r="P77" s="1">
        <v>-0.95599999999999996</v>
      </c>
      <c r="Q77">
        <f t="shared" si="5"/>
        <v>115</v>
      </c>
      <c r="R77">
        <f t="shared" si="6"/>
        <v>84</v>
      </c>
      <c r="S77" s="1">
        <f t="shared" si="7"/>
        <v>0.6</v>
      </c>
      <c r="T77">
        <f t="shared" si="8"/>
        <v>1.1499999999999999</v>
      </c>
      <c r="U77" t="str">
        <f t="shared" si="9"/>
        <v>Mar</v>
      </c>
    </row>
    <row r="78" spans="1:21">
      <c r="A78" s="2">
        <v>46071</v>
      </c>
      <c r="B78" t="s">
        <v>6</v>
      </c>
      <c r="C78" t="s">
        <v>48</v>
      </c>
      <c r="D78" t="s">
        <v>5</v>
      </c>
      <c r="E78" t="s">
        <v>32</v>
      </c>
      <c r="F78" t="s">
        <v>45</v>
      </c>
      <c r="G78">
        <v>102</v>
      </c>
      <c r="H78">
        <v>16</v>
      </c>
      <c r="I78">
        <v>36</v>
      </c>
      <c r="J78">
        <v>9</v>
      </c>
      <c r="K78">
        <v>180</v>
      </c>
      <c r="L78">
        <v>94.66</v>
      </c>
      <c r="M78">
        <v>2146.2199999999998</v>
      </c>
      <c r="N78">
        <v>70698</v>
      </c>
      <c r="O78">
        <v>1523.35</v>
      </c>
      <c r="P78" s="1">
        <v>-0.378</v>
      </c>
      <c r="Q78">
        <f t="shared" si="5"/>
        <v>118</v>
      </c>
      <c r="R78">
        <f t="shared" si="6"/>
        <v>25</v>
      </c>
      <c r="S78" s="1">
        <f t="shared" si="7"/>
        <v>0.69491525423728817</v>
      </c>
      <c r="T78">
        <f t="shared" si="8"/>
        <v>1.18</v>
      </c>
      <c r="U78" t="str">
        <f t="shared" si="9"/>
        <v>Feb</v>
      </c>
    </row>
    <row r="79" spans="1:21">
      <c r="A79" s="2">
        <v>46127</v>
      </c>
      <c r="B79" t="s">
        <v>4</v>
      </c>
      <c r="C79" t="s">
        <v>40</v>
      </c>
      <c r="D79" t="s">
        <v>7</v>
      </c>
      <c r="E79" t="s">
        <v>35</v>
      </c>
      <c r="F79" t="s">
        <v>45</v>
      </c>
      <c r="G79">
        <v>46</v>
      </c>
      <c r="H79">
        <v>71</v>
      </c>
      <c r="I79">
        <v>35</v>
      </c>
      <c r="J79">
        <v>96</v>
      </c>
      <c r="K79">
        <v>234</v>
      </c>
      <c r="L79">
        <v>115.88</v>
      </c>
      <c r="M79">
        <v>1978.28</v>
      </c>
      <c r="N79">
        <v>73735</v>
      </c>
      <c r="O79">
        <v>1449.99</v>
      </c>
      <c r="P79" s="1">
        <v>0.73699999999999999</v>
      </c>
      <c r="Q79">
        <f t="shared" si="5"/>
        <v>117</v>
      </c>
      <c r="R79">
        <f t="shared" si="6"/>
        <v>167</v>
      </c>
      <c r="S79" s="1">
        <f t="shared" si="7"/>
        <v>0.70085470085470081</v>
      </c>
      <c r="T79">
        <f t="shared" si="8"/>
        <v>1.17</v>
      </c>
      <c r="U79" t="str">
        <f t="shared" si="9"/>
        <v>Apr</v>
      </c>
    </row>
    <row r="80" spans="1:21">
      <c r="A80" s="2">
        <v>46095</v>
      </c>
      <c r="B80" t="s">
        <v>6</v>
      </c>
      <c r="C80" t="s">
        <v>34</v>
      </c>
      <c r="D80" t="s">
        <v>11</v>
      </c>
      <c r="E80" t="s">
        <v>41</v>
      </c>
      <c r="F80" t="s">
        <v>39</v>
      </c>
      <c r="G80">
        <v>53</v>
      </c>
      <c r="H80">
        <v>63</v>
      </c>
      <c r="I80">
        <v>17</v>
      </c>
      <c r="J80">
        <v>5</v>
      </c>
      <c r="K80">
        <v>144</v>
      </c>
      <c r="L80">
        <v>125.74</v>
      </c>
      <c r="M80">
        <v>1828.33</v>
      </c>
      <c r="N80">
        <v>66310</v>
      </c>
      <c r="O80">
        <v>1151.6500000000001</v>
      </c>
      <c r="P80" s="1">
        <v>0.52400000000000002</v>
      </c>
      <c r="Q80">
        <f t="shared" si="5"/>
        <v>116</v>
      </c>
      <c r="R80">
        <f t="shared" si="6"/>
        <v>68</v>
      </c>
      <c r="S80" s="1">
        <f t="shared" si="7"/>
        <v>0.85344827586206895</v>
      </c>
      <c r="T80">
        <f t="shared" si="8"/>
        <v>1.1599999999999999</v>
      </c>
      <c r="U80" t="str">
        <f t="shared" si="9"/>
        <v>Mar</v>
      </c>
    </row>
    <row r="81" spans="1:21">
      <c r="A81" s="2">
        <v>46101</v>
      </c>
      <c r="B81" t="s">
        <v>6</v>
      </c>
      <c r="C81" t="s">
        <v>50</v>
      </c>
      <c r="D81" t="s">
        <v>5</v>
      </c>
      <c r="E81" t="s">
        <v>35</v>
      </c>
      <c r="F81" t="s">
        <v>49</v>
      </c>
      <c r="G81">
        <v>46</v>
      </c>
      <c r="H81">
        <v>9</v>
      </c>
      <c r="I81">
        <v>9</v>
      </c>
      <c r="J81">
        <v>119</v>
      </c>
      <c r="K81">
        <v>339</v>
      </c>
      <c r="L81">
        <v>125.44</v>
      </c>
      <c r="M81">
        <v>1879.49</v>
      </c>
      <c r="N81">
        <v>70504</v>
      </c>
      <c r="O81">
        <v>1424.56</v>
      </c>
      <c r="P81" s="1">
        <v>-4.5999999999999999E-2</v>
      </c>
      <c r="Q81">
        <f t="shared" si="5"/>
        <v>55</v>
      </c>
      <c r="R81">
        <f t="shared" si="6"/>
        <v>128</v>
      </c>
      <c r="S81" s="1">
        <f t="shared" si="7"/>
        <v>0.83636363636363631</v>
      </c>
      <c r="T81">
        <f t="shared" si="8"/>
        <v>0.55000000000000004</v>
      </c>
      <c r="U81" t="str">
        <f t="shared" si="9"/>
        <v>Mar</v>
      </c>
    </row>
    <row r="82" spans="1:21">
      <c r="A82" s="2">
        <v>46087</v>
      </c>
      <c r="B82" t="s">
        <v>4</v>
      </c>
      <c r="C82" t="s">
        <v>46</v>
      </c>
      <c r="D82" t="s">
        <v>11</v>
      </c>
      <c r="E82" t="s">
        <v>41</v>
      </c>
      <c r="F82" t="s">
        <v>39</v>
      </c>
      <c r="G82">
        <v>118</v>
      </c>
      <c r="H82">
        <v>19</v>
      </c>
      <c r="I82">
        <v>38</v>
      </c>
      <c r="J82">
        <v>53</v>
      </c>
      <c r="K82">
        <v>50</v>
      </c>
      <c r="L82">
        <v>90.18</v>
      </c>
      <c r="M82">
        <v>1998.34</v>
      </c>
      <c r="N82">
        <v>67552</v>
      </c>
      <c r="O82">
        <v>1030.3599999999999</v>
      </c>
      <c r="P82" s="1">
        <v>-0.22600000000000001</v>
      </c>
      <c r="Q82">
        <f t="shared" si="5"/>
        <v>137</v>
      </c>
      <c r="R82">
        <f t="shared" si="6"/>
        <v>72</v>
      </c>
      <c r="S82" s="1">
        <f t="shared" si="7"/>
        <v>0.72262773722627738</v>
      </c>
      <c r="T82">
        <f t="shared" si="8"/>
        <v>1.37</v>
      </c>
      <c r="U82" t="str">
        <f t="shared" si="9"/>
        <v>Mar</v>
      </c>
    </row>
    <row r="83" spans="1:21">
      <c r="A83" s="2">
        <v>46095</v>
      </c>
      <c r="B83" t="s">
        <v>6</v>
      </c>
      <c r="C83" t="s">
        <v>34</v>
      </c>
      <c r="D83" t="s">
        <v>10</v>
      </c>
      <c r="E83" t="s">
        <v>42</v>
      </c>
      <c r="F83" t="s">
        <v>39</v>
      </c>
      <c r="G83">
        <v>27</v>
      </c>
      <c r="H83">
        <v>23</v>
      </c>
      <c r="I83">
        <v>71</v>
      </c>
      <c r="J83">
        <v>155</v>
      </c>
      <c r="K83">
        <v>438</v>
      </c>
      <c r="L83">
        <v>94.33</v>
      </c>
      <c r="M83">
        <v>2465</v>
      </c>
      <c r="N83">
        <v>66606</v>
      </c>
      <c r="O83">
        <v>1291.49</v>
      </c>
      <c r="P83" s="1">
        <v>-0.83099999999999996</v>
      </c>
      <c r="Q83">
        <f t="shared" si="5"/>
        <v>50</v>
      </c>
      <c r="R83">
        <f t="shared" si="6"/>
        <v>178</v>
      </c>
      <c r="S83" s="1">
        <f t="shared" si="7"/>
        <v>-0.42</v>
      </c>
      <c r="T83">
        <f t="shared" si="8"/>
        <v>0.5</v>
      </c>
      <c r="U83" t="str">
        <f t="shared" si="9"/>
        <v>Mar</v>
      </c>
    </row>
    <row r="84" spans="1:21">
      <c r="A84" s="2">
        <v>46072</v>
      </c>
      <c r="B84" t="s">
        <v>4</v>
      </c>
      <c r="C84" t="s">
        <v>31</v>
      </c>
      <c r="D84" t="s">
        <v>7</v>
      </c>
      <c r="E84" t="s">
        <v>38</v>
      </c>
      <c r="F84" t="s">
        <v>33</v>
      </c>
      <c r="G84">
        <v>86</v>
      </c>
      <c r="H84">
        <v>75</v>
      </c>
      <c r="I84">
        <v>37</v>
      </c>
      <c r="J84">
        <v>76</v>
      </c>
      <c r="K84">
        <v>152</v>
      </c>
      <c r="L84">
        <v>98.8</v>
      </c>
      <c r="M84">
        <v>1943.7</v>
      </c>
      <c r="N84">
        <v>66864</v>
      </c>
      <c r="O84">
        <v>1351.79</v>
      </c>
      <c r="P84" s="1">
        <v>0.30099999999999999</v>
      </c>
      <c r="Q84">
        <f t="shared" si="5"/>
        <v>161</v>
      </c>
      <c r="R84">
        <f t="shared" si="6"/>
        <v>151</v>
      </c>
      <c r="S84" s="1">
        <f t="shared" si="7"/>
        <v>0.77018633540372672</v>
      </c>
      <c r="T84">
        <f t="shared" si="8"/>
        <v>1.61</v>
      </c>
      <c r="U84" t="str">
        <f t="shared" si="9"/>
        <v>Feb</v>
      </c>
    </row>
    <row r="85" spans="1:21">
      <c r="A85" s="2">
        <v>46087</v>
      </c>
      <c r="B85" t="s">
        <v>6</v>
      </c>
      <c r="C85" t="s">
        <v>48</v>
      </c>
      <c r="D85" t="s">
        <v>11</v>
      </c>
      <c r="E85" t="s">
        <v>38</v>
      </c>
      <c r="F85" t="s">
        <v>45</v>
      </c>
      <c r="G85">
        <v>73</v>
      </c>
      <c r="H85">
        <v>18</v>
      </c>
      <c r="I85">
        <v>66</v>
      </c>
      <c r="J85">
        <v>88</v>
      </c>
      <c r="K85">
        <v>293</v>
      </c>
      <c r="L85">
        <v>105.51</v>
      </c>
      <c r="M85">
        <v>2093.9299999999998</v>
      </c>
      <c r="N85">
        <v>66545</v>
      </c>
      <c r="O85">
        <v>1090.3599999999999</v>
      </c>
      <c r="P85" s="1">
        <v>0.56399999999999995</v>
      </c>
      <c r="Q85">
        <f t="shared" si="5"/>
        <v>91</v>
      </c>
      <c r="R85">
        <f t="shared" si="6"/>
        <v>106</v>
      </c>
      <c r="S85" s="1">
        <f t="shared" si="7"/>
        <v>0.27472527472527475</v>
      </c>
      <c r="T85">
        <f t="shared" si="8"/>
        <v>0.91</v>
      </c>
      <c r="U85" t="str">
        <f t="shared" si="9"/>
        <v>Mar</v>
      </c>
    </row>
    <row r="86" spans="1:21">
      <c r="A86" s="2">
        <v>46101</v>
      </c>
      <c r="B86" t="s">
        <v>6</v>
      </c>
      <c r="C86" t="s">
        <v>46</v>
      </c>
      <c r="D86" t="s">
        <v>9</v>
      </c>
      <c r="E86" t="s">
        <v>35</v>
      </c>
      <c r="F86" t="s">
        <v>45</v>
      </c>
      <c r="G86">
        <v>8</v>
      </c>
      <c r="H86">
        <v>12</v>
      </c>
      <c r="I86">
        <v>2</v>
      </c>
      <c r="J86">
        <v>41</v>
      </c>
      <c r="K86">
        <v>404</v>
      </c>
      <c r="L86">
        <v>92.18</v>
      </c>
      <c r="M86">
        <v>2214.7800000000002</v>
      </c>
      <c r="N86">
        <v>69272</v>
      </c>
      <c r="O86">
        <v>1711.43</v>
      </c>
      <c r="P86" s="1">
        <v>0.71599999999999997</v>
      </c>
      <c r="Q86">
        <f t="shared" si="5"/>
        <v>20</v>
      </c>
      <c r="R86">
        <f t="shared" si="6"/>
        <v>53</v>
      </c>
      <c r="S86" s="1">
        <f t="shared" si="7"/>
        <v>0.9</v>
      </c>
      <c r="T86">
        <f t="shared" si="8"/>
        <v>0.2</v>
      </c>
      <c r="U86" t="str">
        <f t="shared" si="9"/>
        <v>Mar</v>
      </c>
    </row>
    <row r="87" spans="1:21">
      <c r="A87" s="2">
        <v>46127</v>
      </c>
      <c r="B87" t="s">
        <v>4</v>
      </c>
      <c r="C87" t="s">
        <v>31</v>
      </c>
      <c r="D87" t="s">
        <v>7</v>
      </c>
      <c r="E87" t="s">
        <v>32</v>
      </c>
      <c r="F87" t="s">
        <v>49</v>
      </c>
      <c r="G87">
        <v>102</v>
      </c>
      <c r="H87">
        <v>19</v>
      </c>
      <c r="I87">
        <v>29</v>
      </c>
      <c r="J87">
        <v>53</v>
      </c>
      <c r="K87">
        <v>155</v>
      </c>
      <c r="L87">
        <v>133.63999999999999</v>
      </c>
      <c r="M87">
        <v>2352.44</v>
      </c>
      <c r="N87">
        <v>65437</v>
      </c>
      <c r="O87">
        <v>1602.24</v>
      </c>
      <c r="P87" s="1">
        <v>0.84699999999999998</v>
      </c>
      <c r="Q87">
        <f t="shared" si="5"/>
        <v>121</v>
      </c>
      <c r="R87">
        <f t="shared" si="6"/>
        <v>72</v>
      </c>
      <c r="S87" s="1">
        <f t="shared" si="7"/>
        <v>0.76033057851239672</v>
      </c>
      <c r="T87">
        <f t="shared" si="8"/>
        <v>1.21</v>
      </c>
      <c r="U87" t="str">
        <f t="shared" si="9"/>
        <v>Apr</v>
      </c>
    </row>
    <row r="88" spans="1:21">
      <c r="A88" s="2">
        <v>46098</v>
      </c>
      <c r="B88" t="s">
        <v>6</v>
      </c>
      <c r="C88" t="s">
        <v>44</v>
      </c>
      <c r="D88" t="s">
        <v>9</v>
      </c>
      <c r="E88" t="s">
        <v>42</v>
      </c>
      <c r="F88" t="s">
        <v>49</v>
      </c>
      <c r="G88">
        <v>118</v>
      </c>
      <c r="H88">
        <v>70</v>
      </c>
      <c r="I88">
        <v>44</v>
      </c>
      <c r="J88">
        <v>77</v>
      </c>
      <c r="K88">
        <v>48</v>
      </c>
      <c r="L88">
        <v>118.37</v>
      </c>
      <c r="M88">
        <v>2344.89</v>
      </c>
      <c r="N88">
        <v>67789</v>
      </c>
      <c r="O88">
        <v>1551.51</v>
      </c>
      <c r="P88" s="1">
        <v>0.14000000000000001</v>
      </c>
      <c r="Q88">
        <f t="shared" si="5"/>
        <v>188</v>
      </c>
      <c r="R88">
        <f t="shared" si="6"/>
        <v>147</v>
      </c>
      <c r="S88" s="1">
        <f t="shared" si="7"/>
        <v>0.76595744680851063</v>
      </c>
      <c r="T88">
        <f t="shared" si="8"/>
        <v>1.88</v>
      </c>
      <c r="U88" t="str">
        <f t="shared" si="9"/>
        <v>Mar</v>
      </c>
    </row>
    <row r="89" spans="1:21">
      <c r="A89" s="2">
        <v>46125</v>
      </c>
      <c r="B89" t="s">
        <v>6</v>
      </c>
      <c r="C89" t="s">
        <v>50</v>
      </c>
      <c r="D89" t="s">
        <v>9</v>
      </c>
      <c r="E89" t="s">
        <v>42</v>
      </c>
      <c r="F89" t="s">
        <v>33</v>
      </c>
      <c r="G89">
        <v>31</v>
      </c>
      <c r="H89">
        <v>5</v>
      </c>
      <c r="I89">
        <v>52</v>
      </c>
      <c r="J89">
        <v>53</v>
      </c>
      <c r="K89">
        <v>227</v>
      </c>
      <c r="L89">
        <v>123.42</v>
      </c>
      <c r="M89">
        <v>1858.96</v>
      </c>
      <c r="N89">
        <v>67713</v>
      </c>
      <c r="O89">
        <v>1611.9</v>
      </c>
      <c r="P89" s="1">
        <v>-0.06</v>
      </c>
      <c r="Q89">
        <f t="shared" si="5"/>
        <v>36</v>
      </c>
      <c r="R89">
        <f t="shared" si="6"/>
        <v>58</v>
      </c>
      <c r="S89" s="1">
        <f t="shared" si="7"/>
        <v>-0.44444444444444442</v>
      </c>
      <c r="T89">
        <f t="shared" si="8"/>
        <v>0.36</v>
      </c>
      <c r="U89" t="str">
        <f t="shared" si="9"/>
        <v>Apr</v>
      </c>
    </row>
    <row r="90" spans="1:21">
      <c r="A90" s="2">
        <v>46105</v>
      </c>
      <c r="B90" t="s">
        <v>6</v>
      </c>
      <c r="C90" t="s">
        <v>50</v>
      </c>
      <c r="D90" t="s">
        <v>9</v>
      </c>
      <c r="E90" t="s">
        <v>38</v>
      </c>
      <c r="F90" t="s">
        <v>45</v>
      </c>
      <c r="G90">
        <v>39</v>
      </c>
      <c r="H90">
        <v>69</v>
      </c>
      <c r="I90">
        <v>44</v>
      </c>
      <c r="J90">
        <v>22</v>
      </c>
      <c r="K90">
        <v>368</v>
      </c>
      <c r="L90">
        <v>88.36</v>
      </c>
      <c r="M90">
        <v>2419.23</v>
      </c>
      <c r="N90">
        <v>75426</v>
      </c>
      <c r="O90">
        <v>1686.96</v>
      </c>
      <c r="P90" s="1">
        <v>0.60399999999999998</v>
      </c>
      <c r="Q90">
        <f t="shared" si="5"/>
        <v>108</v>
      </c>
      <c r="R90">
        <f t="shared" si="6"/>
        <v>91</v>
      </c>
      <c r="S90" s="1">
        <f t="shared" si="7"/>
        <v>0.59259259259259256</v>
      </c>
      <c r="T90">
        <f t="shared" si="8"/>
        <v>1.08</v>
      </c>
      <c r="U90" t="str">
        <f t="shared" si="9"/>
        <v>Mar</v>
      </c>
    </row>
    <row r="91" spans="1:21">
      <c r="A91" s="2">
        <v>46077</v>
      </c>
      <c r="B91" t="s">
        <v>6</v>
      </c>
      <c r="C91" t="s">
        <v>40</v>
      </c>
      <c r="D91" t="s">
        <v>10</v>
      </c>
      <c r="E91" t="s">
        <v>47</v>
      </c>
      <c r="F91" t="s">
        <v>49</v>
      </c>
      <c r="G91">
        <v>104</v>
      </c>
      <c r="H91">
        <v>37</v>
      </c>
      <c r="I91">
        <v>16</v>
      </c>
      <c r="J91">
        <v>129</v>
      </c>
      <c r="K91">
        <v>357</v>
      </c>
      <c r="L91">
        <v>89.36</v>
      </c>
      <c r="M91">
        <v>2251.6</v>
      </c>
      <c r="N91">
        <v>71576</v>
      </c>
      <c r="O91">
        <v>1276.6099999999999</v>
      </c>
      <c r="P91" s="1">
        <v>-0.40500000000000003</v>
      </c>
      <c r="Q91">
        <f t="shared" si="5"/>
        <v>141</v>
      </c>
      <c r="R91">
        <f t="shared" si="6"/>
        <v>166</v>
      </c>
      <c r="S91" s="1">
        <f t="shared" si="7"/>
        <v>0.88652482269503541</v>
      </c>
      <c r="T91">
        <f t="shared" si="8"/>
        <v>1.41</v>
      </c>
      <c r="U91" t="str">
        <f t="shared" si="9"/>
        <v>Feb</v>
      </c>
    </row>
    <row r="92" spans="1:21">
      <c r="A92" s="2">
        <v>46097</v>
      </c>
      <c r="B92" t="s">
        <v>4</v>
      </c>
      <c r="C92" t="s">
        <v>50</v>
      </c>
      <c r="D92" t="s">
        <v>11</v>
      </c>
      <c r="E92" t="s">
        <v>32</v>
      </c>
      <c r="F92" t="s">
        <v>33</v>
      </c>
      <c r="G92">
        <v>73</v>
      </c>
      <c r="H92">
        <v>42</v>
      </c>
      <c r="I92">
        <v>70</v>
      </c>
      <c r="J92">
        <v>15</v>
      </c>
      <c r="K92">
        <v>330</v>
      </c>
      <c r="L92">
        <v>111.95</v>
      </c>
      <c r="M92">
        <v>2462.8000000000002</v>
      </c>
      <c r="N92">
        <v>73420</v>
      </c>
      <c r="O92">
        <v>1683.29</v>
      </c>
      <c r="P92" s="1">
        <v>0.68100000000000005</v>
      </c>
      <c r="Q92">
        <f t="shared" si="5"/>
        <v>115</v>
      </c>
      <c r="R92">
        <f t="shared" si="6"/>
        <v>57</v>
      </c>
      <c r="S92" s="1">
        <f t="shared" si="7"/>
        <v>0.39130434782608697</v>
      </c>
      <c r="T92">
        <f t="shared" si="8"/>
        <v>1.1499999999999999</v>
      </c>
      <c r="U92" t="str">
        <f t="shared" si="9"/>
        <v>Mar</v>
      </c>
    </row>
    <row r="93" spans="1:21">
      <c r="A93" s="2">
        <v>46085</v>
      </c>
      <c r="B93" t="s">
        <v>6</v>
      </c>
      <c r="C93" t="s">
        <v>44</v>
      </c>
      <c r="D93" t="s">
        <v>10</v>
      </c>
      <c r="E93" t="s">
        <v>32</v>
      </c>
      <c r="F93" t="s">
        <v>33</v>
      </c>
      <c r="G93">
        <v>62</v>
      </c>
      <c r="H93">
        <v>36</v>
      </c>
      <c r="I93">
        <v>20</v>
      </c>
      <c r="J93">
        <v>19</v>
      </c>
      <c r="K93">
        <v>297</v>
      </c>
      <c r="L93">
        <v>115.12</v>
      </c>
      <c r="M93">
        <v>2060.1999999999998</v>
      </c>
      <c r="N93">
        <v>66699</v>
      </c>
      <c r="O93">
        <v>1300.3699999999999</v>
      </c>
      <c r="P93" s="1">
        <v>-0.14899999999999999</v>
      </c>
      <c r="Q93">
        <f t="shared" si="5"/>
        <v>98</v>
      </c>
      <c r="R93">
        <f t="shared" si="6"/>
        <v>55</v>
      </c>
      <c r="S93" s="1">
        <f t="shared" si="7"/>
        <v>0.79591836734693877</v>
      </c>
      <c r="T93">
        <f t="shared" si="8"/>
        <v>0.98</v>
      </c>
      <c r="U93" t="str">
        <f t="shared" si="9"/>
        <v>Mar</v>
      </c>
    </row>
    <row r="94" spans="1:21">
      <c r="A94" s="2">
        <v>46099</v>
      </c>
      <c r="B94" t="s">
        <v>6</v>
      </c>
      <c r="C94" t="s">
        <v>44</v>
      </c>
      <c r="D94" t="s">
        <v>9</v>
      </c>
      <c r="E94" t="s">
        <v>35</v>
      </c>
      <c r="F94" t="s">
        <v>39</v>
      </c>
      <c r="G94">
        <v>64</v>
      </c>
      <c r="H94">
        <v>53</v>
      </c>
      <c r="I94">
        <v>0</v>
      </c>
      <c r="J94">
        <v>80</v>
      </c>
      <c r="K94">
        <v>77</v>
      </c>
      <c r="L94">
        <v>126.35</v>
      </c>
      <c r="M94">
        <v>2269.75</v>
      </c>
      <c r="N94">
        <v>72777</v>
      </c>
      <c r="O94">
        <v>1109.5</v>
      </c>
      <c r="P94" s="1">
        <v>-0.84699999999999998</v>
      </c>
      <c r="Q94">
        <f t="shared" si="5"/>
        <v>117</v>
      </c>
      <c r="R94">
        <f t="shared" si="6"/>
        <v>133</v>
      </c>
      <c r="S94" s="1">
        <f t="shared" si="7"/>
        <v>1</v>
      </c>
      <c r="T94">
        <f t="shared" si="8"/>
        <v>1.17</v>
      </c>
      <c r="U94" t="str">
        <f t="shared" si="9"/>
        <v>Mar</v>
      </c>
    </row>
    <row r="95" spans="1:21">
      <c r="A95" s="2">
        <v>46070</v>
      </c>
      <c r="B95" t="s">
        <v>6</v>
      </c>
      <c r="C95" t="s">
        <v>51</v>
      </c>
      <c r="D95" t="s">
        <v>7</v>
      </c>
      <c r="E95" t="s">
        <v>42</v>
      </c>
      <c r="F95" t="s">
        <v>39</v>
      </c>
      <c r="G95">
        <v>99</v>
      </c>
      <c r="H95">
        <v>58</v>
      </c>
      <c r="I95">
        <v>35</v>
      </c>
      <c r="J95">
        <v>22</v>
      </c>
      <c r="K95">
        <v>295</v>
      </c>
      <c r="L95">
        <v>86.88</v>
      </c>
      <c r="M95">
        <v>2328.88</v>
      </c>
      <c r="N95">
        <v>74019</v>
      </c>
      <c r="O95">
        <v>1729.73</v>
      </c>
      <c r="P95" s="1">
        <v>-0.72099999999999997</v>
      </c>
      <c r="Q95">
        <f t="shared" si="5"/>
        <v>157</v>
      </c>
      <c r="R95">
        <f t="shared" si="6"/>
        <v>80</v>
      </c>
      <c r="S95" s="1">
        <f t="shared" si="7"/>
        <v>0.77707006369426757</v>
      </c>
      <c r="T95">
        <f t="shared" si="8"/>
        <v>1.57</v>
      </c>
      <c r="U95" t="str">
        <f t="shared" si="9"/>
        <v>Feb</v>
      </c>
    </row>
    <row r="96" spans="1:21">
      <c r="A96" s="2">
        <v>46087</v>
      </c>
      <c r="B96" t="s">
        <v>6</v>
      </c>
      <c r="C96" t="s">
        <v>36</v>
      </c>
      <c r="D96" t="s">
        <v>5</v>
      </c>
      <c r="E96" t="s">
        <v>38</v>
      </c>
      <c r="F96" t="s">
        <v>39</v>
      </c>
      <c r="G96">
        <v>59</v>
      </c>
      <c r="H96">
        <v>20</v>
      </c>
      <c r="I96">
        <v>43</v>
      </c>
      <c r="J96">
        <v>104</v>
      </c>
      <c r="K96">
        <v>147</v>
      </c>
      <c r="L96">
        <v>103.06</v>
      </c>
      <c r="M96">
        <v>2418.84</v>
      </c>
      <c r="N96">
        <v>64859</v>
      </c>
      <c r="O96">
        <v>1233.68</v>
      </c>
      <c r="P96" s="1">
        <v>0.24</v>
      </c>
      <c r="Q96">
        <f t="shared" si="5"/>
        <v>79</v>
      </c>
      <c r="R96">
        <f t="shared" si="6"/>
        <v>124</v>
      </c>
      <c r="S96" s="1">
        <f t="shared" si="7"/>
        <v>0.45569620253164556</v>
      </c>
      <c r="T96">
        <f t="shared" si="8"/>
        <v>0.79</v>
      </c>
      <c r="U96" t="str">
        <f t="shared" si="9"/>
        <v>Mar</v>
      </c>
    </row>
    <row r="97" spans="1:21">
      <c r="A97" s="2">
        <v>46118</v>
      </c>
      <c r="B97" t="s">
        <v>6</v>
      </c>
      <c r="C97" t="s">
        <v>36</v>
      </c>
      <c r="D97" t="s">
        <v>5</v>
      </c>
      <c r="E97" t="s">
        <v>38</v>
      </c>
      <c r="F97" t="s">
        <v>49</v>
      </c>
      <c r="G97">
        <v>116</v>
      </c>
      <c r="H97">
        <v>65</v>
      </c>
      <c r="I97">
        <v>32</v>
      </c>
      <c r="J97">
        <v>133</v>
      </c>
      <c r="K97">
        <v>21</v>
      </c>
      <c r="L97">
        <v>122.1</v>
      </c>
      <c r="M97">
        <v>1969.8</v>
      </c>
      <c r="N97">
        <v>64412</v>
      </c>
      <c r="O97">
        <v>1107.9100000000001</v>
      </c>
      <c r="P97" s="1">
        <v>0.91600000000000004</v>
      </c>
      <c r="Q97">
        <f t="shared" si="5"/>
        <v>181</v>
      </c>
      <c r="R97">
        <f t="shared" si="6"/>
        <v>198</v>
      </c>
      <c r="S97" s="1">
        <f t="shared" si="7"/>
        <v>0.82320441988950277</v>
      </c>
      <c r="T97">
        <f t="shared" si="8"/>
        <v>1.81</v>
      </c>
      <c r="U97" t="str">
        <f t="shared" si="9"/>
        <v>Apr</v>
      </c>
    </row>
    <row r="98" spans="1:21">
      <c r="A98" s="2">
        <v>46086</v>
      </c>
      <c r="B98" t="s">
        <v>4</v>
      </c>
      <c r="C98" t="s">
        <v>44</v>
      </c>
      <c r="D98" t="s">
        <v>7</v>
      </c>
      <c r="E98" t="s">
        <v>42</v>
      </c>
      <c r="F98" t="s">
        <v>49</v>
      </c>
      <c r="G98">
        <v>91</v>
      </c>
      <c r="H98">
        <v>30</v>
      </c>
      <c r="I98">
        <v>3</v>
      </c>
      <c r="J98">
        <v>29</v>
      </c>
      <c r="K98">
        <v>290</v>
      </c>
      <c r="L98">
        <v>132.41</v>
      </c>
      <c r="M98">
        <v>2432.77</v>
      </c>
      <c r="N98">
        <v>72799</v>
      </c>
      <c r="O98">
        <v>959.67</v>
      </c>
      <c r="P98" s="1">
        <v>0.81200000000000006</v>
      </c>
      <c r="Q98">
        <f t="shared" si="5"/>
        <v>121</v>
      </c>
      <c r="R98">
        <f t="shared" si="6"/>
        <v>59</v>
      </c>
      <c r="S98" s="1">
        <f t="shared" si="7"/>
        <v>0.97520661157024791</v>
      </c>
      <c r="T98">
        <f t="shared" si="8"/>
        <v>1.21</v>
      </c>
      <c r="U98" t="str">
        <f t="shared" si="9"/>
        <v>Mar</v>
      </c>
    </row>
    <row r="99" spans="1:21">
      <c r="A99" s="2">
        <v>46089</v>
      </c>
      <c r="B99" t="s">
        <v>6</v>
      </c>
      <c r="C99" t="s">
        <v>43</v>
      </c>
      <c r="D99" t="s">
        <v>5</v>
      </c>
      <c r="E99" t="s">
        <v>47</v>
      </c>
      <c r="F99" t="s">
        <v>33</v>
      </c>
      <c r="G99">
        <v>70</v>
      </c>
      <c r="H99">
        <v>12</v>
      </c>
      <c r="I99">
        <v>1</v>
      </c>
      <c r="J99">
        <v>100</v>
      </c>
      <c r="K99">
        <v>358</v>
      </c>
      <c r="L99">
        <v>115.53</v>
      </c>
      <c r="M99">
        <v>2305.11</v>
      </c>
      <c r="N99">
        <v>67877</v>
      </c>
      <c r="O99">
        <v>1507.4</v>
      </c>
      <c r="P99" s="1">
        <v>0.17599999999999999</v>
      </c>
      <c r="Q99">
        <f t="shared" si="5"/>
        <v>82</v>
      </c>
      <c r="R99">
        <f t="shared" si="6"/>
        <v>112</v>
      </c>
      <c r="S99" s="1">
        <f t="shared" si="7"/>
        <v>0.98780487804878048</v>
      </c>
      <c r="T99">
        <f t="shared" si="8"/>
        <v>0.82</v>
      </c>
      <c r="U99" t="str">
        <f t="shared" si="9"/>
        <v>Mar</v>
      </c>
    </row>
    <row r="100" spans="1:21">
      <c r="A100" s="2">
        <v>46123</v>
      </c>
      <c r="B100" t="s">
        <v>4</v>
      </c>
      <c r="C100" t="s">
        <v>50</v>
      </c>
      <c r="D100" t="s">
        <v>7</v>
      </c>
      <c r="E100" t="s">
        <v>38</v>
      </c>
      <c r="F100" t="s">
        <v>33</v>
      </c>
      <c r="G100">
        <v>48</v>
      </c>
      <c r="H100">
        <v>27</v>
      </c>
      <c r="I100">
        <v>78</v>
      </c>
      <c r="J100">
        <v>8</v>
      </c>
      <c r="K100">
        <v>164</v>
      </c>
      <c r="L100">
        <v>92.85</v>
      </c>
      <c r="M100">
        <v>1824.9</v>
      </c>
      <c r="N100">
        <v>72711</v>
      </c>
      <c r="O100">
        <v>1348.03</v>
      </c>
      <c r="P100" s="1">
        <v>0.47699999999999998</v>
      </c>
      <c r="Q100">
        <f t="shared" si="5"/>
        <v>75</v>
      </c>
      <c r="R100">
        <f t="shared" si="6"/>
        <v>35</v>
      </c>
      <c r="S100" s="1">
        <f t="shared" si="7"/>
        <v>-0.04</v>
      </c>
      <c r="T100">
        <f t="shared" si="8"/>
        <v>0.75</v>
      </c>
      <c r="U100" t="str">
        <f t="shared" si="9"/>
        <v>Apr</v>
      </c>
    </row>
    <row r="101" spans="1:21">
      <c r="A101" s="2">
        <v>46071</v>
      </c>
      <c r="B101" t="s">
        <v>6</v>
      </c>
      <c r="C101" t="s">
        <v>48</v>
      </c>
      <c r="D101" t="s">
        <v>11</v>
      </c>
      <c r="E101" t="s">
        <v>47</v>
      </c>
      <c r="F101" t="s">
        <v>45</v>
      </c>
      <c r="G101">
        <v>116</v>
      </c>
      <c r="H101">
        <v>57</v>
      </c>
      <c r="I101">
        <v>3</v>
      </c>
      <c r="J101">
        <v>123</v>
      </c>
      <c r="K101">
        <v>418</v>
      </c>
      <c r="L101">
        <v>85.62</v>
      </c>
      <c r="M101">
        <v>2498.04</v>
      </c>
      <c r="N101">
        <v>67993</v>
      </c>
      <c r="O101">
        <v>1529.24</v>
      </c>
      <c r="P101" s="1">
        <v>-0.59499999999999997</v>
      </c>
      <c r="Q101">
        <f t="shared" si="5"/>
        <v>173</v>
      </c>
      <c r="R101">
        <f t="shared" si="6"/>
        <v>180</v>
      </c>
      <c r="S101" s="1">
        <f t="shared" si="7"/>
        <v>0.98265895953757221</v>
      </c>
      <c r="T101">
        <f t="shared" si="8"/>
        <v>1.73</v>
      </c>
      <c r="U101" t="str">
        <f t="shared" si="9"/>
        <v>Feb</v>
      </c>
    </row>
    <row r="102" spans="1:21">
      <c r="A102" s="2">
        <v>46079</v>
      </c>
      <c r="B102" t="s">
        <v>4</v>
      </c>
      <c r="C102" t="s">
        <v>48</v>
      </c>
      <c r="D102" t="s">
        <v>11</v>
      </c>
      <c r="E102" t="s">
        <v>38</v>
      </c>
      <c r="F102" t="s">
        <v>39</v>
      </c>
      <c r="G102">
        <v>50</v>
      </c>
      <c r="H102">
        <v>60</v>
      </c>
      <c r="I102">
        <v>21</v>
      </c>
      <c r="J102">
        <v>39</v>
      </c>
      <c r="K102">
        <v>388</v>
      </c>
      <c r="L102">
        <v>120.19</v>
      </c>
      <c r="M102">
        <v>2424.44</v>
      </c>
      <c r="N102">
        <v>68019</v>
      </c>
      <c r="O102">
        <v>1643.1</v>
      </c>
      <c r="P102" s="1">
        <v>-0.251</v>
      </c>
      <c r="Q102">
        <f t="shared" si="5"/>
        <v>110</v>
      </c>
      <c r="R102">
        <f t="shared" si="6"/>
        <v>99</v>
      </c>
      <c r="S102" s="1">
        <f t="shared" si="7"/>
        <v>0.80909090909090908</v>
      </c>
      <c r="T102">
        <f t="shared" si="8"/>
        <v>1.1000000000000001</v>
      </c>
      <c r="U102" t="str">
        <f t="shared" si="9"/>
        <v>Feb</v>
      </c>
    </row>
    <row r="103" spans="1:21">
      <c r="A103" s="2">
        <v>46126</v>
      </c>
      <c r="B103" t="s">
        <v>6</v>
      </c>
      <c r="C103" t="s">
        <v>46</v>
      </c>
      <c r="D103" t="s">
        <v>10</v>
      </c>
      <c r="E103" t="s">
        <v>38</v>
      </c>
      <c r="F103" t="s">
        <v>49</v>
      </c>
      <c r="G103">
        <v>95</v>
      </c>
      <c r="H103">
        <v>65</v>
      </c>
      <c r="I103">
        <v>2</v>
      </c>
      <c r="J103">
        <v>12</v>
      </c>
      <c r="K103">
        <v>222</v>
      </c>
      <c r="L103">
        <v>103.62</v>
      </c>
      <c r="M103">
        <v>2362.85</v>
      </c>
      <c r="N103">
        <v>67359</v>
      </c>
      <c r="O103">
        <v>1732.73</v>
      </c>
      <c r="P103" s="1">
        <v>-0.14399999999999999</v>
      </c>
      <c r="Q103">
        <f t="shared" si="5"/>
        <v>160</v>
      </c>
      <c r="R103">
        <f t="shared" si="6"/>
        <v>77</v>
      </c>
      <c r="S103" s="1">
        <f t="shared" si="7"/>
        <v>0.98750000000000004</v>
      </c>
      <c r="T103">
        <f t="shared" si="8"/>
        <v>1.6</v>
      </c>
      <c r="U103" t="str">
        <f t="shared" si="9"/>
        <v>Apr</v>
      </c>
    </row>
    <row r="104" spans="1:21">
      <c r="A104" s="2">
        <v>46115</v>
      </c>
      <c r="B104" t="s">
        <v>4</v>
      </c>
      <c r="C104" t="s">
        <v>43</v>
      </c>
      <c r="D104" t="s">
        <v>11</v>
      </c>
      <c r="E104" t="s">
        <v>42</v>
      </c>
      <c r="F104" t="s">
        <v>49</v>
      </c>
      <c r="G104">
        <v>118</v>
      </c>
      <c r="H104">
        <v>27</v>
      </c>
      <c r="I104">
        <v>87</v>
      </c>
      <c r="J104">
        <v>40</v>
      </c>
      <c r="K104">
        <v>420</v>
      </c>
      <c r="L104">
        <v>101.95</v>
      </c>
      <c r="M104">
        <v>2442.63</v>
      </c>
      <c r="N104">
        <v>64445</v>
      </c>
      <c r="O104">
        <v>1301.6199999999999</v>
      </c>
      <c r="P104" s="1">
        <v>0.47699999999999998</v>
      </c>
      <c r="Q104">
        <f t="shared" si="5"/>
        <v>145</v>
      </c>
      <c r="R104">
        <f t="shared" si="6"/>
        <v>67</v>
      </c>
      <c r="S104" s="1">
        <f t="shared" si="7"/>
        <v>0.4</v>
      </c>
      <c r="T104">
        <f t="shared" si="8"/>
        <v>1.45</v>
      </c>
      <c r="U104" t="str">
        <f t="shared" si="9"/>
        <v>Apr</v>
      </c>
    </row>
    <row r="105" spans="1:21">
      <c r="A105" s="2">
        <v>46084</v>
      </c>
      <c r="B105" t="s">
        <v>6</v>
      </c>
      <c r="C105" t="s">
        <v>43</v>
      </c>
      <c r="D105" t="s">
        <v>7</v>
      </c>
      <c r="E105" t="s">
        <v>35</v>
      </c>
      <c r="F105" t="s">
        <v>39</v>
      </c>
      <c r="G105">
        <v>72</v>
      </c>
      <c r="H105">
        <v>16</v>
      </c>
      <c r="I105">
        <v>10</v>
      </c>
      <c r="J105">
        <v>52</v>
      </c>
      <c r="K105">
        <v>156</v>
      </c>
      <c r="L105">
        <v>105.12</v>
      </c>
      <c r="M105">
        <v>1803.51</v>
      </c>
      <c r="N105">
        <v>74247</v>
      </c>
      <c r="O105">
        <v>1423.05</v>
      </c>
      <c r="P105" s="1">
        <v>-0.187</v>
      </c>
      <c r="Q105">
        <f t="shared" si="5"/>
        <v>88</v>
      </c>
      <c r="R105">
        <f t="shared" si="6"/>
        <v>68</v>
      </c>
      <c r="S105" s="1">
        <f t="shared" si="7"/>
        <v>0.88636363636363635</v>
      </c>
      <c r="T105">
        <f t="shared" si="8"/>
        <v>0.88</v>
      </c>
      <c r="U105" t="str">
        <f t="shared" si="9"/>
        <v>Mar</v>
      </c>
    </row>
    <row r="106" spans="1:21">
      <c r="A106" s="2">
        <v>46080</v>
      </c>
      <c r="B106" t="s">
        <v>4</v>
      </c>
      <c r="C106" t="s">
        <v>50</v>
      </c>
      <c r="D106" t="s">
        <v>10</v>
      </c>
      <c r="E106" t="s">
        <v>38</v>
      </c>
      <c r="F106" t="s">
        <v>33</v>
      </c>
      <c r="G106">
        <v>106</v>
      </c>
      <c r="H106">
        <v>67</v>
      </c>
      <c r="I106">
        <v>58</v>
      </c>
      <c r="J106">
        <v>10</v>
      </c>
      <c r="K106">
        <v>270</v>
      </c>
      <c r="L106">
        <v>102.64</v>
      </c>
      <c r="M106">
        <v>1988.71</v>
      </c>
      <c r="N106">
        <v>75369</v>
      </c>
      <c r="O106">
        <v>1632.28</v>
      </c>
      <c r="P106" s="1">
        <v>-7.6999999999999999E-2</v>
      </c>
      <c r="Q106">
        <f t="shared" si="5"/>
        <v>173</v>
      </c>
      <c r="R106">
        <f t="shared" si="6"/>
        <v>77</v>
      </c>
      <c r="S106" s="1">
        <f t="shared" si="7"/>
        <v>0.66473988439306353</v>
      </c>
      <c r="T106">
        <f t="shared" si="8"/>
        <v>1.73</v>
      </c>
      <c r="U106" t="str">
        <f t="shared" si="9"/>
        <v>Feb</v>
      </c>
    </row>
    <row r="107" spans="1:21">
      <c r="A107" s="2">
        <v>46097</v>
      </c>
      <c r="B107" t="s">
        <v>4</v>
      </c>
      <c r="C107" t="s">
        <v>36</v>
      </c>
      <c r="D107" t="s">
        <v>10</v>
      </c>
      <c r="E107" t="s">
        <v>41</v>
      </c>
      <c r="F107" t="s">
        <v>49</v>
      </c>
      <c r="G107">
        <v>15</v>
      </c>
      <c r="H107">
        <v>57</v>
      </c>
      <c r="I107">
        <v>38</v>
      </c>
      <c r="J107">
        <v>30</v>
      </c>
      <c r="K107">
        <v>437</v>
      </c>
      <c r="L107">
        <v>127.75</v>
      </c>
      <c r="M107">
        <v>1902.17</v>
      </c>
      <c r="N107">
        <v>73261</v>
      </c>
      <c r="O107">
        <v>1785.89</v>
      </c>
      <c r="P107" s="1">
        <v>-0.78200000000000003</v>
      </c>
      <c r="Q107">
        <f t="shared" si="5"/>
        <v>72</v>
      </c>
      <c r="R107">
        <f t="shared" si="6"/>
        <v>87</v>
      </c>
      <c r="S107" s="1">
        <f t="shared" si="7"/>
        <v>0.47222222222222221</v>
      </c>
      <c r="T107">
        <f t="shared" si="8"/>
        <v>0.72</v>
      </c>
      <c r="U107" t="str">
        <f t="shared" si="9"/>
        <v>Mar</v>
      </c>
    </row>
    <row r="108" spans="1:21">
      <c r="A108" s="2">
        <v>46111</v>
      </c>
      <c r="B108" t="s">
        <v>4</v>
      </c>
      <c r="C108" t="s">
        <v>36</v>
      </c>
      <c r="D108" t="s">
        <v>5</v>
      </c>
      <c r="E108" t="s">
        <v>41</v>
      </c>
      <c r="F108" t="s">
        <v>45</v>
      </c>
      <c r="G108">
        <v>36</v>
      </c>
      <c r="H108">
        <v>76</v>
      </c>
      <c r="I108">
        <v>64</v>
      </c>
      <c r="J108">
        <v>13</v>
      </c>
      <c r="K108">
        <v>173</v>
      </c>
      <c r="L108">
        <v>83.3</v>
      </c>
      <c r="M108">
        <v>2045.54</v>
      </c>
      <c r="N108">
        <v>65984</v>
      </c>
      <c r="O108">
        <v>1251.43</v>
      </c>
      <c r="P108" s="1">
        <v>0.58699999999999997</v>
      </c>
      <c r="Q108">
        <f t="shared" si="5"/>
        <v>112</v>
      </c>
      <c r="R108">
        <f t="shared" si="6"/>
        <v>89</v>
      </c>
      <c r="S108" s="1">
        <f t="shared" si="7"/>
        <v>0.42857142857142855</v>
      </c>
      <c r="T108">
        <f t="shared" si="8"/>
        <v>1.1200000000000001</v>
      </c>
      <c r="U108" t="str">
        <f t="shared" si="9"/>
        <v>Mar</v>
      </c>
    </row>
    <row r="109" spans="1:21">
      <c r="A109" s="2">
        <v>46109</v>
      </c>
      <c r="B109" t="s">
        <v>4</v>
      </c>
      <c r="C109" t="s">
        <v>44</v>
      </c>
      <c r="D109" t="s">
        <v>10</v>
      </c>
      <c r="E109" t="s">
        <v>38</v>
      </c>
      <c r="F109" t="s">
        <v>33</v>
      </c>
      <c r="G109">
        <v>42</v>
      </c>
      <c r="H109">
        <v>59</v>
      </c>
      <c r="I109">
        <v>21</v>
      </c>
      <c r="J109">
        <v>115</v>
      </c>
      <c r="K109">
        <v>156</v>
      </c>
      <c r="L109">
        <v>123.63</v>
      </c>
      <c r="M109">
        <v>1903.73</v>
      </c>
      <c r="N109">
        <v>75336</v>
      </c>
      <c r="O109">
        <v>1161.6500000000001</v>
      </c>
      <c r="P109" s="1">
        <v>0.89400000000000002</v>
      </c>
      <c r="Q109">
        <f t="shared" si="5"/>
        <v>101</v>
      </c>
      <c r="R109">
        <f t="shared" si="6"/>
        <v>174</v>
      </c>
      <c r="S109" s="1">
        <f t="shared" si="7"/>
        <v>0.79207920792079212</v>
      </c>
      <c r="T109">
        <f t="shared" si="8"/>
        <v>1.01</v>
      </c>
      <c r="U109" t="str">
        <f t="shared" si="9"/>
        <v>Mar</v>
      </c>
    </row>
    <row r="110" spans="1:21">
      <c r="A110" s="2">
        <v>46077</v>
      </c>
      <c r="B110" t="s">
        <v>6</v>
      </c>
      <c r="C110" t="s">
        <v>40</v>
      </c>
      <c r="D110" t="s">
        <v>10</v>
      </c>
      <c r="E110" t="s">
        <v>35</v>
      </c>
      <c r="F110" t="s">
        <v>49</v>
      </c>
      <c r="G110">
        <v>55</v>
      </c>
      <c r="H110">
        <v>71</v>
      </c>
      <c r="I110">
        <v>1</v>
      </c>
      <c r="J110">
        <v>100</v>
      </c>
      <c r="K110">
        <v>54</v>
      </c>
      <c r="L110">
        <v>93.52</v>
      </c>
      <c r="M110">
        <v>2375.2399999999998</v>
      </c>
      <c r="N110">
        <v>74567</v>
      </c>
      <c r="O110">
        <v>1445.9</v>
      </c>
      <c r="P110" s="1">
        <v>0.626</v>
      </c>
      <c r="Q110">
        <f t="shared" si="5"/>
        <v>126</v>
      </c>
      <c r="R110">
        <f t="shared" si="6"/>
        <v>171</v>
      </c>
      <c r="S110" s="1">
        <f t="shared" si="7"/>
        <v>0.99206349206349209</v>
      </c>
      <c r="T110">
        <f t="shared" si="8"/>
        <v>1.26</v>
      </c>
      <c r="U110" t="str">
        <f t="shared" si="9"/>
        <v>Feb</v>
      </c>
    </row>
    <row r="111" spans="1:21">
      <c r="A111" s="2">
        <v>46080</v>
      </c>
      <c r="B111" t="s">
        <v>4</v>
      </c>
      <c r="C111" t="s">
        <v>50</v>
      </c>
      <c r="D111" t="s">
        <v>9</v>
      </c>
      <c r="E111" t="s">
        <v>42</v>
      </c>
      <c r="F111" t="s">
        <v>33</v>
      </c>
      <c r="G111">
        <v>25</v>
      </c>
      <c r="H111">
        <v>48</v>
      </c>
      <c r="I111">
        <v>89</v>
      </c>
      <c r="J111">
        <v>96</v>
      </c>
      <c r="K111">
        <v>344</v>
      </c>
      <c r="L111">
        <v>134</v>
      </c>
      <c r="M111">
        <v>1957.95</v>
      </c>
      <c r="N111">
        <v>69861</v>
      </c>
      <c r="O111">
        <v>1106.1099999999999</v>
      </c>
      <c r="P111" s="1">
        <v>0.57199999999999995</v>
      </c>
      <c r="Q111">
        <f t="shared" si="5"/>
        <v>73</v>
      </c>
      <c r="R111">
        <f t="shared" si="6"/>
        <v>144</v>
      </c>
      <c r="S111" s="1">
        <f t="shared" si="7"/>
        <v>-0.21917808219178081</v>
      </c>
      <c r="T111">
        <f t="shared" si="8"/>
        <v>0.73</v>
      </c>
      <c r="U111" t="str">
        <f t="shared" si="9"/>
        <v>Feb</v>
      </c>
    </row>
    <row r="112" spans="1:21">
      <c r="A112" s="2">
        <v>46071</v>
      </c>
      <c r="B112" t="s">
        <v>6</v>
      </c>
      <c r="C112" t="s">
        <v>51</v>
      </c>
      <c r="D112" t="s">
        <v>10</v>
      </c>
      <c r="E112" t="s">
        <v>37</v>
      </c>
      <c r="F112" t="s">
        <v>45</v>
      </c>
      <c r="G112">
        <v>7</v>
      </c>
      <c r="H112">
        <v>34</v>
      </c>
      <c r="I112">
        <v>76</v>
      </c>
      <c r="J112">
        <v>155</v>
      </c>
      <c r="K112">
        <v>185</v>
      </c>
      <c r="L112">
        <v>87.3</v>
      </c>
      <c r="M112">
        <v>2422.62</v>
      </c>
      <c r="N112">
        <v>65092</v>
      </c>
      <c r="O112">
        <v>1478.67</v>
      </c>
      <c r="P112" s="1">
        <v>-1.4E-2</v>
      </c>
      <c r="Q112">
        <f t="shared" si="5"/>
        <v>41</v>
      </c>
      <c r="R112">
        <f t="shared" si="6"/>
        <v>189</v>
      </c>
      <c r="S112" s="1">
        <f t="shared" si="7"/>
        <v>-0.85365853658536583</v>
      </c>
      <c r="T112">
        <f t="shared" si="8"/>
        <v>0.41</v>
      </c>
      <c r="U112" t="str">
        <f t="shared" si="9"/>
        <v>Feb</v>
      </c>
    </row>
    <row r="113" spans="1:21">
      <c r="A113" s="2">
        <v>46114</v>
      </c>
      <c r="B113" t="s">
        <v>4</v>
      </c>
      <c r="C113" t="s">
        <v>48</v>
      </c>
      <c r="D113" t="s">
        <v>11</v>
      </c>
      <c r="E113" t="s">
        <v>42</v>
      </c>
      <c r="F113" t="s">
        <v>49</v>
      </c>
      <c r="G113">
        <v>87</v>
      </c>
      <c r="H113">
        <v>71</v>
      </c>
      <c r="I113">
        <v>18</v>
      </c>
      <c r="J113">
        <v>100</v>
      </c>
      <c r="K113">
        <v>322</v>
      </c>
      <c r="L113">
        <v>136.91</v>
      </c>
      <c r="M113">
        <v>2441.7199999999998</v>
      </c>
      <c r="N113">
        <v>67620</v>
      </c>
      <c r="O113">
        <v>1145.42</v>
      </c>
      <c r="P113" s="1">
        <v>-0.14699999999999999</v>
      </c>
      <c r="Q113">
        <f t="shared" si="5"/>
        <v>158</v>
      </c>
      <c r="R113">
        <f t="shared" si="6"/>
        <v>171</v>
      </c>
      <c r="S113" s="1">
        <f t="shared" si="7"/>
        <v>0.88607594936708856</v>
      </c>
      <c r="T113">
        <f t="shared" si="8"/>
        <v>1.58</v>
      </c>
      <c r="U113" t="str">
        <f t="shared" si="9"/>
        <v>Apr</v>
      </c>
    </row>
    <row r="114" spans="1:21">
      <c r="A114" s="2">
        <v>46082</v>
      </c>
      <c r="B114" t="s">
        <v>4</v>
      </c>
      <c r="C114" t="s">
        <v>50</v>
      </c>
      <c r="D114" t="s">
        <v>10</v>
      </c>
      <c r="E114" t="s">
        <v>42</v>
      </c>
      <c r="F114" t="s">
        <v>49</v>
      </c>
      <c r="G114">
        <v>67</v>
      </c>
      <c r="H114">
        <v>20</v>
      </c>
      <c r="I114">
        <v>44</v>
      </c>
      <c r="J114">
        <v>19</v>
      </c>
      <c r="K114">
        <v>253</v>
      </c>
      <c r="L114">
        <v>128.97999999999999</v>
      </c>
      <c r="M114">
        <v>2406.35</v>
      </c>
      <c r="N114">
        <v>68513</v>
      </c>
      <c r="O114">
        <v>1238.57</v>
      </c>
      <c r="P114" s="1">
        <v>-0.58399999999999996</v>
      </c>
      <c r="Q114">
        <f t="shared" si="5"/>
        <v>87</v>
      </c>
      <c r="R114">
        <f t="shared" si="6"/>
        <v>39</v>
      </c>
      <c r="S114" s="1">
        <f t="shared" si="7"/>
        <v>0.4942528735632184</v>
      </c>
      <c r="T114">
        <f t="shared" si="8"/>
        <v>0.87</v>
      </c>
      <c r="U114" t="str">
        <f t="shared" si="9"/>
        <v>Mar</v>
      </c>
    </row>
    <row r="115" spans="1:21">
      <c r="A115" s="2">
        <v>46088</v>
      </c>
      <c r="B115" t="s">
        <v>4</v>
      </c>
      <c r="C115" t="s">
        <v>31</v>
      </c>
      <c r="D115" t="s">
        <v>11</v>
      </c>
      <c r="E115" t="s">
        <v>32</v>
      </c>
      <c r="F115" t="s">
        <v>49</v>
      </c>
      <c r="G115">
        <v>24</v>
      </c>
      <c r="H115">
        <v>55</v>
      </c>
      <c r="I115">
        <v>16</v>
      </c>
      <c r="J115">
        <v>72</v>
      </c>
      <c r="K115">
        <v>69</v>
      </c>
      <c r="L115">
        <v>91.1</v>
      </c>
      <c r="M115">
        <v>2101.08</v>
      </c>
      <c r="N115">
        <v>67960</v>
      </c>
      <c r="O115">
        <v>1028.8599999999999</v>
      </c>
      <c r="P115" s="1">
        <v>0.7</v>
      </c>
      <c r="Q115">
        <f t="shared" si="5"/>
        <v>79</v>
      </c>
      <c r="R115">
        <f t="shared" si="6"/>
        <v>127</v>
      </c>
      <c r="S115" s="1">
        <f t="shared" si="7"/>
        <v>0.79746835443037978</v>
      </c>
      <c r="T115">
        <f t="shared" si="8"/>
        <v>0.79</v>
      </c>
      <c r="U115" t="str">
        <f t="shared" si="9"/>
        <v>Mar</v>
      </c>
    </row>
    <row r="116" spans="1:21">
      <c r="A116" s="2">
        <v>46121</v>
      </c>
      <c r="B116" t="s">
        <v>4</v>
      </c>
      <c r="C116" t="s">
        <v>44</v>
      </c>
      <c r="D116" t="s">
        <v>7</v>
      </c>
      <c r="E116" t="s">
        <v>32</v>
      </c>
      <c r="F116" t="s">
        <v>49</v>
      </c>
      <c r="G116">
        <v>98</v>
      </c>
      <c r="H116">
        <v>10</v>
      </c>
      <c r="I116">
        <v>51</v>
      </c>
      <c r="J116">
        <v>75</v>
      </c>
      <c r="K116">
        <v>389</v>
      </c>
      <c r="L116">
        <v>83.51</v>
      </c>
      <c r="M116">
        <v>2391.4</v>
      </c>
      <c r="N116">
        <v>75995</v>
      </c>
      <c r="O116">
        <v>1637.74</v>
      </c>
      <c r="P116" s="1">
        <v>-0.252</v>
      </c>
      <c r="Q116">
        <f t="shared" si="5"/>
        <v>108</v>
      </c>
      <c r="R116">
        <f t="shared" si="6"/>
        <v>85</v>
      </c>
      <c r="S116" s="1">
        <f t="shared" si="7"/>
        <v>0.52777777777777779</v>
      </c>
      <c r="T116">
        <f t="shared" si="8"/>
        <v>1.08</v>
      </c>
      <c r="U116" t="str">
        <f t="shared" si="9"/>
        <v>Apr</v>
      </c>
    </row>
    <row r="117" spans="1:21">
      <c r="A117" s="2">
        <v>46083</v>
      </c>
      <c r="B117" t="s">
        <v>4</v>
      </c>
      <c r="C117" t="s">
        <v>50</v>
      </c>
      <c r="D117" t="s">
        <v>11</v>
      </c>
      <c r="E117" t="s">
        <v>47</v>
      </c>
      <c r="F117" t="s">
        <v>39</v>
      </c>
      <c r="G117">
        <v>106</v>
      </c>
      <c r="H117">
        <v>11</v>
      </c>
      <c r="I117">
        <v>45</v>
      </c>
      <c r="J117">
        <v>103</v>
      </c>
      <c r="K117">
        <v>160</v>
      </c>
      <c r="L117">
        <v>139.41999999999999</v>
      </c>
      <c r="M117">
        <v>2387.36</v>
      </c>
      <c r="N117">
        <v>69496</v>
      </c>
      <c r="O117">
        <v>1392.96</v>
      </c>
      <c r="P117" s="1">
        <v>0.496</v>
      </c>
      <c r="Q117">
        <f t="shared" si="5"/>
        <v>117</v>
      </c>
      <c r="R117">
        <f t="shared" si="6"/>
        <v>114</v>
      </c>
      <c r="S117" s="1">
        <f t="shared" si="7"/>
        <v>0.61538461538461542</v>
      </c>
      <c r="T117">
        <f t="shared" si="8"/>
        <v>1.17</v>
      </c>
      <c r="U117" t="str">
        <f t="shared" si="9"/>
        <v>Mar</v>
      </c>
    </row>
    <row r="118" spans="1:21">
      <c r="A118" s="2">
        <v>46127</v>
      </c>
      <c r="B118" t="s">
        <v>4</v>
      </c>
      <c r="C118" t="s">
        <v>40</v>
      </c>
      <c r="D118" t="s">
        <v>9</v>
      </c>
      <c r="E118" t="s">
        <v>41</v>
      </c>
      <c r="F118" t="s">
        <v>49</v>
      </c>
      <c r="G118">
        <v>103</v>
      </c>
      <c r="H118">
        <v>63</v>
      </c>
      <c r="I118">
        <v>56</v>
      </c>
      <c r="J118">
        <v>70</v>
      </c>
      <c r="K118">
        <v>196</v>
      </c>
      <c r="L118">
        <v>139.22</v>
      </c>
      <c r="M118">
        <v>2153.5300000000002</v>
      </c>
      <c r="N118">
        <v>74649</v>
      </c>
      <c r="O118">
        <v>1433.58</v>
      </c>
      <c r="P118" s="1">
        <v>-0.23200000000000001</v>
      </c>
      <c r="Q118">
        <f t="shared" si="5"/>
        <v>166</v>
      </c>
      <c r="R118">
        <f t="shared" si="6"/>
        <v>133</v>
      </c>
      <c r="S118" s="1">
        <f t="shared" si="7"/>
        <v>0.66265060240963858</v>
      </c>
      <c r="T118">
        <f t="shared" si="8"/>
        <v>1.66</v>
      </c>
      <c r="U118" t="str">
        <f t="shared" si="9"/>
        <v>Apr</v>
      </c>
    </row>
    <row r="119" spans="1:21">
      <c r="A119" s="2">
        <v>46103</v>
      </c>
      <c r="B119" t="s">
        <v>4</v>
      </c>
      <c r="C119" t="s">
        <v>31</v>
      </c>
      <c r="D119" t="s">
        <v>5</v>
      </c>
      <c r="E119" t="s">
        <v>32</v>
      </c>
      <c r="F119" t="s">
        <v>33</v>
      </c>
      <c r="G119">
        <v>8</v>
      </c>
      <c r="H119">
        <v>53</v>
      </c>
      <c r="I119">
        <v>26</v>
      </c>
      <c r="J119">
        <v>4</v>
      </c>
      <c r="K119">
        <v>248</v>
      </c>
      <c r="L119">
        <v>91.01</v>
      </c>
      <c r="M119">
        <v>2355.2399999999998</v>
      </c>
      <c r="N119">
        <v>75962</v>
      </c>
      <c r="O119">
        <v>1798.83</v>
      </c>
      <c r="P119" s="1">
        <v>-0.98399999999999999</v>
      </c>
      <c r="Q119">
        <f t="shared" si="5"/>
        <v>61</v>
      </c>
      <c r="R119">
        <f t="shared" si="6"/>
        <v>57</v>
      </c>
      <c r="S119" s="1">
        <f t="shared" si="7"/>
        <v>0.57377049180327866</v>
      </c>
      <c r="T119">
        <f t="shared" si="8"/>
        <v>0.61</v>
      </c>
      <c r="U119" t="str">
        <f t="shared" si="9"/>
        <v>Mar</v>
      </c>
    </row>
    <row r="120" spans="1:21">
      <c r="A120" s="2">
        <v>46116</v>
      </c>
      <c r="B120" t="s">
        <v>4</v>
      </c>
      <c r="C120" t="s">
        <v>40</v>
      </c>
      <c r="D120" t="s">
        <v>7</v>
      </c>
      <c r="E120" t="s">
        <v>35</v>
      </c>
      <c r="F120" t="s">
        <v>49</v>
      </c>
      <c r="G120">
        <v>88</v>
      </c>
      <c r="H120">
        <v>0</v>
      </c>
      <c r="I120">
        <v>22</v>
      </c>
      <c r="J120">
        <v>83</v>
      </c>
      <c r="K120">
        <v>338</v>
      </c>
      <c r="L120">
        <v>113.99</v>
      </c>
      <c r="M120">
        <v>2214.1799999999998</v>
      </c>
      <c r="N120">
        <v>66401</v>
      </c>
      <c r="O120">
        <v>1793.59</v>
      </c>
      <c r="P120" s="1">
        <v>-0.38700000000000001</v>
      </c>
      <c r="Q120">
        <f t="shared" si="5"/>
        <v>88</v>
      </c>
      <c r="R120">
        <f t="shared" si="6"/>
        <v>83</v>
      </c>
      <c r="S120" s="1">
        <f t="shared" si="7"/>
        <v>0.75</v>
      </c>
      <c r="T120">
        <f t="shared" si="8"/>
        <v>0.88</v>
      </c>
      <c r="U120" t="str">
        <f t="shared" si="9"/>
        <v>Apr</v>
      </c>
    </row>
    <row r="121" spans="1:21">
      <c r="A121" s="2">
        <v>46072</v>
      </c>
      <c r="B121" t="s">
        <v>4</v>
      </c>
      <c r="C121" t="s">
        <v>43</v>
      </c>
      <c r="D121" t="s">
        <v>5</v>
      </c>
      <c r="E121" t="s">
        <v>32</v>
      </c>
      <c r="F121" t="s">
        <v>49</v>
      </c>
      <c r="G121">
        <v>85</v>
      </c>
      <c r="H121">
        <v>10</v>
      </c>
      <c r="I121">
        <v>84</v>
      </c>
      <c r="J121">
        <v>135</v>
      </c>
      <c r="K121">
        <v>153</v>
      </c>
      <c r="L121">
        <v>105.71</v>
      </c>
      <c r="M121">
        <v>2229.8000000000002</v>
      </c>
      <c r="N121">
        <v>68151</v>
      </c>
      <c r="O121">
        <v>902.78</v>
      </c>
      <c r="P121" s="1">
        <v>0.748</v>
      </c>
      <c r="Q121">
        <f t="shared" si="5"/>
        <v>95</v>
      </c>
      <c r="R121">
        <f t="shared" si="6"/>
        <v>145</v>
      </c>
      <c r="S121" s="1">
        <f t="shared" si="7"/>
        <v>0.11578947368421053</v>
      </c>
      <c r="T121">
        <f t="shared" si="8"/>
        <v>0.95</v>
      </c>
      <c r="U121" t="str">
        <f t="shared" si="9"/>
        <v>Feb</v>
      </c>
    </row>
    <row r="122" spans="1:21">
      <c r="A122" s="2">
        <v>46111</v>
      </c>
      <c r="B122" t="s">
        <v>6</v>
      </c>
      <c r="C122" t="s">
        <v>34</v>
      </c>
      <c r="D122" t="s">
        <v>5</v>
      </c>
      <c r="E122" t="s">
        <v>38</v>
      </c>
      <c r="F122" t="s">
        <v>49</v>
      </c>
      <c r="G122">
        <v>48</v>
      </c>
      <c r="H122">
        <v>74</v>
      </c>
      <c r="I122">
        <v>37</v>
      </c>
      <c r="J122">
        <v>140</v>
      </c>
      <c r="K122">
        <v>205</v>
      </c>
      <c r="L122">
        <v>94.35</v>
      </c>
      <c r="M122">
        <v>2360.8200000000002</v>
      </c>
      <c r="N122">
        <v>74679</v>
      </c>
      <c r="O122">
        <v>1195.1099999999999</v>
      </c>
      <c r="P122" s="1">
        <v>0.54700000000000004</v>
      </c>
      <c r="Q122">
        <f t="shared" si="5"/>
        <v>122</v>
      </c>
      <c r="R122">
        <f t="shared" si="6"/>
        <v>214</v>
      </c>
      <c r="S122" s="1">
        <f t="shared" si="7"/>
        <v>0.69672131147540983</v>
      </c>
      <c r="T122">
        <f t="shared" si="8"/>
        <v>1.22</v>
      </c>
      <c r="U122" t="str">
        <f t="shared" si="9"/>
        <v>Mar</v>
      </c>
    </row>
    <row r="123" spans="1:21">
      <c r="A123" s="2">
        <v>46076</v>
      </c>
      <c r="B123" t="s">
        <v>6</v>
      </c>
      <c r="C123" t="s">
        <v>51</v>
      </c>
      <c r="D123" t="s">
        <v>9</v>
      </c>
      <c r="E123" t="s">
        <v>47</v>
      </c>
      <c r="F123" t="s">
        <v>33</v>
      </c>
      <c r="G123">
        <v>31</v>
      </c>
      <c r="H123">
        <v>60</v>
      </c>
      <c r="I123">
        <v>75</v>
      </c>
      <c r="J123">
        <v>128</v>
      </c>
      <c r="K123">
        <v>163</v>
      </c>
      <c r="L123">
        <v>116.76</v>
      </c>
      <c r="M123">
        <v>2084.61</v>
      </c>
      <c r="N123">
        <v>73266</v>
      </c>
      <c r="O123">
        <v>1145.74</v>
      </c>
      <c r="P123" s="1">
        <v>0.55800000000000005</v>
      </c>
      <c r="Q123">
        <f t="shared" si="5"/>
        <v>91</v>
      </c>
      <c r="R123">
        <f t="shared" si="6"/>
        <v>188</v>
      </c>
      <c r="S123" s="1">
        <f t="shared" si="7"/>
        <v>0.17582417582417584</v>
      </c>
      <c r="T123">
        <f t="shared" si="8"/>
        <v>0.91</v>
      </c>
      <c r="U123" t="str">
        <f t="shared" si="9"/>
        <v>Feb</v>
      </c>
    </row>
    <row r="124" spans="1:21">
      <c r="A124" s="2">
        <v>46094</v>
      </c>
      <c r="B124" t="s">
        <v>6</v>
      </c>
      <c r="C124" t="s">
        <v>40</v>
      </c>
      <c r="D124" t="s">
        <v>5</v>
      </c>
      <c r="E124" t="s">
        <v>47</v>
      </c>
      <c r="F124" t="s">
        <v>39</v>
      </c>
      <c r="G124">
        <v>118</v>
      </c>
      <c r="H124">
        <v>24</v>
      </c>
      <c r="I124">
        <v>36</v>
      </c>
      <c r="J124">
        <v>23</v>
      </c>
      <c r="K124">
        <v>0</v>
      </c>
      <c r="L124">
        <v>133.72999999999999</v>
      </c>
      <c r="M124">
        <v>1996.82</v>
      </c>
      <c r="N124">
        <v>69993</v>
      </c>
      <c r="O124">
        <v>1331.98</v>
      </c>
      <c r="P124" s="1">
        <v>0.58499999999999996</v>
      </c>
      <c r="Q124">
        <f t="shared" si="5"/>
        <v>142</v>
      </c>
      <c r="R124">
        <f t="shared" si="6"/>
        <v>47</v>
      </c>
      <c r="S124" s="1">
        <f t="shared" si="7"/>
        <v>0.74647887323943662</v>
      </c>
      <c r="T124">
        <f t="shared" si="8"/>
        <v>1.42</v>
      </c>
      <c r="U124" t="str">
        <f t="shared" si="9"/>
        <v>Mar</v>
      </c>
    </row>
    <row r="125" spans="1:21">
      <c r="A125" s="2">
        <v>46126</v>
      </c>
      <c r="B125" t="s">
        <v>6</v>
      </c>
      <c r="C125" t="s">
        <v>43</v>
      </c>
      <c r="D125" t="s">
        <v>10</v>
      </c>
      <c r="E125" t="s">
        <v>37</v>
      </c>
      <c r="F125" t="s">
        <v>39</v>
      </c>
      <c r="G125">
        <v>2</v>
      </c>
      <c r="H125">
        <v>27</v>
      </c>
      <c r="I125">
        <v>55</v>
      </c>
      <c r="J125">
        <v>48</v>
      </c>
      <c r="K125">
        <v>92</v>
      </c>
      <c r="L125">
        <v>124.75</v>
      </c>
      <c r="M125">
        <v>2289.16</v>
      </c>
      <c r="N125">
        <v>64461</v>
      </c>
      <c r="O125">
        <v>1517.32</v>
      </c>
      <c r="P125" s="1">
        <v>-9.6000000000000002E-2</v>
      </c>
      <c r="Q125">
        <f t="shared" si="5"/>
        <v>29</v>
      </c>
      <c r="R125">
        <f t="shared" si="6"/>
        <v>75</v>
      </c>
      <c r="S125" s="1">
        <f t="shared" si="7"/>
        <v>-0.89655172413793105</v>
      </c>
      <c r="T125">
        <f t="shared" si="8"/>
        <v>0.28999999999999998</v>
      </c>
      <c r="U125" t="str">
        <f t="shared" si="9"/>
        <v>Apr</v>
      </c>
    </row>
    <row r="126" spans="1:21">
      <c r="A126" s="2">
        <v>46122</v>
      </c>
      <c r="B126" t="s">
        <v>6</v>
      </c>
      <c r="C126" t="s">
        <v>34</v>
      </c>
      <c r="D126" t="s">
        <v>11</v>
      </c>
      <c r="E126" t="s">
        <v>38</v>
      </c>
      <c r="F126" t="s">
        <v>33</v>
      </c>
      <c r="G126">
        <v>51</v>
      </c>
      <c r="H126">
        <v>35</v>
      </c>
      <c r="I126">
        <v>80</v>
      </c>
      <c r="J126">
        <v>96</v>
      </c>
      <c r="K126">
        <v>303</v>
      </c>
      <c r="L126">
        <v>93.89</v>
      </c>
      <c r="M126">
        <v>2244.17</v>
      </c>
      <c r="N126">
        <v>71466</v>
      </c>
      <c r="O126">
        <v>1519.06</v>
      </c>
      <c r="P126" s="1">
        <v>-0.60699999999999998</v>
      </c>
      <c r="Q126">
        <f t="shared" si="5"/>
        <v>86</v>
      </c>
      <c r="R126">
        <f t="shared" si="6"/>
        <v>131</v>
      </c>
      <c r="S126" s="1">
        <f t="shared" si="7"/>
        <v>6.9767441860465115E-2</v>
      </c>
      <c r="T126">
        <f t="shared" si="8"/>
        <v>0.86</v>
      </c>
      <c r="U126" t="str">
        <f t="shared" si="9"/>
        <v>Apr</v>
      </c>
    </row>
    <row r="127" spans="1:21">
      <c r="A127" s="2">
        <v>46111</v>
      </c>
      <c r="B127" t="s">
        <v>4</v>
      </c>
      <c r="C127" t="s">
        <v>51</v>
      </c>
      <c r="D127" t="s">
        <v>10</v>
      </c>
      <c r="E127" t="s">
        <v>47</v>
      </c>
      <c r="F127" t="s">
        <v>33</v>
      </c>
      <c r="G127">
        <v>113</v>
      </c>
      <c r="H127">
        <v>61</v>
      </c>
      <c r="I127">
        <v>36</v>
      </c>
      <c r="J127">
        <v>36</v>
      </c>
      <c r="K127">
        <v>65</v>
      </c>
      <c r="L127">
        <v>114.35</v>
      </c>
      <c r="M127">
        <v>2127.2600000000002</v>
      </c>
      <c r="N127">
        <v>68437</v>
      </c>
      <c r="O127">
        <v>1663.08</v>
      </c>
      <c r="P127" s="1">
        <v>0.52300000000000002</v>
      </c>
      <c r="Q127">
        <f t="shared" si="5"/>
        <v>174</v>
      </c>
      <c r="R127">
        <f t="shared" si="6"/>
        <v>97</v>
      </c>
      <c r="S127" s="1">
        <f t="shared" si="7"/>
        <v>0.7931034482758621</v>
      </c>
      <c r="T127">
        <f t="shared" si="8"/>
        <v>1.74</v>
      </c>
      <c r="U127" t="str">
        <f t="shared" si="9"/>
        <v>Mar</v>
      </c>
    </row>
    <row r="128" spans="1:21">
      <c r="A128" s="2">
        <v>46115</v>
      </c>
      <c r="B128" t="s">
        <v>6</v>
      </c>
      <c r="C128" t="s">
        <v>36</v>
      </c>
      <c r="D128" t="s">
        <v>11</v>
      </c>
      <c r="E128" t="s">
        <v>41</v>
      </c>
      <c r="F128" t="s">
        <v>39</v>
      </c>
      <c r="G128">
        <v>113</v>
      </c>
      <c r="H128">
        <v>13</v>
      </c>
      <c r="I128">
        <v>41</v>
      </c>
      <c r="J128">
        <v>12</v>
      </c>
      <c r="K128">
        <v>213</v>
      </c>
      <c r="L128">
        <v>88.44</v>
      </c>
      <c r="M128">
        <v>1916.71</v>
      </c>
      <c r="N128">
        <v>71168</v>
      </c>
      <c r="O128">
        <v>1618.9</v>
      </c>
      <c r="P128" s="1">
        <v>0.252</v>
      </c>
      <c r="Q128">
        <f t="shared" si="5"/>
        <v>126</v>
      </c>
      <c r="R128">
        <f t="shared" si="6"/>
        <v>25</v>
      </c>
      <c r="S128" s="1">
        <f t="shared" si="7"/>
        <v>0.67460317460317465</v>
      </c>
      <c r="T128">
        <f t="shared" si="8"/>
        <v>1.26</v>
      </c>
      <c r="U128" t="str">
        <f t="shared" si="9"/>
        <v>Apr</v>
      </c>
    </row>
    <row r="129" spans="1:21">
      <c r="A129" s="2">
        <v>46091</v>
      </c>
      <c r="B129" t="s">
        <v>4</v>
      </c>
      <c r="C129" t="s">
        <v>31</v>
      </c>
      <c r="D129" t="s">
        <v>10</v>
      </c>
      <c r="E129" t="s">
        <v>38</v>
      </c>
      <c r="F129" t="s">
        <v>33</v>
      </c>
      <c r="G129">
        <v>103</v>
      </c>
      <c r="H129">
        <v>66</v>
      </c>
      <c r="I129">
        <v>41</v>
      </c>
      <c r="J129">
        <v>73</v>
      </c>
      <c r="K129">
        <v>136</v>
      </c>
      <c r="L129">
        <v>90.35</v>
      </c>
      <c r="M129">
        <v>2290.5300000000002</v>
      </c>
      <c r="N129">
        <v>72178</v>
      </c>
      <c r="O129">
        <v>921.66</v>
      </c>
      <c r="P129" s="1">
        <v>-0.64</v>
      </c>
      <c r="Q129">
        <f t="shared" si="5"/>
        <v>169</v>
      </c>
      <c r="R129">
        <f t="shared" si="6"/>
        <v>139</v>
      </c>
      <c r="S129" s="1">
        <f t="shared" si="7"/>
        <v>0.75739644970414199</v>
      </c>
      <c r="T129">
        <f t="shared" si="8"/>
        <v>1.69</v>
      </c>
      <c r="U129" t="str">
        <f t="shared" si="9"/>
        <v>Mar</v>
      </c>
    </row>
    <row r="130" spans="1:21">
      <c r="A130" s="2">
        <v>46081</v>
      </c>
      <c r="B130" t="s">
        <v>4</v>
      </c>
      <c r="C130" t="s">
        <v>51</v>
      </c>
      <c r="D130" t="s">
        <v>7</v>
      </c>
      <c r="E130" t="s">
        <v>41</v>
      </c>
      <c r="F130" t="s">
        <v>45</v>
      </c>
      <c r="G130">
        <v>90</v>
      </c>
      <c r="H130">
        <v>5</v>
      </c>
      <c r="I130">
        <v>42</v>
      </c>
      <c r="J130">
        <v>10</v>
      </c>
      <c r="K130">
        <v>409</v>
      </c>
      <c r="L130">
        <v>136.26</v>
      </c>
      <c r="M130">
        <v>1969.57</v>
      </c>
      <c r="N130">
        <v>75915</v>
      </c>
      <c r="O130">
        <v>1486.75</v>
      </c>
      <c r="P130" s="1">
        <v>0.251</v>
      </c>
      <c r="Q130">
        <f t="shared" si="5"/>
        <v>95</v>
      </c>
      <c r="R130">
        <f t="shared" si="6"/>
        <v>15</v>
      </c>
      <c r="S130" s="1">
        <f t="shared" si="7"/>
        <v>0.55789473684210522</v>
      </c>
      <c r="T130">
        <f t="shared" si="8"/>
        <v>0.95</v>
      </c>
      <c r="U130" t="str">
        <f t="shared" si="9"/>
        <v>Feb</v>
      </c>
    </row>
    <row r="131" spans="1:21">
      <c r="A131" s="2">
        <v>46118</v>
      </c>
      <c r="B131" t="s">
        <v>6</v>
      </c>
      <c r="C131" t="s">
        <v>40</v>
      </c>
      <c r="D131" t="s">
        <v>7</v>
      </c>
      <c r="E131" t="s">
        <v>37</v>
      </c>
      <c r="F131" t="s">
        <v>49</v>
      </c>
      <c r="G131">
        <v>57</v>
      </c>
      <c r="H131">
        <v>15</v>
      </c>
      <c r="I131">
        <v>41</v>
      </c>
      <c r="J131">
        <v>86</v>
      </c>
      <c r="K131">
        <v>252</v>
      </c>
      <c r="L131">
        <v>86.1</v>
      </c>
      <c r="M131">
        <v>2408.17</v>
      </c>
      <c r="N131">
        <v>75832</v>
      </c>
      <c r="O131">
        <v>1439.8</v>
      </c>
      <c r="P131" s="1">
        <v>-0.69299999999999995</v>
      </c>
      <c r="Q131">
        <f t="shared" ref="Q131:Q194" si="10">G131+H131</f>
        <v>72</v>
      </c>
      <c r="R131">
        <f t="shared" ref="R131:R194" si="11">J131+H131</f>
        <v>101</v>
      </c>
      <c r="S131" s="1">
        <f t="shared" ref="S131:S194" si="12">(Q131-I131)/(Q131)</f>
        <v>0.43055555555555558</v>
      </c>
      <c r="T131">
        <f t="shared" ref="T131:T194" si="13">Q131/100</f>
        <v>0.72</v>
      </c>
      <c r="U131" t="str">
        <f t="shared" ref="U131:U194" si="14">TEXT(A131,"mmm")</f>
        <v>Apr</v>
      </c>
    </row>
    <row r="132" spans="1:21">
      <c r="A132" s="2">
        <v>46107</v>
      </c>
      <c r="B132" t="s">
        <v>6</v>
      </c>
      <c r="C132" t="s">
        <v>46</v>
      </c>
      <c r="D132" t="s">
        <v>9</v>
      </c>
      <c r="E132" t="s">
        <v>41</v>
      </c>
      <c r="F132" t="s">
        <v>45</v>
      </c>
      <c r="G132">
        <v>64</v>
      </c>
      <c r="H132">
        <v>79</v>
      </c>
      <c r="I132">
        <v>63</v>
      </c>
      <c r="J132">
        <v>22</v>
      </c>
      <c r="K132">
        <v>9</v>
      </c>
      <c r="L132">
        <v>80.040000000000006</v>
      </c>
      <c r="M132">
        <v>2257.8000000000002</v>
      </c>
      <c r="N132">
        <v>74389</v>
      </c>
      <c r="O132">
        <v>1478.07</v>
      </c>
      <c r="P132" s="1">
        <v>0.71599999999999997</v>
      </c>
      <c r="Q132">
        <f t="shared" si="10"/>
        <v>143</v>
      </c>
      <c r="R132">
        <f t="shared" si="11"/>
        <v>101</v>
      </c>
      <c r="S132" s="1">
        <f t="shared" si="12"/>
        <v>0.55944055944055948</v>
      </c>
      <c r="T132">
        <f t="shared" si="13"/>
        <v>1.43</v>
      </c>
      <c r="U132" t="str">
        <f t="shared" si="14"/>
        <v>Mar</v>
      </c>
    </row>
    <row r="133" spans="1:21">
      <c r="A133" s="2">
        <v>46071</v>
      </c>
      <c r="B133" t="s">
        <v>4</v>
      </c>
      <c r="C133" t="s">
        <v>36</v>
      </c>
      <c r="D133" t="s">
        <v>5</v>
      </c>
      <c r="E133" t="s">
        <v>41</v>
      </c>
      <c r="F133" t="s">
        <v>49</v>
      </c>
      <c r="G133">
        <v>115</v>
      </c>
      <c r="H133">
        <v>22</v>
      </c>
      <c r="I133">
        <v>7</v>
      </c>
      <c r="J133">
        <v>99</v>
      </c>
      <c r="K133">
        <v>152</v>
      </c>
      <c r="L133">
        <v>91.76</v>
      </c>
      <c r="M133">
        <v>2294.5700000000002</v>
      </c>
      <c r="N133">
        <v>68392</v>
      </c>
      <c r="O133">
        <v>1133.95</v>
      </c>
      <c r="P133" s="1">
        <v>-0.48499999999999999</v>
      </c>
      <c r="Q133">
        <f t="shared" si="10"/>
        <v>137</v>
      </c>
      <c r="R133">
        <f t="shared" si="11"/>
        <v>121</v>
      </c>
      <c r="S133" s="1">
        <f t="shared" si="12"/>
        <v>0.94890510948905105</v>
      </c>
      <c r="T133">
        <f t="shared" si="13"/>
        <v>1.37</v>
      </c>
      <c r="U133" t="str">
        <f t="shared" si="14"/>
        <v>Feb</v>
      </c>
    </row>
    <row r="134" spans="1:21">
      <c r="A134" s="2">
        <v>46097</v>
      </c>
      <c r="B134" t="s">
        <v>6</v>
      </c>
      <c r="C134" t="s">
        <v>48</v>
      </c>
      <c r="D134" t="s">
        <v>9</v>
      </c>
      <c r="E134" t="s">
        <v>35</v>
      </c>
      <c r="F134" t="s">
        <v>33</v>
      </c>
      <c r="G134">
        <v>49</v>
      </c>
      <c r="H134">
        <v>39</v>
      </c>
      <c r="I134">
        <v>71</v>
      </c>
      <c r="J134">
        <v>98</v>
      </c>
      <c r="K134">
        <v>100</v>
      </c>
      <c r="L134">
        <v>99.87</v>
      </c>
      <c r="M134">
        <v>2093.67</v>
      </c>
      <c r="N134">
        <v>64534</v>
      </c>
      <c r="O134">
        <v>973.66</v>
      </c>
      <c r="P134" s="1">
        <v>-6.7000000000000004E-2</v>
      </c>
      <c r="Q134">
        <f t="shared" si="10"/>
        <v>88</v>
      </c>
      <c r="R134">
        <f t="shared" si="11"/>
        <v>137</v>
      </c>
      <c r="S134" s="1">
        <f t="shared" si="12"/>
        <v>0.19318181818181818</v>
      </c>
      <c r="T134">
        <f t="shared" si="13"/>
        <v>0.88</v>
      </c>
      <c r="U134" t="str">
        <f t="shared" si="14"/>
        <v>Mar</v>
      </c>
    </row>
    <row r="135" spans="1:21">
      <c r="A135" s="2">
        <v>46080</v>
      </c>
      <c r="B135" t="s">
        <v>6</v>
      </c>
      <c r="C135" t="s">
        <v>34</v>
      </c>
      <c r="D135" t="s">
        <v>7</v>
      </c>
      <c r="E135" t="s">
        <v>38</v>
      </c>
      <c r="F135" t="s">
        <v>39</v>
      </c>
      <c r="G135">
        <v>114</v>
      </c>
      <c r="H135">
        <v>37</v>
      </c>
      <c r="I135">
        <v>53</v>
      </c>
      <c r="J135">
        <v>54</v>
      </c>
      <c r="K135">
        <v>251</v>
      </c>
      <c r="L135">
        <v>105.87</v>
      </c>
      <c r="M135">
        <v>1934.57</v>
      </c>
      <c r="N135">
        <v>75068</v>
      </c>
      <c r="O135">
        <v>1112.8599999999999</v>
      </c>
      <c r="P135" s="1">
        <v>-0.67300000000000004</v>
      </c>
      <c r="Q135">
        <f t="shared" si="10"/>
        <v>151</v>
      </c>
      <c r="R135">
        <f t="shared" si="11"/>
        <v>91</v>
      </c>
      <c r="S135" s="1">
        <f t="shared" si="12"/>
        <v>0.64900662251655628</v>
      </c>
      <c r="T135">
        <f t="shared" si="13"/>
        <v>1.51</v>
      </c>
      <c r="U135" t="str">
        <f t="shared" si="14"/>
        <v>Feb</v>
      </c>
    </row>
    <row r="136" spans="1:21">
      <c r="A136" s="2">
        <v>46080</v>
      </c>
      <c r="B136" t="s">
        <v>6</v>
      </c>
      <c r="C136" t="s">
        <v>48</v>
      </c>
      <c r="D136" t="s">
        <v>11</v>
      </c>
      <c r="E136" t="s">
        <v>42</v>
      </c>
      <c r="F136" t="s">
        <v>49</v>
      </c>
      <c r="G136">
        <v>80</v>
      </c>
      <c r="H136">
        <v>54</v>
      </c>
      <c r="I136">
        <v>11</v>
      </c>
      <c r="J136">
        <v>98</v>
      </c>
      <c r="K136">
        <v>373</v>
      </c>
      <c r="L136">
        <v>125.38</v>
      </c>
      <c r="M136">
        <v>2074.7199999999998</v>
      </c>
      <c r="N136">
        <v>75695</v>
      </c>
      <c r="O136">
        <v>1006.22</v>
      </c>
      <c r="P136" s="1">
        <v>-0.29899999999999999</v>
      </c>
      <c r="Q136">
        <f t="shared" si="10"/>
        <v>134</v>
      </c>
      <c r="R136">
        <f t="shared" si="11"/>
        <v>152</v>
      </c>
      <c r="S136" s="1">
        <f t="shared" si="12"/>
        <v>0.91791044776119401</v>
      </c>
      <c r="T136">
        <f t="shared" si="13"/>
        <v>1.34</v>
      </c>
      <c r="U136" t="str">
        <f t="shared" si="14"/>
        <v>Feb</v>
      </c>
    </row>
    <row r="137" spans="1:21">
      <c r="A137" s="2">
        <v>46083</v>
      </c>
      <c r="B137" t="s">
        <v>6</v>
      </c>
      <c r="C137" t="s">
        <v>44</v>
      </c>
      <c r="D137" t="s">
        <v>10</v>
      </c>
      <c r="E137" t="s">
        <v>38</v>
      </c>
      <c r="F137" t="s">
        <v>33</v>
      </c>
      <c r="G137">
        <v>93</v>
      </c>
      <c r="H137">
        <v>16</v>
      </c>
      <c r="I137">
        <v>67</v>
      </c>
      <c r="J137">
        <v>75</v>
      </c>
      <c r="K137">
        <v>131</v>
      </c>
      <c r="L137">
        <v>121.19</v>
      </c>
      <c r="M137">
        <v>2043.11</v>
      </c>
      <c r="N137">
        <v>66817</v>
      </c>
      <c r="O137">
        <v>1324.28</v>
      </c>
      <c r="P137" s="1">
        <v>-0.54500000000000004</v>
      </c>
      <c r="Q137">
        <f t="shared" si="10"/>
        <v>109</v>
      </c>
      <c r="R137">
        <f t="shared" si="11"/>
        <v>91</v>
      </c>
      <c r="S137" s="1">
        <f t="shared" si="12"/>
        <v>0.38532110091743121</v>
      </c>
      <c r="T137">
        <f t="shared" si="13"/>
        <v>1.0900000000000001</v>
      </c>
      <c r="U137" t="str">
        <f t="shared" si="14"/>
        <v>Mar</v>
      </c>
    </row>
    <row r="138" spans="1:21">
      <c r="A138" s="2">
        <v>46097</v>
      </c>
      <c r="B138" t="s">
        <v>6</v>
      </c>
      <c r="C138" t="s">
        <v>50</v>
      </c>
      <c r="D138" t="s">
        <v>11</v>
      </c>
      <c r="E138" t="s">
        <v>41</v>
      </c>
      <c r="F138" t="s">
        <v>39</v>
      </c>
      <c r="G138">
        <v>80</v>
      </c>
      <c r="H138">
        <v>5</v>
      </c>
      <c r="I138">
        <v>37</v>
      </c>
      <c r="J138">
        <v>143</v>
      </c>
      <c r="K138">
        <v>196</v>
      </c>
      <c r="L138">
        <v>82.48</v>
      </c>
      <c r="M138">
        <v>2047.22</v>
      </c>
      <c r="N138">
        <v>66513</v>
      </c>
      <c r="O138">
        <v>1549.54</v>
      </c>
      <c r="P138" s="1">
        <v>-0.32800000000000001</v>
      </c>
      <c r="Q138">
        <f t="shared" si="10"/>
        <v>85</v>
      </c>
      <c r="R138">
        <f t="shared" si="11"/>
        <v>148</v>
      </c>
      <c r="S138" s="1">
        <f t="shared" si="12"/>
        <v>0.56470588235294117</v>
      </c>
      <c r="T138">
        <f t="shared" si="13"/>
        <v>0.85</v>
      </c>
      <c r="U138" t="str">
        <f t="shared" si="14"/>
        <v>Mar</v>
      </c>
    </row>
    <row r="139" spans="1:21">
      <c r="A139" s="2">
        <v>46076</v>
      </c>
      <c r="B139" t="s">
        <v>6</v>
      </c>
      <c r="C139" t="s">
        <v>51</v>
      </c>
      <c r="D139" t="s">
        <v>5</v>
      </c>
      <c r="E139" t="s">
        <v>37</v>
      </c>
      <c r="F139" t="s">
        <v>39</v>
      </c>
      <c r="G139">
        <v>41</v>
      </c>
      <c r="H139">
        <v>37</v>
      </c>
      <c r="I139">
        <v>24</v>
      </c>
      <c r="J139">
        <v>89</v>
      </c>
      <c r="K139">
        <v>38</v>
      </c>
      <c r="L139">
        <v>99.46</v>
      </c>
      <c r="M139">
        <v>2032.69</v>
      </c>
      <c r="N139">
        <v>70899</v>
      </c>
      <c r="O139">
        <v>1417.1</v>
      </c>
      <c r="P139" s="1">
        <v>0.252</v>
      </c>
      <c r="Q139">
        <f t="shared" si="10"/>
        <v>78</v>
      </c>
      <c r="R139">
        <f t="shared" si="11"/>
        <v>126</v>
      </c>
      <c r="S139" s="1">
        <f t="shared" si="12"/>
        <v>0.69230769230769229</v>
      </c>
      <c r="T139">
        <f t="shared" si="13"/>
        <v>0.78</v>
      </c>
      <c r="U139" t="str">
        <f t="shared" si="14"/>
        <v>Feb</v>
      </c>
    </row>
    <row r="140" spans="1:21">
      <c r="A140" s="2">
        <v>46122</v>
      </c>
      <c r="B140" t="s">
        <v>6</v>
      </c>
      <c r="C140" t="s">
        <v>34</v>
      </c>
      <c r="D140" t="s">
        <v>11</v>
      </c>
      <c r="E140" t="s">
        <v>47</v>
      </c>
      <c r="F140" t="s">
        <v>39</v>
      </c>
      <c r="G140">
        <v>116</v>
      </c>
      <c r="H140">
        <v>17</v>
      </c>
      <c r="I140">
        <v>37</v>
      </c>
      <c r="J140">
        <v>61</v>
      </c>
      <c r="K140">
        <v>379</v>
      </c>
      <c r="L140">
        <v>109.8</v>
      </c>
      <c r="M140">
        <v>2078.17</v>
      </c>
      <c r="N140">
        <v>65617</v>
      </c>
      <c r="O140">
        <v>947.33</v>
      </c>
      <c r="P140" s="1">
        <v>-0.53300000000000003</v>
      </c>
      <c r="Q140">
        <f t="shared" si="10"/>
        <v>133</v>
      </c>
      <c r="R140">
        <f t="shared" si="11"/>
        <v>78</v>
      </c>
      <c r="S140" s="1">
        <f t="shared" si="12"/>
        <v>0.72180451127819545</v>
      </c>
      <c r="T140">
        <f t="shared" si="13"/>
        <v>1.33</v>
      </c>
      <c r="U140" t="str">
        <f t="shared" si="14"/>
        <v>Apr</v>
      </c>
    </row>
    <row r="141" spans="1:21">
      <c r="A141" s="2">
        <v>46106</v>
      </c>
      <c r="B141" t="s">
        <v>4</v>
      </c>
      <c r="C141" t="s">
        <v>34</v>
      </c>
      <c r="D141" t="s">
        <v>9</v>
      </c>
      <c r="E141" t="s">
        <v>32</v>
      </c>
      <c r="F141" t="s">
        <v>33</v>
      </c>
      <c r="G141">
        <v>108</v>
      </c>
      <c r="H141">
        <v>13</v>
      </c>
      <c r="I141">
        <v>73</v>
      </c>
      <c r="J141">
        <v>107</v>
      </c>
      <c r="K141">
        <v>373</v>
      </c>
      <c r="L141">
        <v>115.2</v>
      </c>
      <c r="M141">
        <v>2279.9</v>
      </c>
      <c r="N141">
        <v>72565</v>
      </c>
      <c r="O141">
        <v>1454.91</v>
      </c>
      <c r="P141" s="1">
        <v>-0.39300000000000002</v>
      </c>
      <c r="Q141">
        <f t="shared" si="10"/>
        <v>121</v>
      </c>
      <c r="R141">
        <f t="shared" si="11"/>
        <v>120</v>
      </c>
      <c r="S141" s="1">
        <f t="shared" si="12"/>
        <v>0.39669421487603307</v>
      </c>
      <c r="T141">
        <f t="shared" si="13"/>
        <v>1.21</v>
      </c>
      <c r="U141" t="str">
        <f t="shared" si="14"/>
        <v>Mar</v>
      </c>
    </row>
    <row r="142" spans="1:21">
      <c r="A142" s="2">
        <v>46121</v>
      </c>
      <c r="B142" t="s">
        <v>4</v>
      </c>
      <c r="C142" t="s">
        <v>40</v>
      </c>
      <c r="D142" t="s">
        <v>11</v>
      </c>
      <c r="E142" t="s">
        <v>42</v>
      </c>
      <c r="F142" t="s">
        <v>45</v>
      </c>
      <c r="G142">
        <v>76</v>
      </c>
      <c r="H142">
        <v>66</v>
      </c>
      <c r="I142">
        <v>10</v>
      </c>
      <c r="J142">
        <v>79</v>
      </c>
      <c r="K142">
        <v>13</v>
      </c>
      <c r="L142">
        <v>92.95</v>
      </c>
      <c r="M142">
        <v>2237.64</v>
      </c>
      <c r="N142">
        <v>73206</v>
      </c>
      <c r="O142">
        <v>1721.26</v>
      </c>
      <c r="P142" s="1">
        <v>-0.748</v>
      </c>
      <c r="Q142">
        <f t="shared" si="10"/>
        <v>142</v>
      </c>
      <c r="R142">
        <f t="shared" si="11"/>
        <v>145</v>
      </c>
      <c r="S142" s="1">
        <f t="shared" si="12"/>
        <v>0.92957746478873238</v>
      </c>
      <c r="T142">
        <f t="shared" si="13"/>
        <v>1.42</v>
      </c>
      <c r="U142" t="str">
        <f t="shared" si="14"/>
        <v>Apr</v>
      </c>
    </row>
    <row r="143" spans="1:21">
      <c r="A143" s="2">
        <v>46074</v>
      </c>
      <c r="B143" t="s">
        <v>6</v>
      </c>
      <c r="C143" t="s">
        <v>31</v>
      </c>
      <c r="D143" t="s">
        <v>11</v>
      </c>
      <c r="E143" t="s">
        <v>41</v>
      </c>
      <c r="F143" t="s">
        <v>33</v>
      </c>
      <c r="G143">
        <v>62</v>
      </c>
      <c r="H143">
        <v>57</v>
      </c>
      <c r="I143">
        <v>7</v>
      </c>
      <c r="J143">
        <v>118</v>
      </c>
      <c r="K143">
        <v>99</v>
      </c>
      <c r="L143">
        <v>108.49</v>
      </c>
      <c r="M143">
        <v>2316.4499999999998</v>
      </c>
      <c r="N143">
        <v>68649</v>
      </c>
      <c r="O143">
        <v>943.03</v>
      </c>
      <c r="P143" s="1">
        <v>0.746</v>
      </c>
      <c r="Q143">
        <f t="shared" si="10"/>
        <v>119</v>
      </c>
      <c r="R143">
        <f t="shared" si="11"/>
        <v>175</v>
      </c>
      <c r="S143" s="1">
        <f t="shared" si="12"/>
        <v>0.94117647058823528</v>
      </c>
      <c r="T143">
        <f t="shared" si="13"/>
        <v>1.19</v>
      </c>
      <c r="U143" t="str">
        <f t="shared" si="14"/>
        <v>Feb</v>
      </c>
    </row>
    <row r="144" spans="1:21">
      <c r="A144" s="2">
        <v>46089</v>
      </c>
      <c r="B144" t="s">
        <v>4</v>
      </c>
      <c r="C144" t="s">
        <v>44</v>
      </c>
      <c r="D144" t="s">
        <v>5</v>
      </c>
      <c r="E144" t="s">
        <v>37</v>
      </c>
      <c r="F144" t="s">
        <v>33</v>
      </c>
      <c r="G144">
        <v>29</v>
      </c>
      <c r="H144">
        <v>13</v>
      </c>
      <c r="I144">
        <v>78</v>
      </c>
      <c r="J144">
        <v>120</v>
      </c>
      <c r="K144">
        <v>423</v>
      </c>
      <c r="L144">
        <v>126</v>
      </c>
      <c r="M144">
        <v>2199.25</v>
      </c>
      <c r="N144">
        <v>72581</v>
      </c>
      <c r="O144">
        <v>1305.3599999999999</v>
      </c>
      <c r="P144" s="1">
        <v>-0.76500000000000001</v>
      </c>
      <c r="Q144">
        <f t="shared" si="10"/>
        <v>42</v>
      </c>
      <c r="R144">
        <f t="shared" si="11"/>
        <v>133</v>
      </c>
      <c r="S144" s="1">
        <f t="shared" si="12"/>
        <v>-0.8571428571428571</v>
      </c>
      <c r="T144">
        <f t="shared" si="13"/>
        <v>0.42</v>
      </c>
      <c r="U144" t="str">
        <f t="shared" si="14"/>
        <v>Mar</v>
      </c>
    </row>
    <row r="145" spans="1:21">
      <c r="A145" s="2">
        <v>46112</v>
      </c>
      <c r="B145" t="s">
        <v>6</v>
      </c>
      <c r="C145" t="s">
        <v>44</v>
      </c>
      <c r="D145" t="s">
        <v>10</v>
      </c>
      <c r="E145" t="s">
        <v>35</v>
      </c>
      <c r="F145" t="s">
        <v>49</v>
      </c>
      <c r="G145">
        <v>41</v>
      </c>
      <c r="H145">
        <v>14</v>
      </c>
      <c r="I145">
        <v>33</v>
      </c>
      <c r="J145">
        <v>24</v>
      </c>
      <c r="K145">
        <v>75</v>
      </c>
      <c r="L145">
        <v>125.3</v>
      </c>
      <c r="M145">
        <v>2268.06</v>
      </c>
      <c r="N145">
        <v>71176</v>
      </c>
      <c r="O145">
        <v>1386.77</v>
      </c>
      <c r="P145" s="1">
        <v>-0.78400000000000003</v>
      </c>
      <c r="Q145">
        <f t="shared" si="10"/>
        <v>55</v>
      </c>
      <c r="R145">
        <f t="shared" si="11"/>
        <v>38</v>
      </c>
      <c r="S145" s="1">
        <f t="shared" si="12"/>
        <v>0.4</v>
      </c>
      <c r="T145">
        <f t="shared" si="13"/>
        <v>0.55000000000000004</v>
      </c>
      <c r="U145" t="str">
        <f t="shared" si="14"/>
        <v>Mar</v>
      </c>
    </row>
    <row r="146" spans="1:21">
      <c r="A146" s="2">
        <v>46095</v>
      </c>
      <c r="B146" t="s">
        <v>4</v>
      </c>
      <c r="C146" t="s">
        <v>31</v>
      </c>
      <c r="D146" t="s">
        <v>5</v>
      </c>
      <c r="E146" t="s">
        <v>47</v>
      </c>
      <c r="F146" t="s">
        <v>39</v>
      </c>
      <c r="G146">
        <v>19</v>
      </c>
      <c r="H146">
        <v>7</v>
      </c>
      <c r="I146">
        <v>52</v>
      </c>
      <c r="J146">
        <v>117</v>
      </c>
      <c r="K146">
        <v>347</v>
      </c>
      <c r="L146">
        <v>85.96</v>
      </c>
      <c r="M146">
        <v>1807.36</v>
      </c>
      <c r="N146">
        <v>67238</v>
      </c>
      <c r="O146">
        <v>1255.33</v>
      </c>
      <c r="P146" s="1">
        <v>0.67400000000000004</v>
      </c>
      <c r="Q146">
        <f t="shared" si="10"/>
        <v>26</v>
      </c>
      <c r="R146">
        <f t="shared" si="11"/>
        <v>124</v>
      </c>
      <c r="S146" s="1">
        <f t="shared" si="12"/>
        <v>-1</v>
      </c>
      <c r="T146">
        <f t="shared" si="13"/>
        <v>0.26</v>
      </c>
      <c r="U146" t="str">
        <f t="shared" si="14"/>
        <v>Mar</v>
      </c>
    </row>
    <row r="147" spans="1:21">
      <c r="A147" s="2">
        <v>46075</v>
      </c>
      <c r="B147" t="s">
        <v>6</v>
      </c>
      <c r="C147" t="s">
        <v>46</v>
      </c>
      <c r="D147" t="s">
        <v>9</v>
      </c>
      <c r="E147" t="s">
        <v>42</v>
      </c>
      <c r="F147" t="s">
        <v>45</v>
      </c>
      <c r="G147">
        <v>93</v>
      </c>
      <c r="H147">
        <v>27</v>
      </c>
      <c r="I147">
        <v>7</v>
      </c>
      <c r="J147">
        <v>0</v>
      </c>
      <c r="K147">
        <v>412</v>
      </c>
      <c r="L147">
        <v>101.14</v>
      </c>
      <c r="M147">
        <v>2017.9</v>
      </c>
      <c r="N147">
        <v>65030</v>
      </c>
      <c r="O147">
        <v>1543.65</v>
      </c>
      <c r="P147" s="1">
        <v>-0.315</v>
      </c>
      <c r="Q147">
        <f t="shared" si="10"/>
        <v>120</v>
      </c>
      <c r="R147">
        <f t="shared" si="11"/>
        <v>27</v>
      </c>
      <c r="S147" s="1">
        <f t="shared" si="12"/>
        <v>0.94166666666666665</v>
      </c>
      <c r="T147">
        <f t="shared" si="13"/>
        <v>1.2</v>
      </c>
      <c r="U147" t="str">
        <f t="shared" si="14"/>
        <v>Feb</v>
      </c>
    </row>
    <row r="148" spans="1:21">
      <c r="A148" s="2">
        <v>46085</v>
      </c>
      <c r="B148" t="s">
        <v>6</v>
      </c>
      <c r="C148" t="s">
        <v>46</v>
      </c>
      <c r="D148" t="s">
        <v>7</v>
      </c>
      <c r="E148" t="s">
        <v>47</v>
      </c>
      <c r="F148" t="s">
        <v>49</v>
      </c>
      <c r="G148">
        <v>55</v>
      </c>
      <c r="H148">
        <v>55</v>
      </c>
      <c r="I148">
        <v>66</v>
      </c>
      <c r="J148">
        <v>153</v>
      </c>
      <c r="K148">
        <v>374</v>
      </c>
      <c r="L148">
        <v>121.15</v>
      </c>
      <c r="M148">
        <v>2404.86</v>
      </c>
      <c r="N148">
        <v>72722</v>
      </c>
      <c r="O148">
        <v>1509.53</v>
      </c>
      <c r="P148" s="1">
        <v>0.54</v>
      </c>
      <c r="Q148">
        <f t="shared" si="10"/>
        <v>110</v>
      </c>
      <c r="R148">
        <f t="shared" si="11"/>
        <v>208</v>
      </c>
      <c r="S148" s="1">
        <f t="shared" si="12"/>
        <v>0.4</v>
      </c>
      <c r="T148">
        <f t="shared" si="13"/>
        <v>1.1000000000000001</v>
      </c>
      <c r="U148" t="str">
        <f t="shared" si="14"/>
        <v>Mar</v>
      </c>
    </row>
    <row r="149" spans="1:21">
      <c r="A149" s="2">
        <v>46110</v>
      </c>
      <c r="B149" t="s">
        <v>4</v>
      </c>
      <c r="C149" t="s">
        <v>36</v>
      </c>
      <c r="D149" t="s">
        <v>10</v>
      </c>
      <c r="E149" t="s">
        <v>38</v>
      </c>
      <c r="F149" t="s">
        <v>49</v>
      </c>
      <c r="G149">
        <v>102</v>
      </c>
      <c r="H149">
        <v>67</v>
      </c>
      <c r="I149">
        <v>32</v>
      </c>
      <c r="J149">
        <v>148</v>
      </c>
      <c r="K149">
        <v>201</v>
      </c>
      <c r="L149">
        <v>136.30000000000001</v>
      </c>
      <c r="M149">
        <v>2001.1</v>
      </c>
      <c r="N149">
        <v>68197</v>
      </c>
      <c r="O149">
        <v>1543.08</v>
      </c>
      <c r="P149" s="1">
        <v>0.498</v>
      </c>
      <c r="Q149">
        <f t="shared" si="10"/>
        <v>169</v>
      </c>
      <c r="R149">
        <f t="shared" si="11"/>
        <v>215</v>
      </c>
      <c r="S149" s="1">
        <f t="shared" si="12"/>
        <v>0.81065088757396453</v>
      </c>
      <c r="T149">
        <f t="shared" si="13"/>
        <v>1.69</v>
      </c>
      <c r="U149" t="str">
        <f t="shared" si="14"/>
        <v>Mar</v>
      </c>
    </row>
    <row r="150" spans="1:21">
      <c r="A150" s="2">
        <v>46115</v>
      </c>
      <c r="B150" t="s">
        <v>4</v>
      </c>
      <c r="C150" t="s">
        <v>36</v>
      </c>
      <c r="D150" t="s">
        <v>10</v>
      </c>
      <c r="E150" t="s">
        <v>38</v>
      </c>
      <c r="F150" t="s">
        <v>33</v>
      </c>
      <c r="G150">
        <v>6</v>
      </c>
      <c r="H150">
        <v>25</v>
      </c>
      <c r="I150">
        <v>38</v>
      </c>
      <c r="J150">
        <v>49</v>
      </c>
      <c r="K150">
        <v>428</v>
      </c>
      <c r="L150">
        <v>90.25</v>
      </c>
      <c r="M150">
        <v>2367.25</v>
      </c>
      <c r="N150">
        <v>65272</v>
      </c>
      <c r="O150">
        <v>1702.5</v>
      </c>
      <c r="P150" s="1">
        <v>-0.875</v>
      </c>
      <c r="Q150">
        <f t="shared" si="10"/>
        <v>31</v>
      </c>
      <c r="R150">
        <f t="shared" si="11"/>
        <v>74</v>
      </c>
      <c r="S150" s="1">
        <f t="shared" si="12"/>
        <v>-0.22580645161290322</v>
      </c>
      <c r="T150">
        <f t="shared" si="13"/>
        <v>0.31</v>
      </c>
      <c r="U150" t="str">
        <f t="shared" si="14"/>
        <v>Apr</v>
      </c>
    </row>
    <row r="151" spans="1:21">
      <c r="A151" s="2">
        <v>46073</v>
      </c>
      <c r="B151" t="s">
        <v>4</v>
      </c>
      <c r="C151" t="s">
        <v>46</v>
      </c>
      <c r="D151" t="s">
        <v>9</v>
      </c>
      <c r="E151" t="s">
        <v>35</v>
      </c>
      <c r="F151" t="s">
        <v>33</v>
      </c>
      <c r="G151">
        <v>24</v>
      </c>
      <c r="H151">
        <v>13</v>
      </c>
      <c r="I151">
        <v>36</v>
      </c>
      <c r="J151">
        <v>118</v>
      </c>
      <c r="K151">
        <v>149</v>
      </c>
      <c r="L151">
        <v>102.31</v>
      </c>
      <c r="M151">
        <v>2203.2399999999998</v>
      </c>
      <c r="N151">
        <v>67033</v>
      </c>
      <c r="O151">
        <v>1530.69</v>
      </c>
      <c r="P151" s="1">
        <v>0.55700000000000005</v>
      </c>
      <c r="Q151">
        <f t="shared" si="10"/>
        <v>37</v>
      </c>
      <c r="R151">
        <f t="shared" si="11"/>
        <v>131</v>
      </c>
      <c r="S151" s="1">
        <f t="shared" si="12"/>
        <v>2.7027027027027029E-2</v>
      </c>
      <c r="T151">
        <f t="shared" si="13"/>
        <v>0.37</v>
      </c>
      <c r="U151" t="str">
        <f t="shared" si="14"/>
        <v>Feb</v>
      </c>
    </row>
    <row r="152" spans="1:21">
      <c r="A152" s="2">
        <v>46104</v>
      </c>
      <c r="B152" t="s">
        <v>4</v>
      </c>
      <c r="C152" t="s">
        <v>48</v>
      </c>
      <c r="D152" t="s">
        <v>9</v>
      </c>
      <c r="E152" t="s">
        <v>47</v>
      </c>
      <c r="F152" t="s">
        <v>39</v>
      </c>
      <c r="G152">
        <v>78</v>
      </c>
      <c r="H152">
        <v>28</v>
      </c>
      <c r="I152">
        <v>12</v>
      </c>
      <c r="J152">
        <v>65</v>
      </c>
      <c r="K152">
        <v>38</v>
      </c>
      <c r="L152">
        <v>91.07</v>
      </c>
      <c r="M152">
        <v>2067.23</v>
      </c>
      <c r="N152">
        <v>75781</v>
      </c>
      <c r="O152">
        <v>947.4</v>
      </c>
      <c r="P152" s="1">
        <v>-0.25700000000000001</v>
      </c>
      <c r="Q152">
        <f t="shared" si="10"/>
        <v>106</v>
      </c>
      <c r="R152">
        <f t="shared" si="11"/>
        <v>93</v>
      </c>
      <c r="S152" s="1">
        <f t="shared" si="12"/>
        <v>0.8867924528301887</v>
      </c>
      <c r="T152">
        <f t="shared" si="13"/>
        <v>1.06</v>
      </c>
      <c r="U152" t="str">
        <f t="shared" si="14"/>
        <v>Mar</v>
      </c>
    </row>
    <row r="153" spans="1:21">
      <c r="A153" s="2">
        <v>46120</v>
      </c>
      <c r="B153" t="s">
        <v>6</v>
      </c>
      <c r="C153" t="s">
        <v>44</v>
      </c>
      <c r="D153" t="s">
        <v>9</v>
      </c>
      <c r="E153" t="s">
        <v>35</v>
      </c>
      <c r="F153" t="s">
        <v>49</v>
      </c>
      <c r="G153">
        <v>58</v>
      </c>
      <c r="H153">
        <v>56</v>
      </c>
      <c r="I153">
        <v>21</v>
      </c>
      <c r="J153">
        <v>103</v>
      </c>
      <c r="K153">
        <v>41</v>
      </c>
      <c r="L153">
        <v>125.27</v>
      </c>
      <c r="M153">
        <v>2371.83</v>
      </c>
      <c r="N153">
        <v>71513</v>
      </c>
      <c r="O153">
        <v>1168.77</v>
      </c>
      <c r="P153" s="1">
        <v>0.70299999999999996</v>
      </c>
      <c r="Q153">
        <f t="shared" si="10"/>
        <v>114</v>
      </c>
      <c r="R153">
        <f t="shared" si="11"/>
        <v>159</v>
      </c>
      <c r="S153" s="1">
        <f t="shared" si="12"/>
        <v>0.81578947368421051</v>
      </c>
      <c r="T153">
        <f t="shared" si="13"/>
        <v>1.1399999999999999</v>
      </c>
      <c r="U153" t="str">
        <f t="shared" si="14"/>
        <v>Apr</v>
      </c>
    </row>
    <row r="154" spans="1:21">
      <c r="A154" s="2">
        <v>46109</v>
      </c>
      <c r="B154" t="s">
        <v>6</v>
      </c>
      <c r="C154" t="s">
        <v>48</v>
      </c>
      <c r="D154" t="s">
        <v>11</v>
      </c>
      <c r="E154" t="s">
        <v>38</v>
      </c>
      <c r="F154" t="s">
        <v>33</v>
      </c>
      <c r="G154">
        <v>72</v>
      </c>
      <c r="H154">
        <v>43</v>
      </c>
      <c r="I154">
        <v>70</v>
      </c>
      <c r="J154">
        <v>144</v>
      </c>
      <c r="K154">
        <v>278</v>
      </c>
      <c r="L154">
        <v>135.69</v>
      </c>
      <c r="M154">
        <v>1957.37</v>
      </c>
      <c r="N154">
        <v>71310</v>
      </c>
      <c r="O154">
        <v>1689.34</v>
      </c>
      <c r="P154" s="1">
        <v>-0.53900000000000003</v>
      </c>
      <c r="Q154">
        <f t="shared" si="10"/>
        <v>115</v>
      </c>
      <c r="R154">
        <f t="shared" si="11"/>
        <v>187</v>
      </c>
      <c r="S154" s="1">
        <f t="shared" si="12"/>
        <v>0.39130434782608697</v>
      </c>
      <c r="T154">
        <f t="shared" si="13"/>
        <v>1.1499999999999999</v>
      </c>
      <c r="U154" t="str">
        <f t="shared" si="14"/>
        <v>Mar</v>
      </c>
    </row>
    <row r="155" spans="1:21">
      <c r="A155" s="2">
        <v>46109</v>
      </c>
      <c r="B155" t="s">
        <v>4</v>
      </c>
      <c r="C155" t="s">
        <v>48</v>
      </c>
      <c r="D155" t="s">
        <v>9</v>
      </c>
      <c r="E155" t="s">
        <v>42</v>
      </c>
      <c r="F155" t="s">
        <v>39</v>
      </c>
      <c r="G155">
        <v>67</v>
      </c>
      <c r="H155">
        <v>50</v>
      </c>
      <c r="I155">
        <v>19</v>
      </c>
      <c r="J155">
        <v>134</v>
      </c>
      <c r="K155">
        <v>259</v>
      </c>
      <c r="L155">
        <v>128.41</v>
      </c>
      <c r="M155">
        <v>2335.75</v>
      </c>
      <c r="N155">
        <v>74312</v>
      </c>
      <c r="O155">
        <v>1599.5</v>
      </c>
      <c r="P155" s="1">
        <v>-0.95</v>
      </c>
      <c r="Q155">
        <f t="shared" si="10"/>
        <v>117</v>
      </c>
      <c r="R155">
        <f t="shared" si="11"/>
        <v>184</v>
      </c>
      <c r="S155" s="1">
        <f t="shared" si="12"/>
        <v>0.83760683760683763</v>
      </c>
      <c r="T155">
        <f t="shared" si="13"/>
        <v>1.17</v>
      </c>
      <c r="U155" t="str">
        <f t="shared" si="14"/>
        <v>Mar</v>
      </c>
    </row>
    <row r="156" spans="1:21">
      <c r="A156" s="2">
        <v>46097</v>
      </c>
      <c r="B156" t="s">
        <v>6</v>
      </c>
      <c r="C156" t="s">
        <v>48</v>
      </c>
      <c r="D156" t="s">
        <v>10</v>
      </c>
      <c r="E156" t="s">
        <v>47</v>
      </c>
      <c r="F156" t="s">
        <v>33</v>
      </c>
      <c r="G156">
        <v>38</v>
      </c>
      <c r="H156">
        <v>19</v>
      </c>
      <c r="I156">
        <v>67</v>
      </c>
      <c r="J156">
        <v>30</v>
      </c>
      <c r="K156">
        <v>178</v>
      </c>
      <c r="L156">
        <v>96.61</v>
      </c>
      <c r="M156">
        <v>2443.54</v>
      </c>
      <c r="N156">
        <v>68806</v>
      </c>
      <c r="O156">
        <v>1023.43</v>
      </c>
      <c r="P156" s="1">
        <v>-0.878</v>
      </c>
      <c r="Q156">
        <f t="shared" si="10"/>
        <v>57</v>
      </c>
      <c r="R156">
        <f t="shared" si="11"/>
        <v>49</v>
      </c>
      <c r="S156" s="1">
        <f t="shared" si="12"/>
        <v>-0.17543859649122806</v>
      </c>
      <c r="T156">
        <f t="shared" si="13"/>
        <v>0.56999999999999995</v>
      </c>
      <c r="U156" t="str">
        <f t="shared" si="14"/>
        <v>Mar</v>
      </c>
    </row>
    <row r="157" spans="1:21">
      <c r="A157" s="2">
        <v>46094</v>
      </c>
      <c r="B157" t="s">
        <v>4</v>
      </c>
      <c r="C157" t="s">
        <v>48</v>
      </c>
      <c r="D157" t="s">
        <v>5</v>
      </c>
      <c r="E157" t="s">
        <v>38</v>
      </c>
      <c r="F157" t="s">
        <v>33</v>
      </c>
      <c r="G157">
        <v>98</v>
      </c>
      <c r="H157">
        <v>75</v>
      </c>
      <c r="I157">
        <v>48</v>
      </c>
      <c r="J157">
        <v>87</v>
      </c>
      <c r="K157">
        <v>293</v>
      </c>
      <c r="L157">
        <v>120.69</v>
      </c>
      <c r="M157">
        <v>2121.84</v>
      </c>
      <c r="N157">
        <v>71042</v>
      </c>
      <c r="O157">
        <v>1794.13</v>
      </c>
      <c r="P157" s="1">
        <v>-0.159</v>
      </c>
      <c r="Q157">
        <f t="shared" si="10"/>
        <v>173</v>
      </c>
      <c r="R157">
        <f t="shared" si="11"/>
        <v>162</v>
      </c>
      <c r="S157" s="1">
        <f t="shared" si="12"/>
        <v>0.7225433526011561</v>
      </c>
      <c r="T157">
        <f t="shared" si="13"/>
        <v>1.73</v>
      </c>
      <c r="U157" t="str">
        <f t="shared" si="14"/>
        <v>Mar</v>
      </c>
    </row>
    <row r="158" spans="1:21">
      <c r="A158" s="2">
        <v>46068</v>
      </c>
      <c r="B158" t="s">
        <v>6</v>
      </c>
      <c r="C158" t="s">
        <v>46</v>
      </c>
      <c r="D158" t="s">
        <v>7</v>
      </c>
      <c r="E158" t="s">
        <v>42</v>
      </c>
      <c r="F158" t="s">
        <v>49</v>
      </c>
      <c r="G158">
        <v>57</v>
      </c>
      <c r="H158">
        <v>67</v>
      </c>
      <c r="I158">
        <v>51</v>
      </c>
      <c r="J158">
        <v>133</v>
      </c>
      <c r="K158">
        <v>362</v>
      </c>
      <c r="L158">
        <v>82.24</v>
      </c>
      <c r="M158">
        <v>2006.73</v>
      </c>
      <c r="N158">
        <v>70247</v>
      </c>
      <c r="O158">
        <v>1535.48</v>
      </c>
      <c r="P158" s="1">
        <v>-0.91700000000000004</v>
      </c>
      <c r="Q158">
        <f t="shared" si="10"/>
        <v>124</v>
      </c>
      <c r="R158">
        <f t="shared" si="11"/>
        <v>200</v>
      </c>
      <c r="S158" s="1">
        <f t="shared" si="12"/>
        <v>0.58870967741935487</v>
      </c>
      <c r="T158">
        <f t="shared" si="13"/>
        <v>1.24</v>
      </c>
      <c r="U158" t="str">
        <f t="shared" si="14"/>
        <v>Feb</v>
      </c>
    </row>
    <row r="159" spans="1:21">
      <c r="A159" s="2">
        <v>46090</v>
      </c>
      <c r="B159" t="s">
        <v>4</v>
      </c>
      <c r="C159" t="s">
        <v>50</v>
      </c>
      <c r="D159" t="s">
        <v>10</v>
      </c>
      <c r="E159" t="s">
        <v>35</v>
      </c>
      <c r="F159" t="s">
        <v>45</v>
      </c>
      <c r="G159">
        <v>65</v>
      </c>
      <c r="H159">
        <v>58</v>
      </c>
      <c r="I159">
        <v>70</v>
      </c>
      <c r="J159">
        <v>59</v>
      </c>
      <c r="K159">
        <v>443</v>
      </c>
      <c r="L159">
        <v>138.83000000000001</v>
      </c>
      <c r="M159">
        <v>2345.04</v>
      </c>
      <c r="N159">
        <v>71130</v>
      </c>
      <c r="O159">
        <v>1572.9</v>
      </c>
      <c r="P159" s="1">
        <v>-0.247</v>
      </c>
      <c r="Q159">
        <f t="shared" si="10"/>
        <v>123</v>
      </c>
      <c r="R159">
        <f t="shared" si="11"/>
        <v>117</v>
      </c>
      <c r="S159" s="1">
        <f t="shared" si="12"/>
        <v>0.43089430894308944</v>
      </c>
      <c r="T159">
        <f t="shared" si="13"/>
        <v>1.23</v>
      </c>
      <c r="U159" t="str">
        <f t="shared" si="14"/>
        <v>Mar</v>
      </c>
    </row>
    <row r="160" spans="1:21">
      <c r="A160" s="2">
        <v>46102</v>
      </c>
      <c r="B160" t="s">
        <v>6</v>
      </c>
      <c r="C160" t="s">
        <v>48</v>
      </c>
      <c r="D160" t="s">
        <v>5</v>
      </c>
      <c r="E160" t="s">
        <v>35</v>
      </c>
      <c r="F160" t="s">
        <v>33</v>
      </c>
      <c r="G160">
        <v>90</v>
      </c>
      <c r="H160">
        <v>42</v>
      </c>
      <c r="I160">
        <v>64</v>
      </c>
      <c r="J160">
        <v>7</v>
      </c>
      <c r="K160">
        <v>178</v>
      </c>
      <c r="L160">
        <v>92.46</v>
      </c>
      <c r="M160">
        <v>2219.04</v>
      </c>
      <c r="N160">
        <v>68269</v>
      </c>
      <c r="O160">
        <v>1359.71</v>
      </c>
      <c r="P160" s="1">
        <v>0.51300000000000001</v>
      </c>
      <c r="Q160">
        <f t="shared" si="10"/>
        <v>132</v>
      </c>
      <c r="R160">
        <f t="shared" si="11"/>
        <v>49</v>
      </c>
      <c r="S160" s="1">
        <f t="shared" si="12"/>
        <v>0.51515151515151514</v>
      </c>
      <c r="T160">
        <f t="shared" si="13"/>
        <v>1.32</v>
      </c>
      <c r="U160" t="str">
        <f t="shared" si="14"/>
        <v>Mar</v>
      </c>
    </row>
    <row r="161" spans="1:21">
      <c r="A161" s="2">
        <v>46080</v>
      </c>
      <c r="B161" t="s">
        <v>4</v>
      </c>
      <c r="C161" t="s">
        <v>40</v>
      </c>
      <c r="D161" t="s">
        <v>5</v>
      </c>
      <c r="E161" t="s">
        <v>35</v>
      </c>
      <c r="F161" t="s">
        <v>33</v>
      </c>
      <c r="G161">
        <v>112</v>
      </c>
      <c r="H161">
        <v>18</v>
      </c>
      <c r="I161">
        <v>54</v>
      </c>
      <c r="J161">
        <v>139</v>
      </c>
      <c r="K161">
        <v>165</v>
      </c>
      <c r="L161">
        <v>126.14</v>
      </c>
      <c r="M161">
        <v>2116.33</v>
      </c>
      <c r="N161">
        <v>71494</v>
      </c>
      <c r="O161">
        <v>1399.69</v>
      </c>
      <c r="P161" s="1">
        <v>-4.8000000000000001E-2</v>
      </c>
      <c r="Q161">
        <f t="shared" si="10"/>
        <v>130</v>
      </c>
      <c r="R161">
        <f t="shared" si="11"/>
        <v>157</v>
      </c>
      <c r="S161" s="1">
        <f t="shared" si="12"/>
        <v>0.58461538461538465</v>
      </c>
      <c r="T161">
        <f t="shared" si="13"/>
        <v>1.3</v>
      </c>
      <c r="U161" t="str">
        <f t="shared" si="14"/>
        <v>Feb</v>
      </c>
    </row>
    <row r="162" spans="1:21">
      <c r="A162" s="2">
        <v>46074</v>
      </c>
      <c r="B162" t="s">
        <v>4</v>
      </c>
      <c r="C162" t="s">
        <v>48</v>
      </c>
      <c r="D162" t="s">
        <v>9</v>
      </c>
      <c r="E162" t="s">
        <v>42</v>
      </c>
      <c r="F162" t="s">
        <v>33</v>
      </c>
      <c r="G162">
        <v>40</v>
      </c>
      <c r="H162">
        <v>40</v>
      </c>
      <c r="I162">
        <v>74</v>
      </c>
      <c r="J162">
        <v>44</v>
      </c>
      <c r="K162">
        <v>296</v>
      </c>
      <c r="L162">
        <v>119.07</v>
      </c>
      <c r="M162">
        <v>1891.58</v>
      </c>
      <c r="N162">
        <v>65781</v>
      </c>
      <c r="O162">
        <v>1595.03</v>
      </c>
      <c r="P162" s="1">
        <v>-0.61</v>
      </c>
      <c r="Q162">
        <f t="shared" si="10"/>
        <v>80</v>
      </c>
      <c r="R162">
        <f t="shared" si="11"/>
        <v>84</v>
      </c>
      <c r="S162" s="1">
        <f t="shared" si="12"/>
        <v>7.4999999999999997E-2</v>
      </c>
      <c r="T162">
        <f t="shared" si="13"/>
        <v>0.8</v>
      </c>
      <c r="U162" t="str">
        <f t="shared" si="14"/>
        <v>Feb</v>
      </c>
    </row>
    <row r="163" spans="1:21">
      <c r="A163" s="2">
        <v>46108</v>
      </c>
      <c r="B163" t="s">
        <v>6</v>
      </c>
      <c r="C163" t="s">
        <v>44</v>
      </c>
      <c r="D163" t="s">
        <v>7</v>
      </c>
      <c r="E163" t="s">
        <v>38</v>
      </c>
      <c r="F163" t="s">
        <v>39</v>
      </c>
      <c r="G163">
        <v>2</v>
      </c>
      <c r="H163">
        <v>26</v>
      </c>
      <c r="I163">
        <v>71</v>
      </c>
      <c r="J163">
        <v>136</v>
      </c>
      <c r="K163">
        <v>312</v>
      </c>
      <c r="L163">
        <v>95.27</v>
      </c>
      <c r="M163">
        <v>2339.88</v>
      </c>
      <c r="N163">
        <v>66757</v>
      </c>
      <c r="O163">
        <v>1305.08</v>
      </c>
      <c r="P163" s="1">
        <v>0.32700000000000001</v>
      </c>
      <c r="Q163">
        <f t="shared" si="10"/>
        <v>28</v>
      </c>
      <c r="R163">
        <f t="shared" si="11"/>
        <v>162</v>
      </c>
      <c r="S163" s="1">
        <f t="shared" si="12"/>
        <v>-1.5357142857142858</v>
      </c>
      <c r="T163">
        <f t="shared" si="13"/>
        <v>0.28000000000000003</v>
      </c>
      <c r="U163" t="str">
        <f t="shared" si="14"/>
        <v>Mar</v>
      </c>
    </row>
    <row r="164" spans="1:21">
      <c r="A164" s="2">
        <v>46102</v>
      </c>
      <c r="B164" t="s">
        <v>4</v>
      </c>
      <c r="C164" t="s">
        <v>43</v>
      </c>
      <c r="D164" t="s">
        <v>5</v>
      </c>
      <c r="E164" t="s">
        <v>35</v>
      </c>
      <c r="F164" t="s">
        <v>45</v>
      </c>
      <c r="G164">
        <v>9</v>
      </c>
      <c r="H164">
        <v>27</v>
      </c>
      <c r="I164">
        <v>72</v>
      </c>
      <c r="J164">
        <v>83</v>
      </c>
      <c r="K164">
        <v>247</v>
      </c>
      <c r="L164">
        <v>116.16</v>
      </c>
      <c r="M164">
        <v>2342.1799999999998</v>
      </c>
      <c r="N164">
        <v>66892</v>
      </c>
      <c r="O164">
        <v>1046.6600000000001</v>
      </c>
      <c r="P164" s="1">
        <v>-0.86299999999999999</v>
      </c>
      <c r="Q164">
        <f t="shared" si="10"/>
        <v>36</v>
      </c>
      <c r="R164">
        <f t="shared" si="11"/>
        <v>110</v>
      </c>
      <c r="S164" s="1">
        <f t="shared" si="12"/>
        <v>-1</v>
      </c>
      <c r="T164">
        <f t="shared" si="13"/>
        <v>0.36</v>
      </c>
      <c r="U164" t="str">
        <f t="shared" si="14"/>
        <v>Mar</v>
      </c>
    </row>
    <row r="165" spans="1:21">
      <c r="A165" s="2">
        <v>46127</v>
      </c>
      <c r="B165" t="s">
        <v>6</v>
      </c>
      <c r="C165" t="s">
        <v>44</v>
      </c>
      <c r="D165" t="s">
        <v>9</v>
      </c>
      <c r="E165" t="s">
        <v>37</v>
      </c>
      <c r="F165" t="s">
        <v>33</v>
      </c>
      <c r="G165">
        <v>54</v>
      </c>
      <c r="H165">
        <v>79</v>
      </c>
      <c r="I165">
        <v>38</v>
      </c>
      <c r="J165">
        <v>42</v>
      </c>
      <c r="K165">
        <v>269</v>
      </c>
      <c r="L165">
        <v>121.02</v>
      </c>
      <c r="M165">
        <v>2103.3000000000002</v>
      </c>
      <c r="N165">
        <v>73982</v>
      </c>
      <c r="O165">
        <v>1383.64</v>
      </c>
      <c r="P165" s="1">
        <v>0.63700000000000001</v>
      </c>
      <c r="Q165">
        <f t="shared" si="10"/>
        <v>133</v>
      </c>
      <c r="R165">
        <f t="shared" si="11"/>
        <v>121</v>
      </c>
      <c r="S165" s="1">
        <f t="shared" si="12"/>
        <v>0.7142857142857143</v>
      </c>
      <c r="T165">
        <f t="shared" si="13"/>
        <v>1.33</v>
      </c>
      <c r="U165" t="str">
        <f t="shared" si="14"/>
        <v>Apr</v>
      </c>
    </row>
    <row r="166" spans="1:21">
      <c r="A166" s="2">
        <v>46110</v>
      </c>
      <c r="B166" t="s">
        <v>4</v>
      </c>
      <c r="C166" t="s">
        <v>48</v>
      </c>
      <c r="D166" t="s">
        <v>9</v>
      </c>
      <c r="E166" t="s">
        <v>41</v>
      </c>
      <c r="F166" t="s">
        <v>49</v>
      </c>
      <c r="G166">
        <v>61</v>
      </c>
      <c r="H166">
        <v>46</v>
      </c>
      <c r="I166">
        <v>82</v>
      </c>
      <c r="J166">
        <v>141</v>
      </c>
      <c r="K166">
        <v>227</v>
      </c>
      <c r="L166">
        <v>123.71</v>
      </c>
      <c r="M166">
        <v>2186.7800000000002</v>
      </c>
      <c r="N166">
        <v>66477</v>
      </c>
      <c r="O166">
        <v>1360.15</v>
      </c>
      <c r="P166" s="1">
        <v>0.33800000000000002</v>
      </c>
      <c r="Q166">
        <f t="shared" si="10"/>
        <v>107</v>
      </c>
      <c r="R166">
        <f t="shared" si="11"/>
        <v>187</v>
      </c>
      <c r="S166" s="1">
        <f t="shared" si="12"/>
        <v>0.23364485981308411</v>
      </c>
      <c r="T166">
        <f t="shared" si="13"/>
        <v>1.07</v>
      </c>
      <c r="U166" t="str">
        <f t="shared" si="14"/>
        <v>Mar</v>
      </c>
    </row>
    <row r="167" spans="1:21">
      <c r="A167" s="2">
        <v>46114</v>
      </c>
      <c r="B167" t="s">
        <v>4</v>
      </c>
      <c r="C167" t="s">
        <v>48</v>
      </c>
      <c r="D167" t="s">
        <v>9</v>
      </c>
      <c r="E167" t="s">
        <v>37</v>
      </c>
      <c r="F167" t="s">
        <v>39</v>
      </c>
      <c r="G167">
        <v>29</v>
      </c>
      <c r="H167">
        <v>34</v>
      </c>
      <c r="I167">
        <v>53</v>
      </c>
      <c r="J167">
        <v>89</v>
      </c>
      <c r="K167">
        <v>371</v>
      </c>
      <c r="L167">
        <v>96.96</v>
      </c>
      <c r="M167">
        <v>2414.42</v>
      </c>
      <c r="N167">
        <v>64245</v>
      </c>
      <c r="O167">
        <v>1141.58</v>
      </c>
      <c r="P167" s="1">
        <v>0.157</v>
      </c>
      <c r="Q167">
        <f t="shared" si="10"/>
        <v>63</v>
      </c>
      <c r="R167">
        <f t="shared" si="11"/>
        <v>123</v>
      </c>
      <c r="S167" s="1">
        <f t="shared" si="12"/>
        <v>0.15873015873015872</v>
      </c>
      <c r="T167">
        <f t="shared" si="13"/>
        <v>0.63</v>
      </c>
      <c r="U167" t="str">
        <f t="shared" si="14"/>
        <v>Apr</v>
      </c>
    </row>
    <row r="168" spans="1:21">
      <c r="A168" s="2">
        <v>46120</v>
      </c>
      <c r="B168" t="s">
        <v>6</v>
      </c>
      <c r="C168" t="s">
        <v>48</v>
      </c>
      <c r="D168" t="s">
        <v>11</v>
      </c>
      <c r="E168" t="s">
        <v>41</v>
      </c>
      <c r="F168" t="s">
        <v>39</v>
      </c>
      <c r="G168">
        <v>73</v>
      </c>
      <c r="H168">
        <v>79</v>
      </c>
      <c r="I168">
        <v>3</v>
      </c>
      <c r="J168">
        <v>152</v>
      </c>
      <c r="K168">
        <v>270</v>
      </c>
      <c r="L168">
        <v>135.15</v>
      </c>
      <c r="M168">
        <v>1890.57</v>
      </c>
      <c r="N168">
        <v>66352</v>
      </c>
      <c r="O168">
        <v>921.98</v>
      </c>
      <c r="P168" s="1">
        <v>0.14499999999999999</v>
      </c>
      <c r="Q168">
        <f t="shared" si="10"/>
        <v>152</v>
      </c>
      <c r="R168">
        <f t="shared" si="11"/>
        <v>231</v>
      </c>
      <c r="S168" s="1">
        <f t="shared" si="12"/>
        <v>0.98026315789473684</v>
      </c>
      <c r="T168">
        <f t="shared" si="13"/>
        <v>1.52</v>
      </c>
      <c r="U168" t="str">
        <f t="shared" si="14"/>
        <v>Apr</v>
      </c>
    </row>
    <row r="169" spans="1:21">
      <c r="A169" s="2">
        <v>46117</v>
      </c>
      <c r="B169" t="s">
        <v>4</v>
      </c>
      <c r="C169" t="s">
        <v>50</v>
      </c>
      <c r="D169" t="s">
        <v>11</v>
      </c>
      <c r="E169" t="s">
        <v>47</v>
      </c>
      <c r="F169" t="s">
        <v>45</v>
      </c>
      <c r="G169">
        <v>52</v>
      </c>
      <c r="H169">
        <v>43</v>
      </c>
      <c r="I169">
        <v>65</v>
      </c>
      <c r="J169">
        <v>120</v>
      </c>
      <c r="K169">
        <v>109</v>
      </c>
      <c r="L169">
        <v>134.47</v>
      </c>
      <c r="M169">
        <v>1860.09</v>
      </c>
      <c r="N169">
        <v>68654</v>
      </c>
      <c r="O169">
        <v>1710.54</v>
      </c>
      <c r="P169" s="1">
        <v>-0.44800000000000001</v>
      </c>
      <c r="Q169">
        <f t="shared" si="10"/>
        <v>95</v>
      </c>
      <c r="R169">
        <f t="shared" si="11"/>
        <v>163</v>
      </c>
      <c r="S169" s="1">
        <f t="shared" si="12"/>
        <v>0.31578947368421051</v>
      </c>
      <c r="T169">
        <f t="shared" si="13"/>
        <v>0.95</v>
      </c>
      <c r="U169" t="str">
        <f t="shared" si="14"/>
        <v>Apr</v>
      </c>
    </row>
    <row r="170" spans="1:21">
      <c r="A170" s="2">
        <v>46097</v>
      </c>
      <c r="B170" t="s">
        <v>6</v>
      </c>
      <c r="C170" t="s">
        <v>43</v>
      </c>
      <c r="D170" t="s">
        <v>7</v>
      </c>
      <c r="E170" t="s">
        <v>47</v>
      </c>
      <c r="F170" t="s">
        <v>45</v>
      </c>
      <c r="G170">
        <v>54</v>
      </c>
      <c r="H170">
        <v>64</v>
      </c>
      <c r="I170">
        <v>67</v>
      </c>
      <c r="J170">
        <v>131</v>
      </c>
      <c r="K170">
        <v>241</v>
      </c>
      <c r="L170">
        <v>98.2</v>
      </c>
      <c r="M170">
        <v>1890.3</v>
      </c>
      <c r="N170">
        <v>68412</v>
      </c>
      <c r="O170">
        <v>1712.36</v>
      </c>
      <c r="P170" s="1">
        <v>0.36599999999999999</v>
      </c>
      <c r="Q170">
        <f t="shared" si="10"/>
        <v>118</v>
      </c>
      <c r="R170">
        <f t="shared" si="11"/>
        <v>195</v>
      </c>
      <c r="S170" s="1">
        <f t="shared" si="12"/>
        <v>0.43220338983050849</v>
      </c>
      <c r="T170">
        <f t="shared" si="13"/>
        <v>1.18</v>
      </c>
      <c r="U170" t="str">
        <f t="shared" si="14"/>
        <v>Mar</v>
      </c>
    </row>
    <row r="171" spans="1:21">
      <c r="A171" s="2">
        <v>46106</v>
      </c>
      <c r="B171" t="s">
        <v>4</v>
      </c>
      <c r="C171" t="s">
        <v>44</v>
      </c>
      <c r="D171" t="s">
        <v>9</v>
      </c>
      <c r="E171" t="s">
        <v>35</v>
      </c>
      <c r="F171" t="s">
        <v>49</v>
      </c>
      <c r="G171">
        <v>50</v>
      </c>
      <c r="H171">
        <v>66</v>
      </c>
      <c r="I171">
        <v>83</v>
      </c>
      <c r="J171">
        <v>100</v>
      </c>
      <c r="K171">
        <v>174</v>
      </c>
      <c r="L171">
        <v>82.33</v>
      </c>
      <c r="M171">
        <v>1858.55</v>
      </c>
      <c r="N171">
        <v>68280</v>
      </c>
      <c r="O171">
        <v>1374.33</v>
      </c>
      <c r="P171" s="1">
        <v>-0.53400000000000003</v>
      </c>
      <c r="Q171">
        <f t="shared" si="10"/>
        <v>116</v>
      </c>
      <c r="R171">
        <f t="shared" si="11"/>
        <v>166</v>
      </c>
      <c r="S171" s="1">
        <f t="shared" si="12"/>
        <v>0.28448275862068967</v>
      </c>
      <c r="T171">
        <f t="shared" si="13"/>
        <v>1.1599999999999999</v>
      </c>
      <c r="U171" t="str">
        <f t="shared" si="14"/>
        <v>Mar</v>
      </c>
    </row>
    <row r="172" spans="1:21">
      <c r="A172" s="2">
        <v>46110</v>
      </c>
      <c r="B172" t="s">
        <v>4</v>
      </c>
      <c r="C172" t="s">
        <v>40</v>
      </c>
      <c r="D172" t="s">
        <v>9</v>
      </c>
      <c r="E172" t="s">
        <v>35</v>
      </c>
      <c r="F172" t="s">
        <v>45</v>
      </c>
      <c r="G172">
        <v>82</v>
      </c>
      <c r="H172">
        <v>67</v>
      </c>
      <c r="I172">
        <v>28</v>
      </c>
      <c r="J172">
        <v>100</v>
      </c>
      <c r="K172">
        <v>15</v>
      </c>
      <c r="L172">
        <v>127.22</v>
      </c>
      <c r="M172">
        <v>1826.93</v>
      </c>
      <c r="N172">
        <v>74452</v>
      </c>
      <c r="O172">
        <v>1137.0899999999999</v>
      </c>
      <c r="P172" s="1">
        <v>0.57399999999999995</v>
      </c>
      <c r="Q172">
        <f t="shared" si="10"/>
        <v>149</v>
      </c>
      <c r="R172">
        <f t="shared" si="11"/>
        <v>167</v>
      </c>
      <c r="S172" s="1">
        <f t="shared" si="12"/>
        <v>0.81208053691275173</v>
      </c>
      <c r="T172">
        <f t="shared" si="13"/>
        <v>1.49</v>
      </c>
      <c r="U172" t="str">
        <f t="shared" si="14"/>
        <v>Mar</v>
      </c>
    </row>
    <row r="173" spans="1:21">
      <c r="A173" s="2">
        <v>46085</v>
      </c>
      <c r="B173" t="s">
        <v>4</v>
      </c>
      <c r="C173" t="s">
        <v>31</v>
      </c>
      <c r="D173" t="s">
        <v>10</v>
      </c>
      <c r="E173" t="s">
        <v>42</v>
      </c>
      <c r="F173" t="s">
        <v>39</v>
      </c>
      <c r="G173">
        <v>70</v>
      </c>
      <c r="H173">
        <v>58</v>
      </c>
      <c r="I173">
        <v>35</v>
      </c>
      <c r="J173">
        <v>115</v>
      </c>
      <c r="K173">
        <v>386</v>
      </c>
      <c r="L173">
        <v>105.48</v>
      </c>
      <c r="M173">
        <v>1877.82</v>
      </c>
      <c r="N173">
        <v>74899</v>
      </c>
      <c r="O173">
        <v>1682.56</v>
      </c>
      <c r="P173" s="1">
        <v>-1.9E-2</v>
      </c>
      <c r="Q173">
        <f t="shared" si="10"/>
        <v>128</v>
      </c>
      <c r="R173">
        <f t="shared" si="11"/>
        <v>173</v>
      </c>
      <c r="S173" s="1">
        <f t="shared" si="12"/>
        <v>0.7265625</v>
      </c>
      <c r="T173">
        <f t="shared" si="13"/>
        <v>1.28</v>
      </c>
      <c r="U173" t="str">
        <f t="shared" si="14"/>
        <v>Mar</v>
      </c>
    </row>
    <row r="174" spans="1:21">
      <c r="A174" s="2">
        <v>46073</v>
      </c>
      <c r="B174" t="s">
        <v>4</v>
      </c>
      <c r="C174" t="s">
        <v>36</v>
      </c>
      <c r="D174" t="s">
        <v>5</v>
      </c>
      <c r="E174" t="s">
        <v>41</v>
      </c>
      <c r="F174" t="s">
        <v>45</v>
      </c>
      <c r="G174">
        <v>6</v>
      </c>
      <c r="H174">
        <v>1</v>
      </c>
      <c r="I174">
        <v>34</v>
      </c>
      <c r="J174">
        <v>104</v>
      </c>
      <c r="K174">
        <v>219</v>
      </c>
      <c r="L174">
        <v>136.58000000000001</v>
      </c>
      <c r="M174">
        <v>2213.2199999999998</v>
      </c>
      <c r="N174">
        <v>71597</v>
      </c>
      <c r="O174">
        <v>1314.45</v>
      </c>
      <c r="P174" s="1">
        <v>-0.10199999999999999</v>
      </c>
      <c r="Q174">
        <f t="shared" si="10"/>
        <v>7</v>
      </c>
      <c r="R174">
        <f t="shared" si="11"/>
        <v>105</v>
      </c>
      <c r="S174" s="1">
        <f t="shared" si="12"/>
        <v>-3.8571428571428572</v>
      </c>
      <c r="T174">
        <f t="shared" si="13"/>
        <v>7.0000000000000007E-2</v>
      </c>
      <c r="U174" t="str">
        <f t="shared" si="14"/>
        <v>Feb</v>
      </c>
    </row>
    <row r="175" spans="1:21">
      <c r="A175" s="2">
        <v>46083</v>
      </c>
      <c r="B175" t="s">
        <v>4</v>
      </c>
      <c r="C175" t="s">
        <v>46</v>
      </c>
      <c r="D175" t="s">
        <v>5</v>
      </c>
      <c r="E175" t="s">
        <v>37</v>
      </c>
      <c r="F175" t="s">
        <v>45</v>
      </c>
      <c r="G175">
        <v>94</v>
      </c>
      <c r="H175">
        <v>21</v>
      </c>
      <c r="I175">
        <v>81</v>
      </c>
      <c r="J175">
        <v>125</v>
      </c>
      <c r="K175">
        <v>275</v>
      </c>
      <c r="L175">
        <v>99.63</v>
      </c>
      <c r="M175">
        <v>1936.44</v>
      </c>
      <c r="N175">
        <v>70683</v>
      </c>
      <c r="O175">
        <v>1659.62</v>
      </c>
      <c r="P175" s="1">
        <v>-0.28499999999999998</v>
      </c>
      <c r="Q175">
        <f t="shared" si="10"/>
        <v>115</v>
      </c>
      <c r="R175">
        <f t="shared" si="11"/>
        <v>146</v>
      </c>
      <c r="S175" s="1">
        <f t="shared" si="12"/>
        <v>0.29565217391304349</v>
      </c>
      <c r="T175">
        <f t="shared" si="13"/>
        <v>1.1499999999999999</v>
      </c>
      <c r="U175" t="str">
        <f t="shared" si="14"/>
        <v>Mar</v>
      </c>
    </row>
    <row r="176" spans="1:21">
      <c r="A176" s="2">
        <v>46117</v>
      </c>
      <c r="B176" t="s">
        <v>4</v>
      </c>
      <c r="C176" t="s">
        <v>46</v>
      </c>
      <c r="D176" t="s">
        <v>11</v>
      </c>
      <c r="E176" t="s">
        <v>32</v>
      </c>
      <c r="F176" t="s">
        <v>33</v>
      </c>
      <c r="G176">
        <v>16</v>
      </c>
      <c r="H176">
        <v>12</v>
      </c>
      <c r="I176">
        <v>77</v>
      </c>
      <c r="J176">
        <v>87</v>
      </c>
      <c r="K176">
        <v>381</v>
      </c>
      <c r="L176">
        <v>87.97</v>
      </c>
      <c r="M176">
        <v>2147.5500000000002</v>
      </c>
      <c r="N176">
        <v>73996</v>
      </c>
      <c r="O176">
        <v>1390.12</v>
      </c>
      <c r="P176" s="1">
        <v>-0.83199999999999996</v>
      </c>
      <c r="Q176">
        <f t="shared" si="10"/>
        <v>28</v>
      </c>
      <c r="R176">
        <f t="shared" si="11"/>
        <v>99</v>
      </c>
      <c r="S176" s="1">
        <f t="shared" si="12"/>
        <v>-1.75</v>
      </c>
      <c r="T176">
        <f t="shared" si="13"/>
        <v>0.28000000000000003</v>
      </c>
      <c r="U176" t="str">
        <f t="shared" si="14"/>
        <v>Apr</v>
      </c>
    </row>
    <row r="177" spans="1:21">
      <c r="A177" s="2">
        <v>46122</v>
      </c>
      <c r="B177" t="s">
        <v>6</v>
      </c>
      <c r="C177" t="s">
        <v>51</v>
      </c>
      <c r="D177" t="s">
        <v>5</v>
      </c>
      <c r="E177" t="s">
        <v>35</v>
      </c>
      <c r="F177" t="s">
        <v>49</v>
      </c>
      <c r="G177">
        <v>87</v>
      </c>
      <c r="H177">
        <v>48</v>
      </c>
      <c r="I177">
        <v>9</v>
      </c>
      <c r="J177">
        <v>55</v>
      </c>
      <c r="K177">
        <v>122</v>
      </c>
      <c r="L177">
        <v>100.44</v>
      </c>
      <c r="M177">
        <v>2149.1</v>
      </c>
      <c r="N177">
        <v>67323</v>
      </c>
      <c r="O177">
        <v>1207.2</v>
      </c>
      <c r="P177" s="1">
        <v>-0.71199999999999997</v>
      </c>
      <c r="Q177">
        <f t="shared" si="10"/>
        <v>135</v>
      </c>
      <c r="R177">
        <f t="shared" si="11"/>
        <v>103</v>
      </c>
      <c r="S177" s="1">
        <f t="shared" si="12"/>
        <v>0.93333333333333335</v>
      </c>
      <c r="T177">
        <f t="shared" si="13"/>
        <v>1.35</v>
      </c>
      <c r="U177" t="str">
        <f t="shared" si="14"/>
        <v>Apr</v>
      </c>
    </row>
    <row r="178" spans="1:21">
      <c r="A178" s="2">
        <v>46080</v>
      </c>
      <c r="B178" t="s">
        <v>6</v>
      </c>
      <c r="C178" t="s">
        <v>44</v>
      </c>
      <c r="D178" t="s">
        <v>11</v>
      </c>
      <c r="E178" t="s">
        <v>35</v>
      </c>
      <c r="F178" t="s">
        <v>33</v>
      </c>
      <c r="G178">
        <v>79</v>
      </c>
      <c r="H178">
        <v>51</v>
      </c>
      <c r="I178">
        <v>70</v>
      </c>
      <c r="J178">
        <v>147</v>
      </c>
      <c r="K178">
        <v>325</v>
      </c>
      <c r="L178">
        <v>83.14</v>
      </c>
      <c r="M178">
        <v>2332.08</v>
      </c>
      <c r="N178">
        <v>71727</v>
      </c>
      <c r="O178">
        <v>1785.82</v>
      </c>
      <c r="P178" s="1">
        <v>-0.17399999999999999</v>
      </c>
      <c r="Q178">
        <f t="shared" si="10"/>
        <v>130</v>
      </c>
      <c r="R178">
        <f t="shared" si="11"/>
        <v>198</v>
      </c>
      <c r="S178" s="1">
        <f t="shared" si="12"/>
        <v>0.46153846153846156</v>
      </c>
      <c r="T178">
        <f t="shared" si="13"/>
        <v>1.3</v>
      </c>
      <c r="U178" t="str">
        <f t="shared" si="14"/>
        <v>Feb</v>
      </c>
    </row>
    <row r="179" spans="1:21">
      <c r="A179" s="2">
        <v>46109</v>
      </c>
      <c r="B179" t="s">
        <v>6</v>
      </c>
      <c r="C179" t="s">
        <v>36</v>
      </c>
      <c r="D179" t="s">
        <v>5</v>
      </c>
      <c r="E179" t="s">
        <v>47</v>
      </c>
      <c r="F179" t="s">
        <v>39</v>
      </c>
      <c r="G179">
        <v>97</v>
      </c>
      <c r="H179">
        <v>38</v>
      </c>
      <c r="I179">
        <v>9</v>
      </c>
      <c r="J179">
        <v>83</v>
      </c>
      <c r="K179">
        <v>211</v>
      </c>
      <c r="L179">
        <v>122.27</v>
      </c>
      <c r="M179">
        <v>2000.19</v>
      </c>
      <c r="N179">
        <v>74122</v>
      </c>
      <c r="O179">
        <v>1061.78</v>
      </c>
      <c r="P179" s="1">
        <v>-0.83499999999999996</v>
      </c>
      <c r="Q179">
        <f t="shared" si="10"/>
        <v>135</v>
      </c>
      <c r="R179">
        <f t="shared" si="11"/>
        <v>121</v>
      </c>
      <c r="S179" s="1">
        <f t="shared" si="12"/>
        <v>0.93333333333333335</v>
      </c>
      <c r="T179">
        <f t="shared" si="13"/>
        <v>1.35</v>
      </c>
      <c r="U179" t="str">
        <f t="shared" si="14"/>
        <v>Mar</v>
      </c>
    </row>
    <row r="180" spans="1:21">
      <c r="A180" s="2">
        <v>46108</v>
      </c>
      <c r="B180" t="s">
        <v>4</v>
      </c>
      <c r="C180" t="s">
        <v>31</v>
      </c>
      <c r="D180" t="s">
        <v>9</v>
      </c>
      <c r="E180" t="s">
        <v>35</v>
      </c>
      <c r="F180" t="s">
        <v>45</v>
      </c>
      <c r="G180">
        <v>100</v>
      </c>
      <c r="H180">
        <v>59</v>
      </c>
      <c r="I180">
        <v>76</v>
      </c>
      <c r="J180">
        <v>119</v>
      </c>
      <c r="K180">
        <v>432</v>
      </c>
      <c r="L180">
        <v>106.14</v>
      </c>
      <c r="M180">
        <v>2274.38</v>
      </c>
      <c r="N180">
        <v>68087</v>
      </c>
      <c r="O180">
        <v>1140.57</v>
      </c>
      <c r="P180" s="1">
        <v>-0.32200000000000001</v>
      </c>
      <c r="Q180">
        <f t="shared" si="10"/>
        <v>159</v>
      </c>
      <c r="R180">
        <f t="shared" si="11"/>
        <v>178</v>
      </c>
      <c r="S180" s="1">
        <f t="shared" si="12"/>
        <v>0.5220125786163522</v>
      </c>
      <c r="T180">
        <f t="shared" si="13"/>
        <v>1.59</v>
      </c>
      <c r="U180" t="str">
        <f t="shared" si="14"/>
        <v>Mar</v>
      </c>
    </row>
    <row r="181" spans="1:21">
      <c r="A181" s="2">
        <v>46096</v>
      </c>
      <c r="B181" t="s">
        <v>4</v>
      </c>
      <c r="C181" t="s">
        <v>50</v>
      </c>
      <c r="D181" t="s">
        <v>5</v>
      </c>
      <c r="E181" t="s">
        <v>35</v>
      </c>
      <c r="F181" t="s">
        <v>45</v>
      </c>
      <c r="G181">
        <v>118</v>
      </c>
      <c r="H181">
        <v>72</v>
      </c>
      <c r="I181">
        <v>79</v>
      </c>
      <c r="J181">
        <v>24</v>
      </c>
      <c r="K181">
        <v>114</v>
      </c>
      <c r="L181">
        <v>85.28</v>
      </c>
      <c r="M181">
        <v>1967.57</v>
      </c>
      <c r="N181">
        <v>73554</v>
      </c>
      <c r="O181">
        <v>1279.17</v>
      </c>
      <c r="P181" s="1">
        <v>0.39300000000000002</v>
      </c>
      <c r="Q181">
        <f t="shared" si="10"/>
        <v>190</v>
      </c>
      <c r="R181">
        <f t="shared" si="11"/>
        <v>96</v>
      </c>
      <c r="S181" s="1">
        <f t="shared" si="12"/>
        <v>0.58421052631578951</v>
      </c>
      <c r="T181">
        <f t="shared" si="13"/>
        <v>1.9</v>
      </c>
      <c r="U181" t="str">
        <f t="shared" si="14"/>
        <v>Mar</v>
      </c>
    </row>
    <row r="182" spans="1:21">
      <c r="A182" s="2">
        <v>46122</v>
      </c>
      <c r="B182" t="s">
        <v>4</v>
      </c>
      <c r="C182" t="s">
        <v>43</v>
      </c>
      <c r="D182" t="s">
        <v>9</v>
      </c>
      <c r="E182" t="s">
        <v>35</v>
      </c>
      <c r="F182" t="s">
        <v>33</v>
      </c>
      <c r="G182">
        <v>82</v>
      </c>
      <c r="H182">
        <v>27</v>
      </c>
      <c r="I182">
        <v>83</v>
      </c>
      <c r="J182">
        <v>2</v>
      </c>
      <c r="K182">
        <v>200</v>
      </c>
      <c r="L182">
        <v>92.06</v>
      </c>
      <c r="M182">
        <v>2375.9</v>
      </c>
      <c r="N182">
        <v>67179</v>
      </c>
      <c r="O182">
        <v>1450.11</v>
      </c>
      <c r="P182" s="1">
        <v>-0.71299999999999997</v>
      </c>
      <c r="Q182">
        <f t="shared" si="10"/>
        <v>109</v>
      </c>
      <c r="R182">
        <f t="shared" si="11"/>
        <v>29</v>
      </c>
      <c r="S182" s="1">
        <f t="shared" si="12"/>
        <v>0.23853211009174313</v>
      </c>
      <c r="T182">
        <f t="shared" si="13"/>
        <v>1.0900000000000001</v>
      </c>
      <c r="U182" t="str">
        <f t="shared" si="14"/>
        <v>Apr</v>
      </c>
    </row>
    <row r="183" spans="1:21">
      <c r="A183" s="2">
        <v>46115</v>
      </c>
      <c r="B183" t="s">
        <v>4</v>
      </c>
      <c r="C183" t="s">
        <v>34</v>
      </c>
      <c r="D183" t="s">
        <v>5</v>
      </c>
      <c r="E183" t="s">
        <v>42</v>
      </c>
      <c r="F183" t="s">
        <v>45</v>
      </c>
      <c r="G183">
        <v>87</v>
      </c>
      <c r="H183">
        <v>44</v>
      </c>
      <c r="I183">
        <v>7</v>
      </c>
      <c r="J183">
        <v>125</v>
      </c>
      <c r="K183">
        <v>298</v>
      </c>
      <c r="L183">
        <v>104.57</v>
      </c>
      <c r="M183">
        <v>2446.5100000000002</v>
      </c>
      <c r="N183">
        <v>70522</v>
      </c>
      <c r="O183">
        <v>1102.32</v>
      </c>
      <c r="P183" s="1">
        <v>-0.56100000000000005</v>
      </c>
      <c r="Q183">
        <f t="shared" si="10"/>
        <v>131</v>
      </c>
      <c r="R183">
        <f t="shared" si="11"/>
        <v>169</v>
      </c>
      <c r="S183" s="1">
        <f t="shared" si="12"/>
        <v>0.94656488549618323</v>
      </c>
      <c r="T183">
        <f t="shared" si="13"/>
        <v>1.31</v>
      </c>
      <c r="U183" t="str">
        <f t="shared" si="14"/>
        <v>Apr</v>
      </c>
    </row>
    <row r="184" spans="1:21">
      <c r="A184" s="2">
        <v>46105</v>
      </c>
      <c r="B184" t="s">
        <v>4</v>
      </c>
      <c r="C184" t="s">
        <v>34</v>
      </c>
      <c r="D184" t="s">
        <v>7</v>
      </c>
      <c r="E184" t="s">
        <v>41</v>
      </c>
      <c r="F184" t="s">
        <v>39</v>
      </c>
      <c r="G184">
        <v>52</v>
      </c>
      <c r="H184">
        <v>2</v>
      </c>
      <c r="I184">
        <v>80</v>
      </c>
      <c r="J184">
        <v>108</v>
      </c>
      <c r="K184">
        <v>193</v>
      </c>
      <c r="L184">
        <v>83.97</v>
      </c>
      <c r="M184">
        <v>2212.5100000000002</v>
      </c>
      <c r="N184">
        <v>71374</v>
      </c>
      <c r="O184">
        <v>1467.75</v>
      </c>
      <c r="P184" s="1">
        <v>8.5999999999999993E-2</v>
      </c>
      <c r="Q184">
        <f t="shared" si="10"/>
        <v>54</v>
      </c>
      <c r="R184">
        <f t="shared" si="11"/>
        <v>110</v>
      </c>
      <c r="S184" s="1">
        <f t="shared" si="12"/>
        <v>-0.48148148148148145</v>
      </c>
      <c r="T184">
        <f t="shared" si="13"/>
        <v>0.54</v>
      </c>
      <c r="U184" t="str">
        <f t="shared" si="14"/>
        <v>Mar</v>
      </c>
    </row>
    <row r="185" spans="1:21">
      <c r="A185" s="2">
        <v>46077</v>
      </c>
      <c r="B185" t="s">
        <v>4</v>
      </c>
      <c r="C185" t="s">
        <v>44</v>
      </c>
      <c r="D185" t="s">
        <v>9</v>
      </c>
      <c r="E185" t="s">
        <v>35</v>
      </c>
      <c r="F185" t="s">
        <v>49</v>
      </c>
      <c r="G185">
        <v>113</v>
      </c>
      <c r="H185">
        <v>30</v>
      </c>
      <c r="I185">
        <v>10</v>
      </c>
      <c r="J185">
        <v>66</v>
      </c>
      <c r="K185">
        <v>62</v>
      </c>
      <c r="L185">
        <v>126.28</v>
      </c>
      <c r="M185">
        <v>1969.66</v>
      </c>
      <c r="N185">
        <v>64829</v>
      </c>
      <c r="O185">
        <v>1744.62</v>
      </c>
      <c r="P185" s="1">
        <v>0.86699999999999999</v>
      </c>
      <c r="Q185">
        <f t="shared" si="10"/>
        <v>143</v>
      </c>
      <c r="R185">
        <f t="shared" si="11"/>
        <v>96</v>
      </c>
      <c r="S185" s="1">
        <f t="shared" si="12"/>
        <v>0.93006993006993011</v>
      </c>
      <c r="T185">
        <f t="shared" si="13"/>
        <v>1.43</v>
      </c>
      <c r="U185" t="str">
        <f t="shared" si="14"/>
        <v>Feb</v>
      </c>
    </row>
    <row r="186" spans="1:21">
      <c r="A186" s="2">
        <v>46091</v>
      </c>
      <c r="B186" t="s">
        <v>4</v>
      </c>
      <c r="C186" t="s">
        <v>31</v>
      </c>
      <c r="D186" t="s">
        <v>5</v>
      </c>
      <c r="E186" t="s">
        <v>35</v>
      </c>
      <c r="F186" t="s">
        <v>45</v>
      </c>
      <c r="G186">
        <v>24</v>
      </c>
      <c r="H186">
        <v>13</v>
      </c>
      <c r="I186">
        <v>76</v>
      </c>
      <c r="J186">
        <v>43</v>
      </c>
      <c r="K186">
        <v>380</v>
      </c>
      <c r="L186">
        <v>89.59</v>
      </c>
      <c r="M186">
        <v>1916.82</v>
      </c>
      <c r="N186">
        <v>67987</v>
      </c>
      <c r="O186">
        <v>1499.02</v>
      </c>
      <c r="P186" s="1">
        <v>-0.33500000000000002</v>
      </c>
      <c r="Q186">
        <f t="shared" si="10"/>
        <v>37</v>
      </c>
      <c r="R186">
        <f t="shared" si="11"/>
        <v>56</v>
      </c>
      <c r="S186" s="1">
        <f t="shared" si="12"/>
        <v>-1.0540540540540539</v>
      </c>
      <c r="T186">
        <f t="shared" si="13"/>
        <v>0.37</v>
      </c>
      <c r="U186" t="str">
        <f t="shared" si="14"/>
        <v>Mar</v>
      </c>
    </row>
    <row r="187" spans="1:21">
      <c r="A187" s="2">
        <v>46089</v>
      </c>
      <c r="B187" t="s">
        <v>4</v>
      </c>
      <c r="C187" t="s">
        <v>48</v>
      </c>
      <c r="D187" t="s">
        <v>9</v>
      </c>
      <c r="E187" t="s">
        <v>42</v>
      </c>
      <c r="F187" t="s">
        <v>49</v>
      </c>
      <c r="G187">
        <v>36</v>
      </c>
      <c r="H187">
        <v>0</v>
      </c>
      <c r="I187">
        <v>69</v>
      </c>
      <c r="J187">
        <v>151</v>
      </c>
      <c r="K187">
        <v>312</v>
      </c>
      <c r="L187">
        <v>100.08</v>
      </c>
      <c r="M187">
        <v>2355.9499999999998</v>
      </c>
      <c r="N187">
        <v>73206</v>
      </c>
      <c r="O187">
        <v>1613.45</v>
      </c>
      <c r="P187" s="1">
        <v>-0.80400000000000005</v>
      </c>
      <c r="Q187">
        <f t="shared" si="10"/>
        <v>36</v>
      </c>
      <c r="R187">
        <f t="shared" si="11"/>
        <v>151</v>
      </c>
      <c r="S187" s="1">
        <f t="shared" si="12"/>
        <v>-0.91666666666666663</v>
      </c>
      <c r="T187">
        <f t="shared" si="13"/>
        <v>0.36</v>
      </c>
      <c r="U187" t="str">
        <f t="shared" si="14"/>
        <v>Mar</v>
      </c>
    </row>
    <row r="188" spans="1:21">
      <c r="A188" s="2">
        <v>46072</v>
      </c>
      <c r="B188" t="s">
        <v>4</v>
      </c>
      <c r="C188" t="s">
        <v>43</v>
      </c>
      <c r="D188" t="s">
        <v>7</v>
      </c>
      <c r="E188" t="s">
        <v>38</v>
      </c>
      <c r="F188" t="s">
        <v>45</v>
      </c>
      <c r="G188">
        <v>72</v>
      </c>
      <c r="H188">
        <v>3</v>
      </c>
      <c r="I188">
        <v>46</v>
      </c>
      <c r="J188">
        <v>7</v>
      </c>
      <c r="K188">
        <v>391</v>
      </c>
      <c r="L188">
        <v>80.459999999999994</v>
      </c>
      <c r="M188">
        <v>2484.65</v>
      </c>
      <c r="N188">
        <v>74825</v>
      </c>
      <c r="O188">
        <v>1711.91</v>
      </c>
      <c r="P188" s="1">
        <v>-0.379</v>
      </c>
      <c r="Q188">
        <f t="shared" si="10"/>
        <v>75</v>
      </c>
      <c r="R188">
        <f t="shared" si="11"/>
        <v>10</v>
      </c>
      <c r="S188" s="1">
        <f t="shared" si="12"/>
        <v>0.38666666666666666</v>
      </c>
      <c r="T188">
        <f t="shared" si="13"/>
        <v>0.75</v>
      </c>
      <c r="U188" t="str">
        <f t="shared" si="14"/>
        <v>Feb</v>
      </c>
    </row>
    <row r="189" spans="1:21">
      <c r="A189" s="2">
        <v>46095</v>
      </c>
      <c r="B189" t="s">
        <v>6</v>
      </c>
      <c r="C189" t="s">
        <v>34</v>
      </c>
      <c r="D189" t="s">
        <v>7</v>
      </c>
      <c r="E189" t="s">
        <v>37</v>
      </c>
      <c r="F189" t="s">
        <v>33</v>
      </c>
      <c r="G189">
        <v>61</v>
      </c>
      <c r="H189">
        <v>34</v>
      </c>
      <c r="I189">
        <v>63</v>
      </c>
      <c r="J189">
        <v>64</v>
      </c>
      <c r="K189">
        <v>297</v>
      </c>
      <c r="L189">
        <v>86.36</v>
      </c>
      <c r="M189">
        <v>2402.69</v>
      </c>
      <c r="N189">
        <v>67620</v>
      </c>
      <c r="O189">
        <v>1381.41</v>
      </c>
      <c r="P189" s="1">
        <v>-0.67600000000000005</v>
      </c>
      <c r="Q189">
        <f t="shared" si="10"/>
        <v>95</v>
      </c>
      <c r="R189">
        <f t="shared" si="11"/>
        <v>98</v>
      </c>
      <c r="S189" s="1">
        <f t="shared" si="12"/>
        <v>0.33684210526315789</v>
      </c>
      <c r="T189">
        <f t="shared" si="13"/>
        <v>0.95</v>
      </c>
      <c r="U189" t="str">
        <f t="shared" si="14"/>
        <v>Mar</v>
      </c>
    </row>
    <row r="190" spans="1:21">
      <c r="A190" s="2">
        <v>46080</v>
      </c>
      <c r="B190" t="s">
        <v>4</v>
      </c>
      <c r="C190" t="s">
        <v>31</v>
      </c>
      <c r="D190" t="s">
        <v>7</v>
      </c>
      <c r="E190" t="s">
        <v>35</v>
      </c>
      <c r="F190" t="s">
        <v>49</v>
      </c>
      <c r="G190">
        <v>64</v>
      </c>
      <c r="H190">
        <v>32</v>
      </c>
      <c r="I190">
        <v>86</v>
      </c>
      <c r="J190">
        <v>134</v>
      </c>
      <c r="K190">
        <v>334</v>
      </c>
      <c r="L190">
        <v>107.12</v>
      </c>
      <c r="M190">
        <v>2328.6799999999998</v>
      </c>
      <c r="N190">
        <v>65365</v>
      </c>
      <c r="O190">
        <v>1393.98</v>
      </c>
      <c r="P190" s="1">
        <v>-0.67300000000000004</v>
      </c>
      <c r="Q190">
        <f t="shared" si="10"/>
        <v>96</v>
      </c>
      <c r="R190">
        <f t="shared" si="11"/>
        <v>166</v>
      </c>
      <c r="S190" s="1">
        <f t="shared" si="12"/>
        <v>0.10416666666666667</v>
      </c>
      <c r="T190">
        <f t="shared" si="13"/>
        <v>0.96</v>
      </c>
      <c r="U190" t="str">
        <f t="shared" si="14"/>
        <v>Feb</v>
      </c>
    </row>
    <row r="191" spans="1:21">
      <c r="A191" s="2">
        <v>46109</v>
      </c>
      <c r="B191" t="s">
        <v>4</v>
      </c>
      <c r="C191" t="s">
        <v>51</v>
      </c>
      <c r="D191" t="s">
        <v>9</v>
      </c>
      <c r="E191" t="s">
        <v>35</v>
      </c>
      <c r="F191" t="s">
        <v>39</v>
      </c>
      <c r="G191">
        <v>80</v>
      </c>
      <c r="H191">
        <v>31</v>
      </c>
      <c r="I191">
        <v>47</v>
      </c>
      <c r="J191">
        <v>136</v>
      </c>
      <c r="K191">
        <v>320</v>
      </c>
      <c r="L191">
        <v>114.19</v>
      </c>
      <c r="M191">
        <v>1851.44</v>
      </c>
      <c r="N191">
        <v>73806</v>
      </c>
      <c r="O191">
        <v>906.73</v>
      </c>
      <c r="P191" s="1">
        <v>0.20899999999999999</v>
      </c>
      <c r="Q191">
        <f t="shared" si="10"/>
        <v>111</v>
      </c>
      <c r="R191">
        <f t="shared" si="11"/>
        <v>167</v>
      </c>
      <c r="S191" s="1">
        <f t="shared" si="12"/>
        <v>0.57657657657657657</v>
      </c>
      <c r="T191">
        <f t="shared" si="13"/>
        <v>1.1100000000000001</v>
      </c>
      <c r="U191" t="str">
        <f t="shared" si="14"/>
        <v>Mar</v>
      </c>
    </row>
    <row r="192" spans="1:21">
      <c r="A192" s="2">
        <v>46079</v>
      </c>
      <c r="B192" t="s">
        <v>4</v>
      </c>
      <c r="C192" t="s">
        <v>31</v>
      </c>
      <c r="D192" t="s">
        <v>11</v>
      </c>
      <c r="E192" t="s">
        <v>37</v>
      </c>
      <c r="F192" t="s">
        <v>45</v>
      </c>
      <c r="G192">
        <v>5</v>
      </c>
      <c r="H192">
        <v>9</v>
      </c>
      <c r="I192">
        <v>28</v>
      </c>
      <c r="J192">
        <v>76</v>
      </c>
      <c r="K192">
        <v>326</v>
      </c>
      <c r="L192">
        <v>118.56</v>
      </c>
      <c r="M192">
        <v>2143.5</v>
      </c>
      <c r="N192">
        <v>73090</v>
      </c>
      <c r="O192">
        <v>1439.14</v>
      </c>
      <c r="P192" s="1">
        <v>-0.88500000000000001</v>
      </c>
      <c r="Q192">
        <f t="shared" si="10"/>
        <v>14</v>
      </c>
      <c r="R192">
        <f t="shared" si="11"/>
        <v>85</v>
      </c>
      <c r="S192" s="1">
        <f t="shared" si="12"/>
        <v>-1</v>
      </c>
      <c r="T192">
        <f t="shared" si="13"/>
        <v>0.14000000000000001</v>
      </c>
      <c r="U192" t="str">
        <f t="shared" si="14"/>
        <v>Feb</v>
      </c>
    </row>
    <row r="193" spans="1:21">
      <c r="A193" s="2">
        <v>46074</v>
      </c>
      <c r="B193" t="s">
        <v>6</v>
      </c>
      <c r="C193" t="s">
        <v>36</v>
      </c>
      <c r="D193" t="s">
        <v>10</v>
      </c>
      <c r="E193" t="s">
        <v>37</v>
      </c>
      <c r="F193" t="s">
        <v>33</v>
      </c>
      <c r="G193">
        <v>78</v>
      </c>
      <c r="H193">
        <v>58</v>
      </c>
      <c r="I193">
        <v>54</v>
      </c>
      <c r="J193">
        <v>127</v>
      </c>
      <c r="K193">
        <v>204</v>
      </c>
      <c r="L193">
        <v>110.96</v>
      </c>
      <c r="M193">
        <v>2021.04</v>
      </c>
      <c r="N193">
        <v>75359</v>
      </c>
      <c r="O193">
        <v>1561.99</v>
      </c>
      <c r="P193" s="1">
        <v>0.90900000000000003</v>
      </c>
      <c r="Q193">
        <f t="shared" si="10"/>
        <v>136</v>
      </c>
      <c r="R193">
        <f t="shared" si="11"/>
        <v>185</v>
      </c>
      <c r="S193" s="1">
        <f t="shared" si="12"/>
        <v>0.6029411764705882</v>
      </c>
      <c r="T193">
        <f t="shared" si="13"/>
        <v>1.36</v>
      </c>
      <c r="U193" t="str">
        <f t="shared" si="14"/>
        <v>Feb</v>
      </c>
    </row>
    <row r="194" spans="1:21">
      <c r="A194" s="2">
        <v>46124</v>
      </c>
      <c r="B194" t="s">
        <v>6</v>
      </c>
      <c r="C194" t="s">
        <v>44</v>
      </c>
      <c r="D194" t="s">
        <v>9</v>
      </c>
      <c r="E194" t="s">
        <v>32</v>
      </c>
      <c r="F194" t="s">
        <v>45</v>
      </c>
      <c r="G194">
        <v>113</v>
      </c>
      <c r="H194">
        <v>73</v>
      </c>
      <c r="I194">
        <v>53</v>
      </c>
      <c r="J194">
        <v>145</v>
      </c>
      <c r="K194">
        <v>117</v>
      </c>
      <c r="L194">
        <v>80.19</v>
      </c>
      <c r="M194">
        <v>2364.27</v>
      </c>
      <c r="N194">
        <v>72023</v>
      </c>
      <c r="O194">
        <v>1799.06</v>
      </c>
      <c r="P194" s="1">
        <v>0.70899999999999996</v>
      </c>
      <c r="Q194">
        <f t="shared" si="10"/>
        <v>186</v>
      </c>
      <c r="R194">
        <f t="shared" si="11"/>
        <v>218</v>
      </c>
      <c r="S194" s="1">
        <f t="shared" si="12"/>
        <v>0.71505376344086025</v>
      </c>
      <c r="T194">
        <f t="shared" si="13"/>
        <v>1.86</v>
      </c>
      <c r="U194" t="str">
        <f t="shared" si="14"/>
        <v>Apr</v>
      </c>
    </row>
    <row r="195" spans="1:21">
      <c r="A195" s="2">
        <v>46101</v>
      </c>
      <c r="B195" t="s">
        <v>6</v>
      </c>
      <c r="C195" t="s">
        <v>44</v>
      </c>
      <c r="D195" t="s">
        <v>5</v>
      </c>
      <c r="E195" t="s">
        <v>32</v>
      </c>
      <c r="F195" t="s">
        <v>39</v>
      </c>
      <c r="G195">
        <v>6</v>
      </c>
      <c r="H195">
        <v>41</v>
      </c>
      <c r="I195">
        <v>50</v>
      </c>
      <c r="J195">
        <v>119</v>
      </c>
      <c r="K195">
        <v>308</v>
      </c>
      <c r="L195">
        <v>122.28</v>
      </c>
      <c r="M195">
        <v>1953.64</v>
      </c>
      <c r="N195">
        <v>74002</v>
      </c>
      <c r="O195">
        <v>1343.95</v>
      </c>
      <c r="P195" s="1">
        <v>8.5999999999999993E-2</v>
      </c>
      <c r="Q195">
        <f t="shared" ref="Q195:Q258" si="15">G195+H195</f>
        <v>47</v>
      </c>
      <c r="R195">
        <f t="shared" ref="R195:R258" si="16">J195+H195</f>
        <v>160</v>
      </c>
      <c r="S195" s="1">
        <f t="shared" ref="S195:S258" si="17">(Q195-I195)/(Q195)</f>
        <v>-6.3829787234042548E-2</v>
      </c>
      <c r="T195">
        <f t="shared" ref="T195:T258" si="18">Q195/100</f>
        <v>0.47</v>
      </c>
      <c r="U195" t="str">
        <f t="shared" ref="U195:U258" si="19">TEXT(A195,"mmm")</f>
        <v>Mar</v>
      </c>
    </row>
    <row r="196" spans="1:21">
      <c r="A196" s="2">
        <v>46089</v>
      </c>
      <c r="B196" t="s">
        <v>4</v>
      </c>
      <c r="C196" t="s">
        <v>50</v>
      </c>
      <c r="D196" t="s">
        <v>7</v>
      </c>
      <c r="E196" t="s">
        <v>47</v>
      </c>
      <c r="F196" t="s">
        <v>39</v>
      </c>
      <c r="G196">
        <v>16</v>
      </c>
      <c r="H196">
        <v>33</v>
      </c>
      <c r="I196">
        <v>89</v>
      </c>
      <c r="J196">
        <v>44</v>
      </c>
      <c r="K196">
        <v>122</v>
      </c>
      <c r="L196">
        <v>117.65</v>
      </c>
      <c r="M196">
        <v>2253.3000000000002</v>
      </c>
      <c r="N196">
        <v>75390</v>
      </c>
      <c r="O196">
        <v>1776.33</v>
      </c>
      <c r="P196" s="1">
        <v>-0.77500000000000002</v>
      </c>
      <c r="Q196">
        <f t="shared" si="15"/>
        <v>49</v>
      </c>
      <c r="R196">
        <f t="shared" si="16"/>
        <v>77</v>
      </c>
      <c r="S196" s="1">
        <f t="shared" si="17"/>
        <v>-0.81632653061224492</v>
      </c>
      <c r="T196">
        <f t="shared" si="18"/>
        <v>0.49</v>
      </c>
      <c r="U196" t="str">
        <f t="shared" si="19"/>
        <v>Mar</v>
      </c>
    </row>
    <row r="197" spans="1:21">
      <c r="A197" s="2">
        <v>46089</v>
      </c>
      <c r="B197" t="s">
        <v>4</v>
      </c>
      <c r="C197" t="s">
        <v>51</v>
      </c>
      <c r="D197" t="s">
        <v>7</v>
      </c>
      <c r="E197" t="s">
        <v>37</v>
      </c>
      <c r="F197" t="s">
        <v>49</v>
      </c>
      <c r="G197">
        <v>46</v>
      </c>
      <c r="H197">
        <v>46</v>
      </c>
      <c r="I197">
        <v>83</v>
      </c>
      <c r="J197">
        <v>73</v>
      </c>
      <c r="K197">
        <v>188</v>
      </c>
      <c r="L197">
        <v>92.51</v>
      </c>
      <c r="M197">
        <v>2498.4699999999998</v>
      </c>
      <c r="N197">
        <v>75765</v>
      </c>
      <c r="O197">
        <v>1072.8</v>
      </c>
      <c r="P197" s="1">
        <v>-0.879</v>
      </c>
      <c r="Q197">
        <f t="shared" si="15"/>
        <v>92</v>
      </c>
      <c r="R197">
        <f t="shared" si="16"/>
        <v>119</v>
      </c>
      <c r="S197" s="1">
        <f t="shared" si="17"/>
        <v>9.7826086956521743E-2</v>
      </c>
      <c r="T197">
        <f t="shared" si="18"/>
        <v>0.92</v>
      </c>
      <c r="U197" t="str">
        <f t="shared" si="19"/>
        <v>Mar</v>
      </c>
    </row>
    <row r="198" spans="1:21">
      <c r="A198" s="2">
        <v>46098</v>
      </c>
      <c r="B198" t="s">
        <v>4</v>
      </c>
      <c r="C198" t="s">
        <v>34</v>
      </c>
      <c r="D198" t="s">
        <v>9</v>
      </c>
      <c r="E198" t="s">
        <v>32</v>
      </c>
      <c r="F198" t="s">
        <v>39</v>
      </c>
      <c r="G198">
        <v>27</v>
      </c>
      <c r="H198">
        <v>23</v>
      </c>
      <c r="I198">
        <v>45</v>
      </c>
      <c r="J198">
        <v>149</v>
      </c>
      <c r="K198">
        <v>347</v>
      </c>
      <c r="L198">
        <v>102.96</v>
      </c>
      <c r="M198">
        <v>2165.9299999999998</v>
      </c>
      <c r="N198">
        <v>65611</v>
      </c>
      <c r="O198">
        <v>1773.43</v>
      </c>
      <c r="P198" s="1">
        <v>-0.64200000000000002</v>
      </c>
      <c r="Q198">
        <f t="shared" si="15"/>
        <v>50</v>
      </c>
      <c r="R198">
        <f t="shared" si="16"/>
        <v>172</v>
      </c>
      <c r="S198" s="1">
        <f t="shared" si="17"/>
        <v>0.1</v>
      </c>
      <c r="T198">
        <f t="shared" si="18"/>
        <v>0.5</v>
      </c>
      <c r="U198" t="str">
        <f t="shared" si="19"/>
        <v>Mar</v>
      </c>
    </row>
    <row r="199" spans="1:21">
      <c r="A199" s="2">
        <v>46111</v>
      </c>
      <c r="B199" t="s">
        <v>4</v>
      </c>
      <c r="C199" t="s">
        <v>40</v>
      </c>
      <c r="D199" t="s">
        <v>9</v>
      </c>
      <c r="E199" t="s">
        <v>35</v>
      </c>
      <c r="F199" t="s">
        <v>49</v>
      </c>
      <c r="G199">
        <v>60</v>
      </c>
      <c r="H199">
        <v>10</v>
      </c>
      <c r="I199">
        <v>53</v>
      </c>
      <c r="J199">
        <v>110</v>
      </c>
      <c r="K199">
        <v>255</v>
      </c>
      <c r="L199">
        <v>104.54</v>
      </c>
      <c r="M199">
        <v>2252.19</v>
      </c>
      <c r="N199">
        <v>71677</v>
      </c>
      <c r="O199">
        <v>1528.57</v>
      </c>
      <c r="P199" s="1">
        <v>-0.16800000000000001</v>
      </c>
      <c r="Q199">
        <f t="shared" si="15"/>
        <v>70</v>
      </c>
      <c r="R199">
        <f t="shared" si="16"/>
        <v>120</v>
      </c>
      <c r="S199" s="1">
        <f t="shared" si="17"/>
        <v>0.24285714285714285</v>
      </c>
      <c r="T199">
        <f t="shared" si="18"/>
        <v>0.7</v>
      </c>
      <c r="U199" t="str">
        <f t="shared" si="19"/>
        <v>Mar</v>
      </c>
    </row>
    <row r="200" spans="1:21">
      <c r="A200" s="2">
        <v>46096</v>
      </c>
      <c r="B200" t="s">
        <v>6</v>
      </c>
      <c r="C200" t="s">
        <v>40</v>
      </c>
      <c r="D200" t="s">
        <v>7</v>
      </c>
      <c r="E200" t="s">
        <v>35</v>
      </c>
      <c r="F200" t="s">
        <v>49</v>
      </c>
      <c r="G200">
        <v>46</v>
      </c>
      <c r="H200">
        <v>1</v>
      </c>
      <c r="I200">
        <v>11</v>
      </c>
      <c r="J200">
        <v>75</v>
      </c>
      <c r="K200">
        <v>306</v>
      </c>
      <c r="L200">
        <v>80.959999999999994</v>
      </c>
      <c r="M200">
        <v>1878.66</v>
      </c>
      <c r="N200">
        <v>65234</v>
      </c>
      <c r="O200">
        <v>1624.29</v>
      </c>
      <c r="P200" s="1">
        <v>0.33</v>
      </c>
      <c r="Q200">
        <f t="shared" si="15"/>
        <v>47</v>
      </c>
      <c r="R200">
        <f t="shared" si="16"/>
        <v>76</v>
      </c>
      <c r="S200" s="1">
        <f t="shared" si="17"/>
        <v>0.76595744680851063</v>
      </c>
      <c r="T200">
        <f t="shared" si="18"/>
        <v>0.47</v>
      </c>
      <c r="U200" t="str">
        <f t="shared" si="19"/>
        <v>Mar</v>
      </c>
    </row>
    <row r="201" spans="1:21">
      <c r="A201" s="2">
        <v>46124</v>
      </c>
      <c r="B201" t="s">
        <v>6</v>
      </c>
      <c r="C201" t="s">
        <v>48</v>
      </c>
      <c r="D201" t="s">
        <v>7</v>
      </c>
      <c r="E201" t="s">
        <v>37</v>
      </c>
      <c r="F201" t="s">
        <v>33</v>
      </c>
      <c r="G201">
        <v>35</v>
      </c>
      <c r="H201">
        <v>79</v>
      </c>
      <c r="I201">
        <v>69</v>
      </c>
      <c r="J201">
        <v>33</v>
      </c>
      <c r="K201">
        <v>336</v>
      </c>
      <c r="L201">
        <v>132.57</v>
      </c>
      <c r="M201">
        <v>2261.04</v>
      </c>
      <c r="N201">
        <v>73754</v>
      </c>
      <c r="O201">
        <v>1380.06</v>
      </c>
      <c r="P201" s="1">
        <v>-0.97499999999999998</v>
      </c>
      <c r="Q201">
        <f t="shared" si="15"/>
        <v>114</v>
      </c>
      <c r="R201">
        <f t="shared" si="16"/>
        <v>112</v>
      </c>
      <c r="S201" s="1">
        <f t="shared" si="17"/>
        <v>0.39473684210526316</v>
      </c>
      <c r="T201">
        <f t="shared" si="18"/>
        <v>1.1399999999999999</v>
      </c>
      <c r="U201" t="str">
        <f t="shared" si="19"/>
        <v>Apr</v>
      </c>
    </row>
    <row r="202" spans="1:21">
      <c r="A202" s="2">
        <v>46119</v>
      </c>
      <c r="B202" t="s">
        <v>6</v>
      </c>
      <c r="C202" t="s">
        <v>43</v>
      </c>
      <c r="D202" t="s">
        <v>11</v>
      </c>
      <c r="E202" t="s">
        <v>32</v>
      </c>
      <c r="F202" t="s">
        <v>39</v>
      </c>
      <c r="G202">
        <v>97</v>
      </c>
      <c r="H202">
        <v>6</v>
      </c>
      <c r="I202">
        <v>41</v>
      </c>
      <c r="J202">
        <v>114</v>
      </c>
      <c r="K202">
        <v>107</v>
      </c>
      <c r="L202">
        <v>125.17</v>
      </c>
      <c r="M202">
        <v>1876.43</v>
      </c>
      <c r="N202">
        <v>64116</v>
      </c>
      <c r="O202">
        <v>1253.6300000000001</v>
      </c>
      <c r="P202" s="1">
        <v>-0.74399999999999999</v>
      </c>
      <c r="Q202">
        <f t="shared" si="15"/>
        <v>103</v>
      </c>
      <c r="R202">
        <f t="shared" si="16"/>
        <v>120</v>
      </c>
      <c r="S202" s="1">
        <f t="shared" si="17"/>
        <v>0.60194174757281549</v>
      </c>
      <c r="T202">
        <f t="shared" si="18"/>
        <v>1.03</v>
      </c>
      <c r="U202" t="str">
        <f t="shared" si="19"/>
        <v>Apr</v>
      </c>
    </row>
    <row r="203" spans="1:21">
      <c r="A203" s="2">
        <v>46123</v>
      </c>
      <c r="B203" t="s">
        <v>6</v>
      </c>
      <c r="C203" t="s">
        <v>34</v>
      </c>
      <c r="D203" t="s">
        <v>11</v>
      </c>
      <c r="E203" t="s">
        <v>41</v>
      </c>
      <c r="F203" t="s">
        <v>39</v>
      </c>
      <c r="G203">
        <v>102</v>
      </c>
      <c r="H203">
        <v>48</v>
      </c>
      <c r="I203">
        <v>69</v>
      </c>
      <c r="J203">
        <v>80</v>
      </c>
      <c r="K203">
        <v>110</v>
      </c>
      <c r="L203">
        <v>102.91</v>
      </c>
      <c r="M203">
        <v>2192.23</v>
      </c>
      <c r="N203">
        <v>72705</v>
      </c>
      <c r="O203">
        <v>1700.9</v>
      </c>
      <c r="P203" s="1">
        <v>-0.48499999999999999</v>
      </c>
      <c r="Q203">
        <f t="shared" si="15"/>
        <v>150</v>
      </c>
      <c r="R203">
        <f t="shared" si="16"/>
        <v>128</v>
      </c>
      <c r="S203" s="1">
        <f t="shared" si="17"/>
        <v>0.54</v>
      </c>
      <c r="T203">
        <f t="shared" si="18"/>
        <v>1.5</v>
      </c>
      <c r="U203" t="str">
        <f t="shared" si="19"/>
        <v>Apr</v>
      </c>
    </row>
    <row r="204" spans="1:21">
      <c r="A204" s="2">
        <v>46123</v>
      </c>
      <c r="B204" t="s">
        <v>6</v>
      </c>
      <c r="C204" t="s">
        <v>50</v>
      </c>
      <c r="D204" t="s">
        <v>11</v>
      </c>
      <c r="E204" t="s">
        <v>32</v>
      </c>
      <c r="F204" t="s">
        <v>49</v>
      </c>
      <c r="G204">
        <v>84</v>
      </c>
      <c r="H204">
        <v>65</v>
      </c>
      <c r="I204">
        <v>68</v>
      </c>
      <c r="J204">
        <v>67</v>
      </c>
      <c r="K204">
        <v>37</v>
      </c>
      <c r="L204">
        <v>114.04</v>
      </c>
      <c r="M204">
        <v>2219.4899999999998</v>
      </c>
      <c r="N204">
        <v>66933</v>
      </c>
      <c r="O204">
        <v>1376.26</v>
      </c>
      <c r="P204" s="1">
        <v>0.72</v>
      </c>
      <c r="Q204">
        <f t="shared" si="15"/>
        <v>149</v>
      </c>
      <c r="R204">
        <f t="shared" si="16"/>
        <v>132</v>
      </c>
      <c r="S204" s="1">
        <f t="shared" si="17"/>
        <v>0.5436241610738255</v>
      </c>
      <c r="T204">
        <f t="shared" si="18"/>
        <v>1.49</v>
      </c>
      <c r="U204" t="str">
        <f t="shared" si="19"/>
        <v>Apr</v>
      </c>
    </row>
    <row r="205" spans="1:21">
      <c r="A205" s="2">
        <v>46125</v>
      </c>
      <c r="B205" t="s">
        <v>4</v>
      </c>
      <c r="C205" t="s">
        <v>43</v>
      </c>
      <c r="D205" t="s">
        <v>10</v>
      </c>
      <c r="E205" t="s">
        <v>42</v>
      </c>
      <c r="F205" t="s">
        <v>39</v>
      </c>
      <c r="G205">
        <v>47</v>
      </c>
      <c r="H205">
        <v>34</v>
      </c>
      <c r="I205">
        <v>6</v>
      </c>
      <c r="J205">
        <v>83</v>
      </c>
      <c r="K205">
        <v>48</v>
      </c>
      <c r="L205">
        <v>117.27</v>
      </c>
      <c r="M205">
        <v>2215.88</v>
      </c>
      <c r="N205">
        <v>68037</v>
      </c>
      <c r="O205">
        <v>1202.52</v>
      </c>
      <c r="P205" s="1">
        <v>0.96099999999999997</v>
      </c>
      <c r="Q205">
        <f t="shared" si="15"/>
        <v>81</v>
      </c>
      <c r="R205">
        <f t="shared" si="16"/>
        <v>117</v>
      </c>
      <c r="S205" s="1">
        <f t="shared" si="17"/>
        <v>0.92592592592592593</v>
      </c>
      <c r="T205">
        <f t="shared" si="18"/>
        <v>0.81</v>
      </c>
      <c r="U205" t="str">
        <f t="shared" si="19"/>
        <v>Apr</v>
      </c>
    </row>
    <row r="206" spans="1:21">
      <c r="A206" s="2">
        <v>46080</v>
      </c>
      <c r="B206" t="s">
        <v>6</v>
      </c>
      <c r="C206" t="s">
        <v>40</v>
      </c>
      <c r="D206" t="s">
        <v>5</v>
      </c>
      <c r="E206" t="s">
        <v>42</v>
      </c>
      <c r="F206" t="s">
        <v>33</v>
      </c>
      <c r="G206">
        <v>14</v>
      </c>
      <c r="H206">
        <v>70</v>
      </c>
      <c r="I206">
        <v>45</v>
      </c>
      <c r="J206">
        <v>25</v>
      </c>
      <c r="K206">
        <v>381</v>
      </c>
      <c r="L206">
        <v>94.73</v>
      </c>
      <c r="M206">
        <v>2214.16</v>
      </c>
      <c r="N206">
        <v>64640</v>
      </c>
      <c r="O206">
        <v>1693.21</v>
      </c>
      <c r="P206" s="1">
        <v>-0.80900000000000005</v>
      </c>
      <c r="Q206">
        <f t="shared" si="15"/>
        <v>84</v>
      </c>
      <c r="R206">
        <f t="shared" si="16"/>
        <v>95</v>
      </c>
      <c r="S206" s="1">
        <f t="shared" si="17"/>
        <v>0.4642857142857143</v>
      </c>
      <c r="T206">
        <f t="shared" si="18"/>
        <v>0.84</v>
      </c>
      <c r="U206" t="str">
        <f t="shared" si="19"/>
        <v>Feb</v>
      </c>
    </row>
    <row r="207" spans="1:21">
      <c r="A207" s="2">
        <v>46080</v>
      </c>
      <c r="B207" t="s">
        <v>6</v>
      </c>
      <c r="C207" t="s">
        <v>51</v>
      </c>
      <c r="D207" t="s">
        <v>9</v>
      </c>
      <c r="E207" t="s">
        <v>38</v>
      </c>
      <c r="F207" t="s">
        <v>45</v>
      </c>
      <c r="G207">
        <v>72</v>
      </c>
      <c r="H207">
        <v>9</v>
      </c>
      <c r="I207">
        <v>10</v>
      </c>
      <c r="J207">
        <v>85</v>
      </c>
      <c r="K207">
        <v>114</v>
      </c>
      <c r="L207">
        <v>96.05</v>
      </c>
      <c r="M207">
        <v>2307.89</v>
      </c>
      <c r="N207">
        <v>65523</v>
      </c>
      <c r="O207">
        <v>1377.9</v>
      </c>
      <c r="P207" s="1">
        <v>-0.31</v>
      </c>
      <c r="Q207">
        <f t="shared" si="15"/>
        <v>81</v>
      </c>
      <c r="R207">
        <f t="shared" si="16"/>
        <v>94</v>
      </c>
      <c r="S207" s="1">
        <f t="shared" si="17"/>
        <v>0.87654320987654322</v>
      </c>
      <c r="T207">
        <f t="shared" si="18"/>
        <v>0.81</v>
      </c>
      <c r="U207" t="str">
        <f t="shared" si="19"/>
        <v>Feb</v>
      </c>
    </row>
    <row r="208" spans="1:21">
      <c r="A208" s="2">
        <v>46113</v>
      </c>
      <c r="B208" t="s">
        <v>4</v>
      </c>
      <c r="C208" t="s">
        <v>43</v>
      </c>
      <c r="D208" t="s">
        <v>9</v>
      </c>
      <c r="E208" t="s">
        <v>47</v>
      </c>
      <c r="F208" t="s">
        <v>49</v>
      </c>
      <c r="G208">
        <v>114</v>
      </c>
      <c r="H208">
        <v>53</v>
      </c>
      <c r="I208">
        <v>2</v>
      </c>
      <c r="J208">
        <v>115</v>
      </c>
      <c r="K208">
        <v>30</v>
      </c>
      <c r="L208">
        <v>91.19</v>
      </c>
      <c r="M208">
        <v>1976.03</v>
      </c>
      <c r="N208">
        <v>69573</v>
      </c>
      <c r="O208">
        <v>1147.52</v>
      </c>
      <c r="P208" s="1">
        <v>0.67800000000000005</v>
      </c>
      <c r="Q208">
        <f t="shared" si="15"/>
        <v>167</v>
      </c>
      <c r="R208">
        <f t="shared" si="16"/>
        <v>168</v>
      </c>
      <c r="S208" s="1">
        <f t="shared" si="17"/>
        <v>0.9880239520958084</v>
      </c>
      <c r="T208">
        <f t="shared" si="18"/>
        <v>1.67</v>
      </c>
      <c r="U208" t="str">
        <f t="shared" si="19"/>
        <v>Apr</v>
      </c>
    </row>
    <row r="209" spans="1:21">
      <c r="A209" s="2">
        <v>46104</v>
      </c>
      <c r="B209" t="s">
        <v>6</v>
      </c>
      <c r="C209" t="s">
        <v>51</v>
      </c>
      <c r="D209" t="s">
        <v>7</v>
      </c>
      <c r="E209" t="s">
        <v>41</v>
      </c>
      <c r="F209" t="s">
        <v>39</v>
      </c>
      <c r="G209">
        <v>18</v>
      </c>
      <c r="H209">
        <v>57</v>
      </c>
      <c r="I209">
        <v>63</v>
      </c>
      <c r="J209">
        <v>83</v>
      </c>
      <c r="K209">
        <v>193</v>
      </c>
      <c r="L209">
        <v>118.31</v>
      </c>
      <c r="M209">
        <v>2089.9899999999998</v>
      </c>
      <c r="N209">
        <v>66749</v>
      </c>
      <c r="O209">
        <v>1165.29</v>
      </c>
      <c r="P209" s="1">
        <v>-0.68600000000000005</v>
      </c>
      <c r="Q209">
        <f t="shared" si="15"/>
        <v>75</v>
      </c>
      <c r="R209">
        <f t="shared" si="16"/>
        <v>140</v>
      </c>
      <c r="S209" s="1">
        <f t="shared" si="17"/>
        <v>0.16</v>
      </c>
      <c r="T209">
        <f t="shared" si="18"/>
        <v>0.75</v>
      </c>
      <c r="U209" t="str">
        <f t="shared" si="19"/>
        <v>Mar</v>
      </c>
    </row>
    <row r="210" spans="1:21">
      <c r="A210" s="2">
        <v>46075</v>
      </c>
      <c r="B210" t="s">
        <v>6</v>
      </c>
      <c r="C210" t="s">
        <v>46</v>
      </c>
      <c r="D210" t="s">
        <v>5</v>
      </c>
      <c r="E210" t="s">
        <v>47</v>
      </c>
      <c r="F210" t="s">
        <v>49</v>
      </c>
      <c r="G210">
        <v>47</v>
      </c>
      <c r="H210">
        <v>67</v>
      </c>
      <c r="I210">
        <v>19</v>
      </c>
      <c r="J210">
        <v>25</v>
      </c>
      <c r="K210">
        <v>437</v>
      </c>
      <c r="L210">
        <v>115.44</v>
      </c>
      <c r="M210">
        <v>1820.04</v>
      </c>
      <c r="N210">
        <v>75343</v>
      </c>
      <c r="O210">
        <v>1245.5</v>
      </c>
      <c r="P210" s="1">
        <v>-0.627</v>
      </c>
      <c r="Q210">
        <f t="shared" si="15"/>
        <v>114</v>
      </c>
      <c r="R210">
        <f t="shared" si="16"/>
        <v>92</v>
      </c>
      <c r="S210" s="1">
        <f t="shared" si="17"/>
        <v>0.83333333333333337</v>
      </c>
      <c r="T210">
        <f t="shared" si="18"/>
        <v>1.1399999999999999</v>
      </c>
      <c r="U210" t="str">
        <f t="shared" si="19"/>
        <v>Feb</v>
      </c>
    </row>
    <row r="211" spans="1:21">
      <c r="A211" s="2">
        <v>46089</v>
      </c>
      <c r="B211" t="s">
        <v>6</v>
      </c>
      <c r="C211" t="s">
        <v>50</v>
      </c>
      <c r="D211" t="s">
        <v>7</v>
      </c>
      <c r="E211" t="s">
        <v>47</v>
      </c>
      <c r="F211" t="s">
        <v>39</v>
      </c>
      <c r="G211">
        <v>79</v>
      </c>
      <c r="H211">
        <v>7</v>
      </c>
      <c r="I211">
        <v>38</v>
      </c>
      <c r="J211">
        <v>150</v>
      </c>
      <c r="K211">
        <v>136</v>
      </c>
      <c r="L211">
        <v>103.26</v>
      </c>
      <c r="M211">
        <v>2072.2600000000002</v>
      </c>
      <c r="N211">
        <v>68706</v>
      </c>
      <c r="O211">
        <v>1604.41</v>
      </c>
      <c r="P211" s="1">
        <v>0.61599999999999999</v>
      </c>
      <c r="Q211">
        <f t="shared" si="15"/>
        <v>86</v>
      </c>
      <c r="R211">
        <f t="shared" si="16"/>
        <v>157</v>
      </c>
      <c r="S211" s="1">
        <f t="shared" si="17"/>
        <v>0.55813953488372092</v>
      </c>
      <c r="T211">
        <f t="shared" si="18"/>
        <v>0.86</v>
      </c>
      <c r="U211" t="str">
        <f t="shared" si="19"/>
        <v>Mar</v>
      </c>
    </row>
    <row r="212" spans="1:21">
      <c r="A212" s="2">
        <v>46126</v>
      </c>
      <c r="B212" t="s">
        <v>4</v>
      </c>
      <c r="C212" t="s">
        <v>40</v>
      </c>
      <c r="D212" t="s">
        <v>7</v>
      </c>
      <c r="E212" t="s">
        <v>41</v>
      </c>
      <c r="F212" t="s">
        <v>39</v>
      </c>
      <c r="G212">
        <v>119</v>
      </c>
      <c r="H212">
        <v>73</v>
      </c>
      <c r="I212">
        <v>18</v>
      </c>
      <c r="J212">
        <v>89</v>
      </c>
      <c r="K212">
        <v>217</v>
      </c>
      <c r="L212">
        <v>92.02</v>
      </c>
      <c r="M212">
        <v>2222.25</v>
      </c>
      <c r="N212">
        <v>64639</v>
      </c>
      <c r="O212">
        <v>927.05</v>
      </c>
      <c r="P212" s="1">
        <v>6.2E-2</v>
      </c>
      <c r="Q212">
        <f t="shared" si="15"/>
        <v>192</v>
      </c>
      <c r="R212">
        <f t="shared" si="16"/>
        <v>162</v>
      </c>
      <c r="S212" s="1">
        <f t="shared" si="17"/>
        <v>0.90625</v>
      </c>
      <c r="T212">
        <f t="shared" si="18"/>
        <v>1.92</v>
      </c>
      <c r="U212" t="str">
        <f t="shared" si="19"/>
        <v>Apr</v>
      </c>
    </row>
    <row r="213" spans="1:21">
      <c r="A213" s="2">
        <v>46109</v>
      </c>
      <c r="B213" t="s">
        <v>4</v>
      </c>
      <c r="C213" t="s">
        <v>31</v>
      </c>
      <c r="D213" t="s">
        <v>5</v>
      </c>
      <c r="E213" t="s">
        <v>35</v>
      </c>
      <c r="F213" t="s">
        <v>39</v>
      </c>
      <c r="G213">
        <v>9</v>
      </c>
      <c r="H213">
        <v>58</v>
      </c>
      <c r="I213">
        <v>74</v>
      </c>
      <c r="J213">
        <v>131</v>
      </c>
      <c r="K213">
        <v>188</v>
      </c>
      <c r="L213">
        <v>80.92</v>
      </c>
      <c r="M213">
        <v>1820.96</v>
      </c>
      <c r="N213">
        <v>69485</v>
      </c>
      <c r="O213">
        <v>1733.9</v>
      </c>
      <c r="P213" s="1">
        <v>-0.105</v>
      </c>
      <c r="Q213">
        <f t="shared" si="15"/>
        <v>67</v>
      </c>
      <c r="R213">
        <f t="shared" si="16"/>
        <v>189</v>
      </c>
      <c r="S213" s="1">
        <f t="shared" si="17"/>
        <v>-0.1044776119402985</v>
      </c>
      <c r="T213">
        <f t="shared" si="18"/>
        <v>0.67</v>
      </c>
      <c r="U213" t="str">
        <f t="shared" si="19"/>
        <v>Mar</v>
      </c>
    </row>
    <row r="214" spans="1:21">
      <c r="A214" s="2">
        <v>46106</v>
      </c>
      <c r="B214" t="s">
        <v>4</v>
      </c>
      <c r="C214" t="s">
        <v>46</v>
      </c>
      <c r="D214" t="s">
        <v>10</v>
      </c>
      <c r="E214" t="s">
        <v>35</v>
      </c>
      <c r="F214" t="s">
        <v>33</v>
      </c>
      <c r="G214">
        <v>80</v>
      </c>
      <c r="H214">
        <v>9</v>
      </c>
      <c r="I214">
        <v>66</v>
      </c>
      <c r="J214">
        <v>112</v>
      </c>
      <c r="K214">
        <v>336</v>
      </c>
      <c r="L214">
        <v>110.25</v>
      </c>
      <c r="M214">
        <v>2322.16</v>
      </c>
      <c r="N214">
        <v>64676</v>
      </c>
      <c r="O214">
        <v>1326.59</v>
      </c>
      <c r="P214" s="1">
        <v>-0.80600000000000005</v>
      </c>
      <c r="Q214">
        <f t="shared" si="15"/>
        <v>89</v>
      </c>
      <c r="R214">
        <f t="shared" si="16"/>
        <v>121</v>
      </c>
      <c r="S214" s="1">
        <f t="shared" si="17"/>
        <v>0.25842696629213485</v>
      </c>
      <c r="T214">
        <f t="shared" si="18"/>
        <v>0.89</v>
      </c>
      <c r="U214" t="str">
        <f t="shared" si="19"/>
        <v>Mar</v>
      </c>
    </row>
    <row r="215" spans="1:21">
      <c r="A215" s="2">
        <v>46083</v>
      </c>
      <c r="B215" t="s">
        <v>4</v>
      </c>
      <c r="C215" t="s">
        <v>51</v>
      </c>
      <c r="D215" t="s">
        <v>5</v>
      </c>
      <c r="E215" t="s">
        <v>47</v>
      </c>
      <c r="F215" t="s">
        <v>33</v>
      </c>
      <c r="G215">
        <v>14</v>
      </c>
      <c r="H215">
        <v>54</v>
      </c>
      <c r="I215">
        <v>19</v>
      </c>
      <c r="J215">
        <v>113</v>
      </c>
      <c r="K215">
        <v>115</v>
      </c>
      <c r="L215">
        <v>83.83</v>
      </c>
      <c r="M215">
        <v>2096.5</v>
      </c>
      <c r="N215">
        <v>74589</v>
      </c>
      <c r="O215">
        <v>1411.63</v>
      </c>
      <c r="P215" s="1">
        <v>-0.871</v>
      </c>
      <c r="Q215">
        <f t="shared" si="15"/>
        <v>68</v>
      </c>
      <c r="R215">
        <f t="shared" si="16"/>
        <v>167</v>
      </c>
      <c r="S215" s="1">
        <f t="shared" si="17"/>
        <v>0.72058823529411764</v>
      </c>
      <c r="T215">
        <f t="shared" si="18"/>
        <v>0.68</v>
      </c>
      <c r="U215" t="str">
        <f t="shared" si="19"/>
        <v>Mar</v>
      </c>
    </row>
    <row r="216" spans="1:21">
      <c r="A216" s="2">
        <v>46111</v>
      </c>
      <c r="B216" t="s">
        <v>4</v>
      </c>
      <c r="C216" t="s">
        <v>40</v>
      </c>
      <c r="D216" t="s">
        <v>9</v>
      </c>
      <c r="E216" t="s">
        <v>32</v>
      </c>
      <c r="F216" t="s">
        <v>45</v>
      </c>
      <c r="G216">
        <v>113</v>
      </c>
      <c r="H216">
        <v>42</v>
      </c>
      <c r="I216">
        <v>29</v>
      </c>
      <c r="J216">
        <v>33</v>
      </c>
      <c r="K216">
        <v>349</v>
      </c>
      <c r="L216">
        <v>88.98</v>
      </c>
      <c r="M216">
        <v>2463.2199999999998</v>
      </c>
      <c r="N216">
        <v>67202</v>
      </c>
      <c r="O216">
        <v>1076.32</v>
      </c>
      <c r="P216" s="1">
        <v>-0.69299999999999995</v>
      </c>
      <c r="Q216">
        <f t="shared" si="15"/>
        <v>155</v>
      </c>
      <c r="R216">
        <f t="shared" si="16"/>
        <v>75</v>
      </c>
      <c r="S216" s="1">
        <f t="shared" si="17"/>
        <v>0.81290322580645158</v>
      </c>
      <c r="T216">
        <f t="shared" si="18"/>
        <v>1.55</v>
      </c>
      <c r="U216" t="str">
        <f t="shared" si="19"/>
        <v>Mar</v>
      </c>
    </row>
    <row r="217" spans="1:21">
      <c r="A217" s="2">
        <v>46127</v>
      </c>
      <c r="B217" t="s">
        <v>4</v>
      </c>
      <c r="C217" t="s">
        <v>44</v>
      </c>
      <c r="D217" t="s">
        <v>5</v>
      </c>
      <c r="E217" t="s">
        <v>41</v>
      </c>
      <c r="F217" t="s">
        <v>45</v>
      </c>
      <c r="G217">
        <v>73</v>
      </c>
      <c r="H217">
        <v>62</v>
      </c>
      <c r="I217">
        <v>32</v>
      </c>
      <c r="J217">
        <v>54</v>
      </c>
      <c r="K217">
        <v>98</v>
      </c>
      <c r="L217">
        <v>112.1</v>
      </c>
      <c r="M217">
        <v>1940.45</v>
      </c>
      <c r="N217">
        <v>65867</v>
      </c>
      <c r="O217">
        <v>1135.4100000000001</v>
      </c>
      <c r="P217" s="1">
        <v>0.40200000000000002</v>
      </c>
      <c r="Q217">
        <f t="shared" si="15"/>
        <v>135</v>
      </c>
      <c r="R217">
        <f t="shared" si="16"/>
        <v>116</v>
      </c>
      <c r="S217" s="1">
        <f t="shared" si="17"/>
        <v>0.76296296296296295</v>
      </c>
      <c r="T217">
        <f t="shared" si="18"/>
        <v>1.35</v>
      </c>
      <c r="U217" t="str">
        <f t="shared" si="19"/>
        <v>Apr</v>
      </c>
    </row>
    <row r="218" spans="1:21">
      <c r="A218" s="2">
        <v>46086</v>
      </c>
      <c r="B218" t="s">
        <v>4</v>
      </c>
      <c r="C218" t="s">
        <v>34</v>
      </c>
      <c r="D218" t="s">
        <v>11</v>
      </c>
      <c r="E218" t="s">
        <v>32</v>
      </c>
      <c r="F218" t="s">
        <v>49</v>
      </c>
      <c r="G218">
        <v>47</v>
      </c>
      <c r="H218">
        <v>13</v>
      </c>
      <c r="I218">
        <v>86</v>
      </c>
      <c r="J218">
        <v>127</v>
      </c>
      <c r="K218">
        <v>396</v>
      </c>
      <c r="L218">
        <v>131.32</v>
      </c>
      <c r="M218">
        <v>2125.69</v>
      </c>
      <c r="N218">
        <v>74013</v>
      </c>
      <c r="O218">
        <v>1428.4</v>
      </c>
      <c r="P218" s="1">
        <v>0.47199999999999998</v>
      </c>
      <c r="Q218">
        <f t="shared" si="15"/>
        <v>60</v>
      </c>
      <c r="R218">
        <f t="shared" si="16"/>
        <v>140</v>
      </c>
      <c r="S218" s="1">
        <f t="shared" si="17"/>
        <v>-0.43333333333333335</v>
      </c>
      <c r="T218">
        <f t="shared" si="18"/>
        <v>0.6</v>
      </c>
      <c r="U218" t="str">
        <f t="shared" si="19"/>
        <v>Mar</v>
      </c>
    </row>
    <row r="219" spans="1:21">
      <c r="A219" s="2">
        <v>46096</v>
      </c>
      <c r="B219" t="s">
        <v>6</v>
      </c>
      <c r="C219" t="s">
        <v>48</v>
      </c>
      <c r="D219" t="s">
        <v>5</v>
      </c>
      <c r="E219" t="s">
        <v>42</v>
      </c>
      <c r="F219" t="s">
        <v>39</v>
      </c>
      <c r="G219">
        <v>24</v>
      </c>
      <c r="H219">
        <v>48</v>
      </c>
      <c r="I219">
        <v>88</v>
      </c>
      <c r="J219">
        <v>138</v>
      </c>
      <c r="K219">
        <v>50</v>
      </c>
      <c r="L219">
        <v>111.13</v>
      </c>
      <c r="M219">
        <v>2122.96</v>
      </c>
      <c r="N219">
        <v>66909</v>
      </c>
      <c r="O219">
        <v>1263.1600000000001</v>
      </c>
      <c r="P219" s="1">
        <v>0.15</v>
      </c>
      <c r="Q219">
        <f t="shared" si="15"/>
        <v>72</v>
      </c>
      <c r="R219">
        <f t="shared" si="16"/>
        <v>186</v>
      </c>
      <c r="S219" s="1">
        <f t="shared" si="17"/>
        <v>-0.22222222222222221</v>
      </c>
      <c r="T219">
        <f t="shared" si="18"/>
        <v>0.72</v>
      </c>
      <c r="U219" t="str">
        <f t="shared" si="19"/>
        <v>Mar</v>
      </c>
    </row>
    <row r="220" spans="1:21">
      <c r="A220" s="2">
        <v>46084</v>
      </c>
      <c r="B220" t="s">
        <v>4</v>
      </c>
      <c r="C220" t="s">
        <v>36</v>
      </c>
      <c r="D220" t="s">
        <v>11</v>
      </c>
      <c r="E220" t="s">
        <v>32</v>
      </c>
      <c r="F220" t="s">
        <v>49</v>
      </c>
      <c r="G220">
        <v>37</v>
      </c>
      <c r="H220">
        <v>44</v>
      </c>
      <c r="I220">
        <v>7</v>
      </c>
      <c r="J220">
        <v>86</v>
      </c>
      <c r="K220">
        <v>329</v>
      </c>
      <c r="L220">
        <v>105.38</v>
      </c>
      <c r="M220">
        <v>2309.44</v>
      </c>
      <c r="N220">
        <v>74995</v>
      </c>
      <c r="O220">
        <v>1181.73</v>
      </c>
      <c r="P220" s="1">
        <v>0.121</v>
      </c>
      <c r="Q220">
        <f t="shared" si="15"/>
        <v>81</v>
      </c>
      <c r="R220">
        <f t="shared" si="16"/>
        <v>130</v>
      </c>
      <c r="S220" s="1">
        <f t="shared" si="17"/>
        <v>0.9135802469135802</v>
      </c>
      <c r="T220">
        <f t="shared" si="18"/>
        <v>0.81</v>
      </c>
      <c r="U220" t="str">
        <f t="shared" si="19"/>
        <v>Mar</v>
      </c>
    </row>
    <row r="221" spans="1:21">
      <c r="A221" s="2">
        <v>46073</v>
      </c>
      <c r="B221" t="s">
        <v>4</v>
      </c>
      <c r="C221" t="s">
        <v>44</v>
      </c>
      <c r="D221" t="s">
        <v>11</v>
      </c>
      <c r="E221" t="s">
        <v>42</v>
      </c>
      <c r="F221" t="s">
        <v>39</v>
      </c>
      <c r="G221">
        <v>61</v>
      </c>
      <c r="H221">
        <v>23</v>
      </c>
      <c r="I221">
        <v>20</v>
      </c>
      <c r="J221">
        <v>68</v>
      </c>
      <c r="K221">
        <v>302</v>
      </c>
      <c r="L221">
        <v>96.37</v>
      </c>
      <c r="M221">
        <v>2378.59</v>
      </c>
      <c r="N221">
        <v>69004</v>
      </c>
      <c r="O221">
        <v>1795.61</v>
      </c>
      <c r="P221" s="1">
        <v>-7.3999999999999996E-2</v>
      </c>
      <c r="Q221">
        <f t="shared" si="15"/>
        <v>84</v>
      </c>
      <c r="R221">
        <f t="shared" si="16"/>
        <v>91</v>
      </c>
      <c r="S221" s="1">
        <f t="shared" si="17"/>
        <v>0.76190476190476186</v>
      </c>
      <c r="T221">
        <f t="shared" si="18"/>
        <v>0.84</v>
      </c>
      <c r="U221" t="str">
        <f t="shared" si="19"/>
        <v>Feb</v>
      </c>
    </row>
    <row r="222" spans="1:21">
      <c r="A222" s="2">
        <v>46103</v>
      </c>
      <c r="B222" t="s">
        <v>4</v>
      </c>
      <c r="C222" t="s">
        <v>40</v>
      </c>
      <c r="D222" t="s">
        <v>9</v>
      </c>
      <c r="E222" t="s">
        <v>47</v>
      </c>
      <c r="F222" t="s">
        <v>33</v>
      </c>
      <c r="G222">
        <v>93</v>
      </c>
      <c r="H222">
        <v>24</v>
      </c>
      <c r="I222">
        <v>85</v>
      </c>
      <c r="J222">
        <v>57</v>
      </c>
      <c r="K222">
        <v>164</v>
      </c>
      <c r="L222">
        <v>92.84</v>
      </c>
      <c r="M222">
        <v>1980.51</v>
      </c>
      <c r="N222">
        <v>64794</v>
      </c>
      <c r="O222">
        <v>984.41</v>
      </c>
      <c r="P222" s="1">
        <v>-0.83</v>
      </c>
      <c r="Q222">
        <f t="shared" si="15"/>
        <v>117</v>
      </c>
      <c r="R222">
        <f t="shared" si="16"/>
        <v>81</v>
      </c>
      <c r="S222" s="1">
        <f t="shared" si="17"/>
        <v>0.27350427350427353</v>
      </c>
      <c r="T222">
        <f t="shared" si="18"/>
        <v>1.17</v>
      </c>
      <c r="U222" t="str">
        <f t="shared" si="19"/>
        <v>Mar</v>
      </c>
    </row>
    <row r="223" spans="1:21">
      <c r="A223" s="2">
        <v>46081</v>
      </c>
      <c r="B223" t="s">
        <v>4</v>
      </c>
      <c r="C223" t="s">
        <v>48</v>
      </c>
      <c r="D223" t="s">
        <v>11</v>
      </c>
      <c r="E223" t="s">
        <v>47</v>
      </c>
      <c r="F223" t="s">
        <v>39</v>
      </c>
      <c r="G223">
        <v>36</v>
      </c>
      <c r="H223">
        <v>19</v>
      </c>
      <c r="I223">
        <v>30</v>
      </c>
      <c r="J223">
        <v>63</v>
      </c>
      <c r="K223">
        <v>98</v>
      </c>
      <c r="L223">
        <v>108.77</v>
      </c>
      <c r="M223">
        <v>1804.65</v>
      </c>
      <c r="N223">
        <v>67286</v>
      </c>
      <c r="O223">
        <v>1267.47</v>
      </c>
      <c r="P223" s="1">
        <v>0.50700000000000001</v>
      </c>
      <c r="Q223">
        <f t="shared" si="15"/>
        <v>55</v>
      </c>
      <c r="R223">
        <f t="shared" si="16"/>
        <v>82</v>
      </c>
      <c r="S223" s="1">
        <f t="shared" si="17"/>
        <v>0.45454545454545453</v>
      </c>
      <c r="T223">
        <f t="shared" si="18"/>
        <v>0.55000000000000004</v>
      </c>
      <c r="U223" t="str">
        <f t="shared" si="19"/>
        <v>Feb</v>
      </c>
    </row>
    <row r="224" spans="1:21">
      <c r="A224" s="2">
        <v>46100</v>
      </c>
      <c r="B224" t="s">
        <v>6</v>
      </c>
      <c r="C224" t="s">
        <v>48</v>
      </c>
      <c r="D224" t="s">
        <v>9</v>
      </c>
      <c r="E224" t="s">
        <v>32</v>
      </c>
      <c r="F224" t="s">
        <v>45</v>
      </c>
      <c r="G224">
        <v>18</v>
      </c>
      <c r="H224">
        <v>21</v>
      </c>
      <c r="I224">
        <v>23</v>
      </c>
      <c r="J224">
        <v>87</v>
      </c>
      <c r="K224">
        <v>307</v>
      </c>
      <c r="L224">
        <v>134.29</v>
      </c>
      <c r="M224">
        <v>1842.6</v>
      </c>
      <c r="N224">
        <v>66825</v>
      </c>
      <c r="O224">
        <v>1580.16</v>
      </c>
      <c r="P224" s="1">
        <v>3.9E-2</v>
      </c>
      <c r="Q224">
        <f t="shared" si="15"/>
        <v>39</v>
      </c>
      <c r="R224">
        <f t="shared" si="16"/>
        <v>108</v>
      </c>
      <c r="S224" s="1">
        <f t="shared" si="17"/>
        <v>0.41025641025641024</v>
      </c>
      <c r="T224">
        <f t="shared" si="18"/>
        <v>0.39</v>
      </c>
      <c r="U224" t="str">
        <f t="shared" si="19"/>
        <v>Mar</v>
      </c>
    </row>
    <row r="225" spans="1:21">
      <c r="A225" s="2">
        <v>46121</v>
      </c>
      <c r="B225" t="s">
        <v>4</v>
      </c>
      <c r="C225" t="s">
        <v>44</v>
      </c>
      <c r="D225" t="s">
        <v>10</v>
      </c>
      <c r="E225" t="s">
        <v>42</v>
      </c>
      <c r="F225" t="s">
        <v>49</v>
      </c>
      <c r="G225">
        <v>11</v>
      </c>
      <c r="H225">
        <v>52</v>
      </c>
      <c r="I225">
        <v>61</v>
      </c>
      <c r="J225">
        <v>21</v>
      </c>
      <c r="K225">
        <v>158</v>
      </c>
      <c r="L225">
        <v>104.85</v>
      </c>
      <c r="M225">
        <v>1909.35</v>
      </c>
      <c r="N225">
        <v>69646</v>
      </c>
      <c r="O225">
        <v>1298.97</v>
      </c>
      <c r="P225" s="1">
        <v>-0.45</v>
      </c>
      <c r="Q225">
        <f t="shared" si="15"/>
        <v>63</v>
      </c>
      <c r="R225">
        <f t="shared" si="16"/>
        <v>73</v>
      </c>
      <c r="S225" s="1">
        <f t="shared" si="17"/>
        <v>3.1746031746031744E-2</v>
      </c>
      <c r="T225">
        <f t="shared" si="18"/>
        <v>0.63</v>
      </c>
      <c r="U225" t="str">
        <f t="shared" si="19"/>
        <v>Apr</v>
      </c>
    </row>
    <row r="226" spans="1:21">
      <c r="A226" s="2">
        <v>46091</v>
      </c>
      <c r="B226" t="s">
        <v>6</v>
      </c>
      <c r="C226" t="s">
        <v>36</v>
      </c>
      <c r="D226" t="s">
        <v>9</v>
      </c>
      <c r="E226" t="s">
        <v>41</v>
      </c>
      <c r="F226" t="s">
        <v>45</v>
      </c>
      <c r="G226">
        <v>36</v>
      </c>
      <c r="H226">
        <v>31</v>
      </c>
      <c r="I226">
        <v>14</v>
      </c>
      <c r="J226">
        <v>110</v>
      </c>
      <c r="K226">
        <v>19</v>
      </c>
      <c r="L226">
        <v>95.96</v>
      </c>
      <c r="M226">
        <v>1899.05</v>
      </c>
      <c r="N226">
        <v>75317</v>
      </c>
      <c r="O226">
        <v>1548.75</v>
      </c>
      <c r="P226" s="1">
        <v>0.56000000000000005</v>
      </c>
      <c r="Q226">
        <f t="shared" si="15"/>
        <v>67</v>
      </c>
      <c r="R226">
        <f t="shared" si="16"/>
        <v>141</v>
      </c>
      <c r="S226" s="1">
        <f t="shared" si="17"/>
        <v>0.79104477611940294</v>
      </c>
      <c r="T226">
        <f t="shared" si="18"/>
        <v>0.67</v>
      </c>
      <c r="U226" t="str">
        <f t="shared" si="19"/>
        <v>Mar</v>
      </c>
    </row>
    <row r="227" spans="1:21">
      <c r="A227" s="2">
        <v>46099</v>
      </c>
      <c r="B227" t="s">
        <v>4</v>
      </c>
      <c r="C227" t="s">
        <v>43</v>
      </c>
      <c r="D227" t="s">
        <v>10</v>
      </c>
      <c r="E227" t="s">
        <v>47</v>
      </c>
      <c r="F227" t="s">
        <v>45</v>
      </c>
      <c r="G227">
        <v>69</v>
      </c>
      <c r="H227">
        <v>47</v>
      </c>
      <c r="I227">
        <v>71</v>
      </c>
      <c r="J227">
        <v>24</v>
      </c>
      <c r="K227">
        <v>334</v>
      </c>
      <c r="L227">
        <v>101.38</v>
      </c>
      <c r="M227">
        <v>1902.46</v>
      </c>
      <c r="N227">
        <v>71594</v>
      </c>
      <c r="O227">
        <v>1517.16</v>
      </c>
      <c r="P227" s="1">
        <v>0.17100000000000001</v>
      </c>
      <c r="Q227">
        <f t="shared" si="15"/>
        <v>116</v>
      </c>
      <c r="R227">
        <f t="shared" si="16"/>
        <v>71</v>
      </c>
      <c r="S227" s="1">
        <f t="shared" si="17"/>
        <v>0.38793103448275862</v>
      </c>
      <c r="T227">
        <f t="shared" si="18"/>
        <v>1.1599999999999999</v>
      </c>
      <c r="U227" t="str">
        <f t="shared" si="19"/>
        <v>Mar</v>
      </c>
    </row>
    <row r="228" spans="1:21">
      <c r="A228" s="2">
        <v>46101</v>
      </c>
      <c r="B228" t="s">
        <v>4</v>
      </c>
      <c r="C228" t="s">
        <v>34</v>
      </c>
      <c r="D228" t="s">
        <v>10</v>
      </c>
      <c r="E228" t="s">
        <v>47</v>
      </c>
      <c r="F228" t="s">
        <v>49</v>
      </c>
      <c r="G228">
        <v>105</v>
      </c>
      <c r="H228">
        <v>51</v>
      </c>
      <c r="I228">
        <v>88</v>
      </c>
      <c r="J228">
        <v>66</v>
      </c>
      <c r="K228">
        <v>328</v>
      </c>
      <c r="L228">
        <v>139.75</v>
      </c>
      <c r="M228">
        <v>1818.3</v>
      </c>
      <c r="N228">
        <v>66777</v>
      </c>
      <c r="O228">
        <v>948.04</v>
      </c>
      <c r="P228" s="1">
        <v>-0.1</v>
      </c>
      <c r="Q228">
        <f t="shared" si="15"/>
        <v>156</v>
      </c>
      <c r="R228">
        <f t="shared" si="16"/>
        <v>117</v>
      </c>
      <c r="S228" s="1">
        <f t="shared" si="17"/>
        <v>0.4358974358974359</v>
      </c>
      <c r="T228">
        <f t="shared" si="18"/>
        <v>1.56</v>
      </c>
      <c r="U228" t="str">
        <f t="shared" si="19"/>
        <v>Mar</v>
      </c>
    </row>
    <row r="229" spans="1:21">
      <c r="A229" s="2">
        <v>46113</v>
      </c>
      <c r="B229" t="s">
        <v>6</v>
      </c>
      <c r="C229" t="s">
        <v>51</v>
      </c>
      <c r="D229" t="s">
        <v>11</v>
      </c>
      <c r="E229" t="s">
        <v>38</v>
      </c>
      <c r="F229" t="s">
        <v>45</v>
      </c>
      <c r="G229">
        <v>22</v>
      </c>
      <c r="H229">
        <v>46</v>
      </c>
      <c r="I229">
        <v>49</v>
      </c>
      <c r="J229">
        <v>89</v>
      </c>
      <c r="K229">
        <v>244</v>
      </c>
      <c r="L229">
        <v>103.73</v>
      </c>
      <c r="M229">
        <v>2420.15</v>
      </c>
      <c r="N229">
        <v>70442</v>
      </c>
      <c r="O229">
        <v>1524.58</v>
      </c>
      <c r="P229" s="1">
        <v>-0.58399999999999996</v>
      </c>
      <c r="Q229">
        <f t="shared" si="15"/>
        <v>68</v>
      </c>
      <c r="R229">
        <f t="shared" si="16"/>
        <v>135</v>
      </c>
      <c r="S229" s="1">
        <f t="shared" si="17"/>
        <v>0.27941176470588236</v>
      </c>
      <c r="T229">
        <f t="shared" si="18"/>
        <v>0.68</v>
      </c>
      <c r="U229" t="str">
        <f t="shared" si="19"/>
        <v>Apr</v>
      </c>
    </row>
    <row r="230" spans="1:21">
      <c r="A230" s="2">
        <v>46108</v>
      </c>
      <c r="B230" t="s">
        <v>6</v>
      </c>
      <c r="C230" t="s">
        <v>31</v>
      </c>
      <c r="D230" t="s">
        <v>9</v>
      </c>
      <c r="E230" t="s">
        <v>32</v>
      </c>
      <c r="F230" t="s">
        <v>45</v>
      </c>
      <c r="G230">
        <v>1</v>
      </c>
      <c r="H230">
        <v>13</v>
      </c>
      <c r="I230">
        <v>62</v>
      </c>
      <c r="J230">
        <v>84</v>
      </c>
      <c r="K230">
        <v>68</v>
      </c>
      <c r="L230">
        <v>112.5</v>
      </c>
      <c r="M230">
        <v>1986.31</v>
      </c>
      <c r="N230">
        <v>73159</v>
      </c>
      <c r="O230">
        <v>1431.09</v>
      </c>
      <c r="P230" s="1">
        <v>0.80500000000000005</v>
      </c>
      <c r="Q230">
        <f t="shared" si="15"/>
        <v>14</v>
      </c>
      <c r="R230">
        <f t="shared" si="16"/>
        <v>97</v>
      </c>
      <c r="S230" s="1">
        <f t="shared" si="17"/>
        <v>-3.4285714285714284</v>
      </c>
      <c r="T230">
        <f t="shared" si="18"/>
        <v>0.14000000000000001</v>
      </c>
      <c r="U230" t="str">
        <f t="shared" si="19"/>
        <v>Mar</v>
      </c>
    </row>
    <row r="231" spans="1:21">
      <c r="A231" s="2">
        <v>46120</v>
      </c>
      <c r="B231" t="s">
        <v>4</v>
      </c>
      <c r="C231" t="s">
        <v>40</v>
      </c>
      <c r="D231" t="s">
        <v>9</v>
      </c>
      <c r="E231" t="s">
        <v>37</v>
      </c>
      <c r="F231" t="s">
        <v>45</v>
      </c>
      <c r="G231">
        <v>61</v>
      </c>
      <c r="H231">
        <v>60</v>
      </c>
      <c r="I231">
        <v>55</v>
      </c>
      <c r="J231">
        <v>66</v>
      </c>
      <c r="K231">
        <v>143</v>
      </c>
      <c r="L231">
        <v>132.18</v>
      </c>
      <c r="M231">
        <v>1825.92</v>
      </c>
      <c r="N231">
        <v>74000</v>
      </c>
      <c r="O231">
        <v>1085.9100000000001</v>
      </c>
      <c r="P231" s="1">
        <v>0.83799999999999997</v>
      </c>
      <c r="Q231">
        <f t="shared" si="15"/>
        <v>121</v>
      </c>
      <c r="R231">
        <f t="shared" si="16"/>
        <v>126</v>
      </c>
      <c r="S231" s="1">
        <f t="shared" si="17"/>
        <v>0.54545454545454541</v>
      </c>
      <c r="T231">
        <f t="shared" si="18"/>
        <v>1.21</v>
      </c>
      <c r="U231" t="str">
        <f t="shared" si="19"/>
        <v>Apr</v>
      </c>
    </row>
    <row r="232" spans="1:21">
      <c r="A232" s="2">
        <v>46095</v>
      </c>
      <c r="B232" t="s">
        <v>6</v>
      </c>
      <c r="C232" t="s">
        <v>46</v>
      </c>
      <c r="D232" t="s">
        <v>10</v>
      </c>
      <c r="E232" t="s">
        <v>41</v>
      </c>
      <c r="F232" t="s">
        <v>49</v>
      </c>
      <c r="G232">
        <v>96</v>
      </c>
      <c r="H232">
        <v>57</v>
      </c>
      <c r="I232">
        <v>65</v>
      </c>
      <c r="J232">
        <v>41</v>
      </c>
      <c r="K232">
        <v>4</v>
      </c>
      <c r="L232">
        <v>129.51</v>
      </c>
      <c r="M232">
        <v>2419.98</v>
      </c>
      <c r="N232">
        <v>68297</v>
      </c>
      <c r="O232">
        <v>954.54</v>
      </c>
      <c r="P232" s="1">
        <v>0.93500000000000005</v>
      </c>
      <c r="Q232">
        <f t="shared" si="15"/>
        <v>153</v>
      </c>
      <c r="R232">
        <f t="shared" si="16"/>
        <v>98</v>
      </c>
      <c r="S232" s="1">
        <f t="shared" si="17"/>
        <v>0.57516339869281041</v>
      </c>
      <c r="T232">
        <f t="shared" si="18"/>
        <v>1.53</v>
      </c>
      <c r="U232" t="str">
        <f t="shared" si="19"/>
        <v>Mar</v>
      </c>
    </row>
    <row r="233" spans="1:21">
      <c r="A233" s="2">
        <v>46082</v>
      </c>
      <c r="B233" t="s">
        <v>6</v>
      </c>
      <c r="C233" t="s">
        <v>50</v>
      </c>
      <c r="D233" t="s">
        <v>5</v>
      </c>
      <c r="E233" t="s">
        <v>42</v>
      </c>
      <c r="F233" t="s">
        <v>45</v>
      </c>
      <c r="G233">
        <v>62</v>
      </c>
      <c r="H233">
        <v>65</v>
      </c>
      <c r="I233">
        <v>51</v>
      </c>
      <c r="J233">
        <v>137</v>
      </c>
      <c r="K233">
        <v>284</v>
      </c>
      <c r="L233">
        <v>119.85</v>
      </c>
      <c r="M233">
        <v>1919.44</v>
      </c>
      <c r="N233">
        <v>66015</v>
      </c>
      <c r="O233">
        <v>1480.47</v>
      </c>
      <c r="P233" s="1">
        <v>0.74299999999999999</v>
      </c>
      <c r="Q233">
        <f t="shared" si="15"/>
        <v>127</v>
      </c>
      <c r="R233">
        <f t="shared" si="16"/>
        <v>202</v>
      </c>
      <c r="S233" s="1">
        <f t="shared" si="17"/>
        <v>0.59842519685039375</v>
      </c>
      <c r="T233">
        <f t="shared" si="18"/>
        <v>1.27</v>
      </c>
      <c r="U233" t="str">
        <f t="shared" si="19"/>
        <v>Mar</v>
      </c>
    </row>
    <row r="234" spans="1:21">
      <c r="A234" s="2">
        <v>46113</v>
      </c>
      <c r="B234" t="s">
        <v>6</v>
      </c>
      <c r="C234" t="s">
        <v>31</v>
      </c>
      <c r="D234" t="s">
        <v>5</v>
      </c>
      <c r="E234" t="s">
        <v>42</v>
      </c>
      <c r="F234" t="s">
        <v>49</v>
      </c>
      <c r="G234">
        <v>16</v>
      </c>
      <c r="H234">
        <v>8</v>
      </c>
      <c r="I234">
        <v>70</v>
      </c>
      <c r="J234">
        <v>107</v>
      </c>
      <c r="K234">
        <v>340</v>
      </c>
      <c r="L234">
        <v>93.32</v>
      </c>
      <c r="M234">
        <v>2223.7399999999998</v>
      </c>
      <c r="N234">
        <v>75584</v>
      </c>
      <c r="O234">
        <v>1662.44</v>
      </c>
      <c r="P234" s="1">
        <v>0.72</v>
      </c>
      <c r="Q234">
        <f t="shared" si="15"/>
        <v>24</v>
      </c>
      <c r="R234">
        <f t="shared" si="16"/>
        <v>115</v>
      </c>
      <c r="S234" s="1">
        <f t="shared" si="17"/>
        <v>-1.9166666666666667</v>
      </c>
      <c r="T234">
        <f t="shared" si="18"/>
        <v>0.24</v>
      </c>
      <c r="U234" t="str">
        <f t="shared" si="19"/>
        <v>Apr</v>
      </c>
    </row>
    <row r="235" spans="1:21">
      <c r="A235" s="2">
        <v>46109</v>
      </c>
      <c r="B235" t="s">
        <v>6</v>
      </c>
      <c r="C235" t="s">
        <v>51</v>
      </c>
      <c r="D235" t="s">
        <v>7</v>
      </c>
      <c r="E235" t="s">
        <v>37</v>
      </c>
      <c r="F235" t="s">
        <v>33</v>
      </c>
      <c r="G235">
        <v>86</v>
      </c>
      <c r="H235">
        <v>36</v>
      </c>
      <c r="I235">
        <v>69</v>
      </c>
      <c r="J235">
        <v>87</v>
      </c>
      <c r="K235">
        <v>403</v>
      </c>
      <c r="L235">
        <v>92.42</v>
      </c>
      <c r="M235">
        <v>2103</v>
      </c>
      <c r="N235">
        <v>73198</v>
      </c>
      <c r="O235">
        <v>1430.34</v>
      </c>
      <c r="P235" s="1">
        <v>0.43</v>
      </c>
      <c r="Q235">
        <f t="shared" si="15"/>
        <v>122</v>
      </c>
      <c r="R235">
        <f t="shared" si="16"/>
        <v>123</v>
      </c>
      <c r="S235" s="1">
        <f t="shared" si="17"/>
        <v>0.4344262295081967</v>
      </c>
      <c r="T235">
        <f t="shared" si="18"/>
        <v>1.22</v>
      </c>
      <c r="U235" t="str">
        <f t="shared" si="19"/>
        <v>Mar</v>
      </c>
    </row>
    <row r="236" spans="1:21">
      <c r="A236" s="2">
        <v>46110</v>
      </c>
      <c r="B236" t="s">
        <v>4</v>
      </c>
      <c r="C236" t="s">
        <v>40</v>
      </c>
      <c r="D236" t="s">
        <v>11</v>
      </c>
      <c r="E236" t="s">
        <v>42</v>
      </c>
      <c r="F236" t="s">
        <v>49</v>
      </c>
      <c r="G236">
        <v>111</v>
      </c>
      <c r="H236">
        <v>69</v>
      </c>
      <c r="I236">
        <v>74</v>
      </c>
      <c r="J236">
        <v>143</v>
      </c>
      <c r="K236">
        <v>18</v>
      </c>
      <c r="L236">
        <v>104.76</v>
      </c>
      <c r="M236">
        <v>2241.77</v>
      </c>
      <c r="N236">
        <v>68905</v>
      </c>
      <c r="O236">
        <v>1165.08</v>
      </c>
      <c r="P236" s="1">
        <v>0.72799999999999998</v>
      </c>
      <c r="Q236">
        <f t="shared" si="15"/>
        <v>180</v>
      </c>
      <c r="R236">
        <f t="shared" si="16"/>
        <v>212</v>
      </c>
      <c r="S236" s="1">
        <f t="shared" si="17"/>
        <v>0.58888888888888891</v>
      </c>
      <c r="T236">
        <f t="shared" si="18"/>
        <v>1.8</v>
      </c>
      <c r="U236" t="str">
        <f t="shared" si="19"/>
        <v>Mar</v>
      </c>
    </row>
    <row r="237" spans="1:21">
      <c r="A237" s="2">
        <v>46100</v>
      </c>
      <c r="B237" t="s">
        <v>4</v>
      </c>
      <c r="C237" t="s">
        <v>46</v>
      </c>
      <c r="D237" t="s">
        <v>9</v>
      </c>
      <c r="E237" t="s">
        <v>42</v>
      </c>
      <c r="F237" t="s">
        <v>45</v>
      </c>
      <c r="G237">
        <v>77</v>
      </c>
      <c r="H237">
        <v>50</v>
      </c>
      <c r="I237">
        <v>3</v>
      </c>
      <c r="J237">
        <v>134</v>
      </c>
      <c r="K237">
        <v>336</v>
      </c>
      <c r="L237">
        <v>95.52</v>
      </c>
      <c r="M237">
        <v>2285.02</v>
      </c>
      <c r="N237">
        <v>65538</v>
      </c>
      <c r="O237">
        <v>1670.09</v>
      </c>
      <c r="P237" s="1">
        <v>-0.91900000000000004</v>
      </c>
      <c r="Q237">
        <f t="shared" si="15"/>
        <v>127</v>
      </c>
      <c r="R237">
        <f t="shared" si="16"/>
        <v>184</v>
      </c>
      <c r="S237" s="1">
        <f t="shared" si="17"/>
        <v>0.97637795275590555</v>
      </c>
      <c r="T237">
        <f t="shared" si="18"/>
        <v>1.27</v>
      </c>
      <c r="U237" t="str">
        <f t="shared" si="19"/>
        <v>Mar</v>
      </c>
    </row>
    <row r="238" spans="1:21">
      <c r="A238" s="2">
        <v>46102</v>
      </c>
      <c r="B238" t="s">
        <v>4</v>
      </c>
      <c r="C238" t="s">
        <v>43</v>
      </c>
      <c r="D238" t="s">
        <v>10</v>
      </c>
      <c r="E238" t="s">
        <v>41</v>
      </c>
      <c r="F238" t="s">
        <v>49</v>
      </c>
      <c r="G238">
        <v>84</v>
      </c>
      <c r="H238">
        <v>45</v>
      </c>
      <c r="I238">
        <v>9</v>
      </c>
      <c r="J238">
        <v>23</v>
      </c>
      <c r="K238">
        <v>330</v>
      </c>
      <c r="L238">
        <v>127.17</v>
      </c>
      <c r="M238">
        <v>2259.84</v>
      </c>
      <c r="N238">
        <v>64033</v>
      </c>
      <c r="O238">
        <v>1374.93</v>
      </c>
      <c r="P238" s="1">
        <v>-0.91200000000000003</v>
      </c>
      <c r="Q238">
        <f t="shared" si="15"/>
        <v>129</v>
      </c>
      <c r="R238">
        <f t="shared" si="16"/>
        <v>68</v>
      </c>
      <c r="S238" s="1">
        <f t="shared" si="17"/>
        <v>0.93023255813953487</v>
      </c>
      <c r="T238">
        <f t="shared" si="18"/>
        <v>1.29</v>
      </c>
      <c r="U238" t="str">
        <f t="shared" si="19"/>
        <v>Mar</v>
      </c>
    </row>
    <row r="239" spans="1:21">
      <c r="A239" s="2">
        <v>46099</v>
      </c>
      <c r="B239" t="s">
        <v>4</v>
      </c>
      <c r="C239" t="s">
        <v>36</v>
      </c>
      <c r="D239" t="s">
        <v>9</v>
      </c>
      <c r="E239" t="s">
        <v>37</v>
      </c>
      <c r="F239" t="s">
        <v>33</v>
      </c>
      <c r="G239">
        <v>90</v>
      </c>
      <c r="H239">
        <v>3</v>
      </c>
      <c r="I239">
        <v>56</v>
      </c>
      <c r="J239">
        <v>149</v>
      </c>
      <c r="K239">
        <v>3</v>
      </c>
      <c r="L239">
        <v>87.98</v>
      </c>
      <c r="M239">
        <v>2321.71</v>
      </c>
      <c r="N239">
        <v>66463</v>
      </c>
      <c r="O239">
        <v>1072.47</v>
      </c>
      <c r="P239" s="1">
        <v>-0.96599999999999997</v>
      </c>
      <c r="Q239">
        <f t="shared" si="15"/>
        <v>93</v>
      </c>
      <c r="R239">
        <f t="shared" si="16"/>
        <v>152</v>
      </c>
      <c r="S239" s="1">
        <f t="shared" si="17"/>
        <v>0.39784946236559138</v>
      </c>
      <c r="T239">
        <f t="shared" si="18"/>
        <v>0.93</v>
      </c>
      <c r="U239" t="str">
        <f t="shared" si="19"/>
        <v>Mar</v>
      </c>
    </row>
    <row r="240" spans="1:21">
      <c r="A240" s="2">
        <v>46116</v>
      </c>
      <c r="B240" t="s">
        <v>6</v>
      </c>
      <c r="C240" t="s">
        <v>31</v>
      </c>
      <c r="D240" t="s">
        <v>10</v>
      </c>
      <c r="E240" t="s">
        <v>47</v>
      </c>
      <c r="F240" t="s">
        <v>39</v>
      </c>
      <c r="G240">
        <v>112</v>
      </c>
      <c r="H240">
        <v>75</v>
      </c>
      <c r="I240">
        <v>83</v>
      </c>
      <c r="J240">
        <v>129</v>
      </c>
      <c r="K240">
        <v>409</v>
      </c>
      <c r="L240">
        <v>129.63999999999999</v>
      </c>
      <c r="M240">
        <v>1973.09</v>
      </c>
      <c r="N240">
        <v>65243</v>
      </c>
      <c r="O240">
        <v>1665.66</v>
      </c>
      <c r="P240" s="1">
        <v>-0.97899999999999998</v>
      </c>
      <c r="Q240">
        <f t="shared" si="15"/>
        <v>187</v>
      </c>
      <c r="R240">
        <f t="shared" si="16"/>
        <v>204</v>
      </c>
      <c r="S240" s="1">
        <f t="shared" si="17"/>
        <v>0.55614973262032086</v>
      </c>
      <c r="T240">
        <f t="shared" si="18"/>
        <v>1.87</v>
      </c>
      <c r="U240" t="str">
        <f t="shared" si="19"/>
        <v>Apr</v>
      </c>
    </row>
    <row r="241" spans="1:21">
      <c r="A241" s="2">
        <v>46123</v>
      </c>
      <c r="B241" t="s">
        <v>6</v>
      </c>
      <c r="C241" t="s">
        <v>43</v>
      </c>
      <c r="D241" t="s">
        <v>5</v>
      </c>
      <c r="E241" t="s">
        <v>32</v>
      </c>
      <c r="F241" t="s">
        <v>49</v>
      </c>
      <c r="G241">
        <v>5</v>
      </c>
      <c r="H241">
        <v>58</v>
      </c>
      <c r="I241">
        <v>37</v>
      </c>
      <c r="J241">
        <v>78</v>
      </c>
      <c r="K241">
        <v>301</v>
      </c>
      <c r="L241">
        <v>112.94</v>
      </c>
      <c r="M241">
        <v>2282.44</v>
      </c>
      <c r="N241">
        <v>74778</v>
      </c>
      <c r="O241">
        <v>1317.51</v>
      </c>
      <c r="P241" s="1">
        <v>-0.30599999999999999</v>
      </c>
      <c r="Q241">
        <f t="shared" si="15"/>
        <v>63</v>
      </c>
      <c r="R241">
        <f t="shared" si="16"/>
        <v>136</v>
      </c>
      <c r="S241" s="1">
        <f t="shared" si="17"/>
        <v>0.41269841269841268</v>
      </c>
      <c r="T241">
        <f t="shared" si="18"/>
        <v>0.63</v>
      </c>
      <c r="U241" t="str">
        <f t="shared" si="19"/>
        <v>Apr</v>
      </c>
    </row>
    <row r="242" spans="1:21">
      <c r="A242" s="2">
        <v>46106</v>
      </c>
      <c r="B242" t="s">
        <v>6</v>
      </c>
      <c r="C242" t="s">
        <v>43</v>
      </c>
      <c r="D242" t="s">
        <v>11</v>
      </c>
      <c r="E242" t="s">
        <v>37</v>
      </c>
      <c r="F242" t="s">
        <v>33</v>
      </c>
      <c r="G242">
        <v>37</v>
      </c>
      <c r="H242">
        <v>19</v>
      </c>
      <c r="I242">
        <v>32</v>
      </c>
      <c r="J242">
        <v>81</v>
      </c>
      <c r="K242">
        <v>307</v>
      </c>
      <c r="L242">
        <v>102.76</v>
      </c>
      <c r="M242">
        <v>2074.37</v>
      </c>
      <c r="N242">
        <v>69574</v>
      </c>
      <c r="O242">
        <v>1078.25</v>
      </c>
      <c r="P242" s="1">
        <v>0.52900000000000003</v>
      </c>
      <c r="Q242">
        <f t="shared" si="15"/>
        <v>56</v>
      </c>
      <c r="R242">
        <f t="shared" si="16"/>
        <v>100</v>
      </c>
      <c r="S242" s="1">
        <f t="shared" si="17"/>
        <v>0.42857142857142855</v>
      </c>
      <c r="T242">
        <f t="shared" si="18"/>
        <v>0.56000000000000005</v>
      </c>
      <c r="U242" t="str">
        <f t="shared" si="19"/>
        <v>Mar</v>
      </c>
    </row>
    <row r="243" spans="1:21">
      <c r="A243" s="2">
        <v>46086</v>
      </c>
      <c r="B243" t="s">
        <v>4</v>
      </c>
      <c r="C243" t="s">
        <v>51</v>
      </c>
      <c r="D243" t="s">
        <v>9</v>
      </c>
      <c r="E243" t="s">
        <v>32</v>
      </c>
      <c r="F243" t="s">
        <v>39</v>
      </c>
      <c r="G243">
        <v>56</v>
      </c>
      <c r="H243">
        <v>0</v>
      </c>
      <c r="I243">
        <v>2</v>
      </c>
      <c r="J243">
        <v>44</v>
      </c>
      <c r="K243">
        <v>154</v>
      </c>
      <c r="L243">
        <v>91.78</v>
      </c>
      <c r="M243">
        <v>2337.67</v>
      </c>
      <c r="N243">
        <v>66928</v>
      </c>
      <c r="O243">
        <v>1075.98</v>
      </c>
      <c r="P243" s="1">
        <v>0.55500000000000005</v>
      </c>
      <c r="Q243">
        <f t="shared" si="15"/>
        <v>56</v>
      </c>
      <c r="R243">
        <f t="shared" si="16"/>
        <v>44</v>
      </c>
      <c r="S243" s="1">
        <f t="shared" si="17"/>
        <v>0.9642857142857143</v>
      </c>
      <c r="T243">
        <f t="shared" si="18"/>
        <v>0.56000000000000005</v>
      </c>
      <c r="U243" t="str">
        <f t="shared" si="19"/>
        <v>Mar</v>
      </c>
    </row>
    <row r="244" spans="1:21">
      <c r="A244" s="2">
        <v>46077</v>
      </c>
      <c r="B244" t="s">
        <v>6</v>
      </c>
      <c r="C244" t="s">
        <v>44</v>
      </c>
      <c r="D244" t="s">
        <v>11</v>
      </c>
      <c r="E244" t="s">
        <v>35</v>
      </c>
      <c r="F244" t="s">
        <v>49</v>
      </c>
      <c r="G244">
        <v>103</v>
      </c>
      <c r="H244">
        <v>19</v>
      </c>
      <c r="I244">
        <v>53</v>
      </c>
      <c r="J244">
        <v>155</v>
      </c>
      <c r="K244">
        <v>201</v>
      </c>
      <c r="L244">
        <v>80.989999999999995</v>
      </c>
      <c r="M244">
        <v>1808.9</v>
      </c>
      <c r="N244">
        <v>73464</v>
      </c>
      <c r="O244">
        <v>1052.92</v>
      </c>
      <c r="P244" s="1">
        <v>0.26500000000000001</v>
      </c>
      <c r="Q244">
        <f t="shared" si="15"/>
        <v>122</v>
      </c>
      <c r="R244">
        <f t="shared" si="16"/>
        <v>174</v>
      </c>
      <c r="S244" s="1">
        <f t="shared" si="17"/>
        <v>0.56557377049180324</v>
      </c>
      <c r="T244">
        <f t="shared" si="18"/>
        <v>1.22</v>
      </c>
      <c r="U244" t="str">
        <f t="shared" si="19"/>
        <v>Feb</v>
      </c>
    </row>
    <row r="245" spans="1:21">
      <c r="A245" s="2">
        <v>46077</v>
      </c>
      <c r="B245" t="s">
        <v>6</v>
      </c>
      <c r="C245" t="s">
        <v>46</v>
      </c>
      <c r="D245" t="s">
        <v>11</v>
      </c>
      <c r="E245" t="s">
        <v>37</v>
      </c>
      <c r="F245" t="s">
        <v>33</v>
      </c>
      <c r="G245">
        <v>85</v>
      </c>
      <c r="H245">
        <v>9</v>
      </c>
      <c r="I245">
        <v>9</v>
      </c>
      <c r="J245">
        <v>152</v>
      </c>
      <c r="K245">
        <v>403</v>
      </c>
      <c r="L245">
        <v>107.66</v>
      </c>
      <c r="M245">
        <v>2269.56</v>
      </c>
      <c r="N245">
        <v>74165</v>
      </c>
      <c r="O245">
        <v>1309.76</v>
      </c>
      <c r="P245" s="1">
        <v>0.91600000000000004</v>
      </c>
      <c r="Q245">
        <f t="shared" si="15"/>
        <v>94</v>
      </c>
      <c r="R245">
        <f t="shared" si="16"/>
        <v>161</v>
      </c>
      <c r="S245" s="1">
        <f t="shared" si="17"/>
        <v>0.9042553191489362</v>
      </c>
      <c r="T245">
        <f t="shared" si="18"/>
        <v>0.94</v>
      </c>
      <c r="U245" t="str">
        <f t="shared" si="19"/>
        <v>Feb</v>
      </c>
    </row>
    <row r="246" spans="1:21">
      <c r="A246" s="2">
        <v>46081</v>
      </c>
      <c r="B246" t="s">
        <v>6</v>
      </c>
      <c r="C246" t="s">
        <v>40</v>
      </c>
      <c r="D246" t="s">
        <v>10</v>
      </c>
      <c r="E246" t="s">
        <v>42</v>
      </c>
      <c r="F246" t="s">
        <v>39</v>
      </c>
      <c r="G246">
        <v>3</v>
      </c>
      <c r="H246">
        <v>11</v>
      </c>
      <c r="I246">
        <v>80</v>
      </c>
      <c r="J246">
        <v>112</v>
      </c>
      <c r="K246">
        <v>439</v>
      </c>
      <c r="L246">
        <v>109.02</v>
      </c>
      <c r="M246">
        <v>2034.23</v>
      </c>
      <c r="N246">
        <v>71994</v>
      </c>
      <c r="O246">
        <v>935.62</v>
      </c>
      <c r="P246" s="1">
        <v>0.53500000000000003</v>
      </c>
      <c r="Q246">
        <f t="shared" si="15"/>
        <v>14</v>
      </c>
      <c r="R246">
        <f t="shared" si="16"/>
        <v>123</v>
      </c>
      <c r="S246" s="1">
        <f t="shared" si="17"/>
        <v>-4.7142857142857144</v>
      </c>
      <c r="T246">
        <f t="shared" si="18"/>
        <v>0.14000000000000001</v>
      </c>
      <c r="U246" t="str">
        <f t="shared" si="19"/>
        <v>Feb</v>
      </c>
    </row>
    <row r="247" spans="1:21">
      <c r="A247" s="2">
        <v>46089</v>
      </c>
      <c r="B247" t="s">
        <v>6</v>
      </c>
      <c r="C247" t="s">
        <v>43</v>
      </c>
      <c r="D247" t="s">
        <v>11</v>
      </c>
      <c r="E247" t="s">
        <v>35</v>
      </c>
      <c r="F247" t="s">
        <v>39</v>
      </c>
      <c r="G247">
        <v>73</v>
      </c>
      <c r="H247">
        <v>46</v>
      </c>
      <c r="I247">
        <v>74</v>
      </c>
      <c r="J247">
        <v>135</v>
      </c>
      <c r="K247">
        <v>216</v>
      </c>
      <c r="L247">
        <v>81.3</v>
      </c>
      <c r="M247">
        <v>1984.13</v>
      </c>
      <c r="N247">
        <v>64470</v>
      </c>
      <c r="O247">
        <v>1523.27</v>
      </c>
      <c r="P247" s="1">
        <v>-0.313</v>
      </c>
      <c r="Q247">
        <f t="shared" si="15"/>
        <v>119</v>
      </c>
      <c r="R247">
        <f t="shared" si="16"/>
        <v>181</v>
      </c>
      <c r="S247" s="1">
        <f t="shared" si="17"/>
        <v>0.37815126050420167</v>
      </c>
      <c r="T247">
        <f t="shared" si="18"/>
        <v>1.19</v>
      </c>
      <c r="U247" t="str">
        <f t="shared" si="19"/>
        <v>Mar</v>
      </c>
    </row>
    <row r="248" spans="1:21">
      <c r="A248" s="2">
        <v>46111</v>
      </c>
      <c r="B248" t="s">
        <v>6</v>
      </c>
      <c r="C248" t="s">
        <v>51</v>
      </c>
      <c r="D248" t="s">
        <v>10</v>
      </c>
      <c r="E248" t="s">
        <v>37</v>
      </c>
      <c r="F248" t="s">
        <v>39</v>
      </c>
      <c r="G248">
        <v>90</v>
      </c>
      <c r="H248">
        <v>59</v>
      </c>
      <c r="I248">
        <v>36</v>
      </c>
      <c r="J248">
        <v>54</v>
      </c>
      <c r="K248">
        <v>64</v>
      </c>
      <c r="L248">
        <v>128.86000000000001</v>
      </c>
      <c r="M248">
        <v>2096.34</v>
      </c>
      <c r="N248">
        <v>69189</v>
      </c>
      <c r="O248">
        <v>1273.8900000000001</v>
      </c>
      <c r="P248" s="1">
        <v>-0.41799999999999998</v>
      </c>
      <c r="Q248">
        <f t="shared" si="15"/>
        <v>149</v>
      </c>
      <c r="R248">
        <f t="shared" si="16"/>
        <v>113</v>
      </c>
      <c r="S248" s="1">
        <f t="shared" si="17"/>
        <v>0.75838926174496646</v>
      </c>
      <c r="T248">
        <f t="shared" si="18"/>
        <v>1.49</v>
      </c>
      <c r="U248" t="str">
        <f t="shared" si="19"/>
        <v>Mar</v>
      </c>
    </row>
    <row r="249" spans="1:21">
      <c r="A249" s="2">
        <v>46069</v>
      </c>
      <c r="B249" t="s">
        <v>4</v>
      </c>
      <c r="C249" t="s">
        <v>44</v>
      </c>
      <c r="D249" t="s">
        <v>10</v>
      </c>
      <c r="E249" t="s">
        <v>37</v>
      </c>
      <c r="F249" t="s">
        <v>49</v>
      </c>
      <c r="G249">
        <v>76</v>
      </c>
      <c r="H249">
        <v>27</v>
      </c>
      <c r="I249">
        <v>29</v>
      </c>
      <c r="J249">
        <v>54</v>
      </c>
      <c r="K249">
        <v>361</v>
      </c>
      <c r="L249">
        <v>97.91</v>
      </c>
      <c r="M249">
        <v>2270.75</v>
      </c>
      <c r="N249">
        <v>72746</v>
      </c>
      <c r="O249">
        <v>1241.75</v>
      </c>
      <c r="P249" s="1">
        <v>0.627</v>
      </c>
      <c r="Q249">
        <f t="shared" si="15"/>
        <v>103</v>
      </c>
      <c r="R249">
        <f t="shared" si="16"/>
        <v>81</v>
      </c>
      <c r="S249" s="1">
        <f t="shared" si="17"/>
        <v>0.71844660194174759</v>
      </c>
      <c r="T249">
        <f t="shared" si="18"/>
        <v>1.03</v>
      </c>
      <c r="U249" t="str">
        <f t="shared" si="19"/>
        <v>Feb</v>
      </c>
    </row>
    <row r="250" spans="1:21">
      <c r="A250" s="2">
        <v>46099</v>
      </c>
      <c r="B250" t="s">
        <v>6</v>
      </c>
      <c r="C250" t="s">
        <v>51</v>
      </c>
      <c r="D250" t="s">
        <v>10</v>
      </c>
      <c r="E250" t="s">
        <v>35</v>
      </c>
      <c r="F250" t="s">
        <v>39</v>
      </c>
      <c r="G250">
        <v>42</v>
      </c>
      <c r="H250">
        <v>4</v>
      </c>
      <c r="I250">
        <v>6</v>
      </c>
      <c r="J250">
        <v>20</v>
      </c>
      <c r="K250">
        <v>75</v>
      </c>
      <c r="L250">
        <v>133.61000000000001</v>
      </c>
      <c r="M250">
        <v>2271.39</v>
      </c>
      <c r="N250">
        <v>73511</v>
      </c>
      <c r="O250">
        <v>1043.1400000000001</v>
      </c>
      <c r="P250" s="1">
        <v>0.51400000000000001</v>
      </c>
      <c r="Q250">
        <f t="shared" si="15"/>
        <v>46</v>
      </c>
      <c r="R250">
        <f t="shared" si="16"/>
        <v>24</v>
      </c>
      <c r="S250" s="1">
        <f t="shared" si="17"/>
        <v>0.86956521739130432</v>
      </c>
      <c r="T250">
        <f t="shared" si="18"/>
        <v>0.46</v>
      </c>
      <c r="U250" t="str">
        <f t="shared" si="19"/>
        <v>Mar</v>
      </c>
    </row>
    <row r="251" spans="1:21">
      <c r="A251" s="2">
        <v>46082</v>
      </c>
      <c r="B251" t="s">
        <v>4</v>
      </c>
      <c r="C251" t="s">
        <v>51</v>
      </c>
      <c r="D251" t="s">
        <v>10</v>
      </c>
      <c r="E251" t="s">
        <v>42</v>
      </c>
      <c r="F251" t="s">
        <v>49</v>
      </c>
      <c r="G251">
        <v>17</v>
      </c>
      <c r="H251">
        <v>53</v>
      </c>
      <c r="I251">
        <v>22</v>
      </c>
      <c r="J251">
        <v>150</v>
      </c>
      <c r="K251">
        <v>18</v>
      </c>
      <c r="L251">
        <v>80.95</v>
      </c>
      <c r="M251">
        <v>2050.7399999999998</v>
      </c>
      <c r="N251">
        <v>73231</v>
      </c>
      <c r="O251">
        <v>1358.57</v>
      </c>
      <c r="P251" s="1">
        <v>0.9</v>
      </c>
      <c r="Q251">
        <f t="shared" si="15"/>
        <v>70</v>
      </c>
      <c r="R251">
        <f t="shared" si="16"/>
        <v>203</v>
      </c>
      <c r="S251" s="1">
        <f t="shared" si="17"/>
        <v>0.68571428571428572</v>
      </c>
      <c r="T251">
        <f t="shared" si="18"/>
        <v>0.7</v>
      </c>
      <c r="U251" t="str">
        <f t="shared" si="19"/>
        <v>Mar</v>
      </c>
    </row>
    <row r="252" spans="1:21">
      <c r="A252" s="2">
        <v>46084</v>
      </c>
      <c r="B252" t="s">
        <v>6</v>
      </c>
      <c r="C252" t="s">
        <v>36</v>
      </c>
      <c r="D252" t="s">
        <v>9</v>
      </c>
      <c r="E252" t="s">
        <v>37</v>
      </c>
      <c r="F252" t="s">
        <v>49</v>
      </c>
      <c r="G252">
        <v>73</v>
      </c>
      <c r="H252">
        <v>61</v>
      </c>
      <c r="I252">
        <v>43</v>
      </c>
      <c r="J252">
        <v>58</v>
      </c>
      <c r="K252">
        <v>147</v>
      </c>
      <c r="L252">
        <v>81.06</v>
      </c>
      <c r="M252">
        <v>2119.5300000000002</v>
      </c>
      <c r="N252">
        <v>68055</v>
      </c>
      <c r="O252">
        <v>1584.09</v>
      </c>
      <c r="P252" s="1">
        <v>0.44</v>
      </c>
      <c r="Q252">
        <f t="shared" si="15"/>
        <v>134</v>
      </c>
      <c r="R252">
        <f t="shared" si="16"/>
        <v>119</v>
      </c>
      <c r="S252" s="1">
        <f t="shared" si="17"/>
        <v>0.67910447761194026</v>
      </c>
      <c r="T252">
        <f t="shared" si="18"/>
        <v>1.34</v>
      </c>
      <c r="U252" t="str">
        <f t="shared" si="19"/>
        <v>Mar</v>
      </c>
    </row>
    <row r="253" spans="1:21">
      <c r="A253" s="2">
        <v>46116</v>
      </c>
      <c r="B253" t="s">
        <v>6</v>
      </c>
      <c r="C253" t="s">
        <v>40</v>
      </c>
      <c r="D253" t="s">
        <v>9</v>
      </c>
      <c r="E253" t="s">
        <v>38</v>
      </c>
      <c r="F253" t="s">
        <v>49</v>
      </c>
      <c r="G253">
        <v>15</v>
      </c>
      <c r="H253">
        <v>20</v>
      </c>
      <c r="I253">
        <v>48</v>
      </c>
      <c r="J253">
        <v>43</v>
      </c>
      <c r="K253">
        <v>27</v>
      </c>
      <c r="L253">
        <v>115.34</v>
      </c>
      <c r="M253">
        <v>1911.22</v>
      </c>
      <c r="N253">
        <v>74678</v>
      </c>
      <c r="O253">
        <v>1656.16</v>
      </c>
      <c r="P253" s="1">
        <v>0.39300000000000002</v>
      </c>
      <c r="Q253">
        <f t="shared" si="15"/>
        <v>35</v>
      </c>
      <c r="R253">
        <f t="shared" si="16"/>
        <v>63</v>
      </c>
      <c r="S253" s="1">
        <f t="shared" si="17"/>
        <v>-0.37142857142857144</v>
      </c>
      <c r="T253">
        <f t="shared" si="18"/>
        <v>0.35</v>
      </c>
      <c r="U253" t="str">
        <f t="shared" si="19"/>
        <v>Apr</v>
      </c>
    </row>
    <row r="254" spans="1:21">
      <c r="A254" s="2">
        <v>46093</v>
      </c>
      <c r="B254" t="s">
        <v>4</v>
      </c>
      <c r="C254" t="s">
        <v>43</v>
      </c>
      <c r="D254" t="s">
        <v>7</v>
      </c>
      <c r="E254" t="s">
        <v>35</v>
      </c>
      <c r="F254" t="s">
        <v>33</v>
      </c>
      <c r="G254">
        <v>107</v>
      </c>
      <c r="H254">
        <v>56</v>
      </c>
      <c r="I254">
        <v>63</v>
      </c>
      <c r="J254">
        <v>138</v>
      </c>
      <c r="K254">
        <v>63</v>
      </c>
      <c r="L254">
        <v>122.34</v>
      </c>
      <c r="M254">
        <v>2144.4</v>
      </c>
      <c r="N254">
        <v>66096</v>
      </c>
      <c r="O254">
        <v>1521.16</v>
      </c>
      <c r="P254" s="1">
        <v>0.42399999999999999</v>
      </c>
      <c r="Q254">
        <f t="shared" si="15"/>
        <v>163</v>
      </c>
      <c r="R254">
        <f t="shared" si="16"/>
        <v>194</v>
      </c>
      <c r="S254" s="1">
        <f t="shared" si="17"/>
        <v>0.61349693251533743</v>
      </c>
      <c r="T254">
        <f t="shared" si="18"/>
        <v>1.63</v>
      </c>
      <c r="U254" t="str">
        <f t="shared" si="19"/>
        <v>Mar</v>
      </c>
    </row>
    <row r="255" spans="1:21">
      <c r="A255" s="2">
        <v>46117</v>
      </c>
      <c r="B255" t="s">
        <v>4</v>
      </c>
      <c r="C255" t="s">
        <v>43</v>
      </c>
      <c r="D255" t="s">
        <v>10</v>
      </c>
      <c r="E255" t="s">
        <v>38</v>
      </c>
      <c r="F255" t="s">
        <v>45</v>
      </c>
      <c r="G255">
        <v>68</v>
      </c>
      <c r="H255">
        <v>78</v>
      </c>
      <c r="I255">
        <v>84</v>
      </c>
      <c r="J255">
        <v>128</v>
      </c>
      <c r="K255">
        <v>75</v>
      </c>
      <c r="L255">
        <v>128.66999999999999</v>
      </c>
      <c r="M255">
        <v>1851.17</v>
      </c>
      <c r="N255">
        <v>68760</v>
      </c>
      <c r="O255">
        <v>1434.15</v>
      </c>
      <c r="P255" s="1">
        <v>0.63900000000000001</v>
      </c>
      <c r="Q255">
        <f t="shared" si="15"/>
        <v>146</v>
      </c>
      <c r="R255">
        <f t="shared" si="16"/>
        <v>206</v>
      </c>
      <c r="S255" s="1">
        <f t="shared" si="17"/>
        <v>0.42465753424657532</v>
      </c>
      <c r="T255">
        <f t="shared" si="18"/>
        <v>1.46</v>
      </c>
      <c r="U255" t="str">
        <f t="shared" si="19"/>
        <v>Apr</v>
      </c>
    </row>
    <row r="256" spans="1:21">
      <c r="A256" s="2">
        <v>46114</v>
      </c>
      <c r="B256" t="s">
        <v>6</v>
      </c>
      <c r="C256" t="s">
        <v>44</v>
      </c>
      <c r="D256" t="s">
        <v>5</v>
      </c>
      <c r="E256" t="s">
        <v>47</v>
      </c>
      <c r="F256" t="s">
        <v>33</v>
      </c>
      <c r="G256">
        <v>73</v>
      </c>
      <c r="H256">
        <v>61</v>
      </c>
      <c r="I256">
        <v>61</v>
      </c>
      <c r="J256">
        <v>155</v>
      </c>
      <c r="K256">
        <v>330</v>
      </c>
      <c r="L256">
        <v>107.58</v>
      </c>
      <c r="M256">
        <v>2248.12</v>
      </c>
      <c r="N256">
        <v>70418</v>
      </c>
      <c r="O256">
        <v>1484.53</v>
      </c>
      <c r="P256" s="1">
        <v>0.76300000000000001</v>
      </c>
      <c r="Q256">
        <f t="shared" si="15"/>
        <v>134</v>
      </c>
      <c r="R256">
        <f t="shared" si="16"/>
        <v>216</v>
      </c>
      <c r="S256" s="1">
        <f t="shared" si="17"/>
        <v>0.54477611940298509</v>
      </c>
      <c r="T256">
        <f t="shared" si="18"/>
        <v>1.34</v>
      </c>
      <c r="U256" t="str">
        <f t="shared" si="19"/>
        <v>Apr</v>
      </c>
    </row>
    <row r="257" spans="1:21">
      <c r="A257" s="2">
        <v>46101</v>
      </c>
      <c r="B257" t="s">
        <v>6</v>
      </c>
      <c r="C257" t="s">
        <v>43</v>
      </c>
      <c r="D257" t="s">
        <v>11</v>
      </c>
      <c r="E257" t="s">
        <v>32</v>
      </c>
      <c r="F257" t="s">
        <v>45</v>
      </c>
      <c r="G257">
        <v>94</v>
      </c>
      <c r="H257">
        <v>44</v>
      </c>
      <c r="I257">
        <v>71</v>
      </c>
      <c r="J257">
        <v>94</v>
      </c>
      <c r="K257">
        <v>315</v>
      </c>
      <c r="L257">
        <v>91.1</v>
      </c>
      <c r="M257">
        <v>1832.3</v>
      </c>
      <c r="N257">
        <v>70783</v>
      </c>
      <c r="O257">
        <v>1737.89</v>
      </c>
      <c r="P257" s="1">
        <v>0.78700000000000003</v>
      </c>
      <c r="Q257">
        <f t="shared" si="15"/>
        <v>138</v>
      </c>
      <c r="R257">
        <f t="shared" si="16"/>
        <v>138</v>
      </c>
      <c r="S257" s="1">
        <f t="shared" si="17"/>
        <v>0.48550724637681159</v>
      </c>
      <c r="T257">
        <f t="shared" si="18"/>
        <v>1.38</v>
      </c>
      <c r="U257" t="str">
        <f t="shared" si="19"/>
        <v>Mar</v>
      </c>
    </row>
    <row r="258" spans="1:21">
      <c r="A258" s="2">
        <v>46089</v>
      </c>
      <c r="B258" t="s">
        <v>4</v>
      </c>
      <c r="C258" t="s">
        <v>34</v>
      </c>
      <c r="D258" t="s">
        <v>5</v>
      </c>
      <c r="E258" t="s">
        <v>42</v>
      </c>
      <c r="F258" t="s">
        <v>45</v>
      </c>
      <c r="G258">
        <v>60</v>
      </c>
      <c r="H258">
        <v>75</v>
      </c>
      <c r="I258">
        <v>43</v>
      </c>
      <c r="J258">
        <v>10</v>
      </c>
      <c r="K258">
        <v>274</v>
      </c>
      <c r="L258">
        <v>115.66</v>
      </c>
      <c r="M258">
        <v>1831.93</v>
      </c>
      <c r="N258">
        <v>74409</v>
      </c>
      <c r="O258">
        <v>1373.28</v>
      </c>
      <c r="P258" s="1">
        <v>-0.374</v>
      </c>
      <c r="Q258">
        <f t="shared" si="15"/>
        <v>135</v>
      </c>
      <c r="R258">
        <f t="shared" si="16"/>
        <v>85</v>
      </c>
      <c r="S258" s="1">
        <f t="shared" si="17"/>
        <v>0.68148148148148147</v>
      </c>
      <c r="T258">
        <f t="shared" si="18"/>
        <v>1.35</v>
      </c>
      <c r="U258" t="str">
        <f t="shared" si="19"/>
        <v>Mar</v>
      </c>
    </row>
    <row r="259" spans="1:21">
      <c r="A259" s="2">
        <v>46087</v>
      </c>
      <c r="B259" t="s">
        <v>4</v>
      </c>
      <c r="C259" t="s">
        <v>31</v>
      </c>
      <c r="D259" t="s">
        <v>7</v>
      </c>
      <c r="E259" t="s">
        <v>38</v>
      </c>
      <c r="F259" t="s">
        <v>33</v>
      </c>
      <c r="G259">
        <v>94</v>
      </c>
      <c r="H259">
        <v>8</v>
      </c>
      <c r="I259">
        <v>45</v>
      </c>
      <c r="J259">
        <v>108</v>
      </c>
      <c r="K259">
        <v>402</v>
      </c>
      <c r="L259">
        <v>95.33</v>
      </c>
      <c r="M259">
        <v>1873.52</v>
      </c>
      <c r="N259">
        <v>72868</v>
      </c>
      <c r="O259">
        <v>1514.91</v>
      </c>
      <c r="P259" s="1">
        <v>0.84099999999999997</v>
      </c>
      <c r="Q259">
        <f t="shared" ref="Q259:Q322" si="20">G259+H259</f>
        <v>102</v>
      </c>
      <c r="R259">
        <f t="shared" ref="R259:R322" si="21">J259+H259</f>
        <v>116</v>
      </c>
      <c r="S259" s="1">
        <f t="shared" ref="S259:S322" si="22">(Q259-I259)/(Q259)</f>
        <v>0.55882352941176472</v>
      </c>
      <c r="T259">
        <f t="shared" ref="T259:T322" si="23">Q259/100</f>
        <v>1.02</v>
      </c>
      <c r="U259" t="str">
        <f t="shared" ref="U259:U322" si="24">TEXT(A259,"mmm")</f>
        <v>Mar</v>
      </c>
    </row>
    <row r="260" spans="1:21">
      <c r="A260" s="2">
        <v>46086</v>
      </c>
      <c r="B260" t="s">
        <v>4</v>
      </c>
      <c r="C260" t="s">
        <v>40</v>
      </c>
      <c r="D260" t="s">
        <v>7</v>
      </c>
      <c r="E260" t="s">
        <v>47</v>
      </c>
      <c r="F260" t="s">
        <v>49</v>
      </c>
      <c r="G260">
        <v>83</v>
      </c>
      <c r="H260">
        <v>22</v>
      </c>
      <c r="I260">
        <v>26</v>
      </c>
      <c r="J260">
        <v>68</v>
      </c>
      <c r="K260">
        <v>289</v>
      </c>
      <c r="L260">
        <v>104.87</v>
      </c>
      <c r="M260">
        <v>2317.5500000000002</v>
      </c>
      <c r="N260">
        <v>75017</v>
      </c>
      <c r="O260">
        <v>904.18</v>
      </c>
      <c r="P260" s="1">
        <v>-0.76700000000000002</v>
      </c>
      <c r="Q260">
        <f t="shared" si="20"/>
        <v>105</v>
      </c>
      <c r="R260">
        <f t="shared" si="21"/>
        <v>90</v>
      </c>
      <c r="S260" s="1">
        <f t="shared" si="22"/>
        <v>0.75238095238095237</v>
      </c>
      <c r="T260">
        <f t="shared" si="23"/>
        <v>1.05</v>
      </c>
      <c r="U260" t="str">
        <f t="shared" si="24"/>
        <v>Mar</v>
      </c>
    </row>
    <row r="261" spans="1:21">
      <c r="A261" s="2">
        <v>46068</v>
      </c>
      <c r="B261" t="s">
        <v>6</v>
      </c>
      <c r="C261" t="s">
        <v>36</v>
      </c>
      <c r="D261" t="s">
        <v>10</v>
      </c>
      <c r="E261" t="s">
        <v>32</v>
      </c>
      <c r="F261" t="s">
        <v>39</v>
      </c>
      <c r="G261">
        <v>27</v>
      </c>
      <c r="H261">
        <v>48</v>
      </c>
      <c r="I261">
        <v>89</v>
      </c>
      <c r="J261">
        <v>118</v>
      </c>
      <c r="K261">
        <v>252</v>
      </c>
      <c r="L261">
        <v>117.01</v>
      </c>
      <c r="M261">
        <v>2479.98</v>
      </c>
      <c r="N261">
        <v>70029</v>
      </c>
      <c r="O261">
        <v>1595.91</v>
      </c>
      <c r="P261" s="1">
        <v>-0.54</v>
      </c>
      <c r="Q261">
        <f t="shared" si="20"/>
        <v>75</v>
      </c>
      <c r="R261">
        <f t="shared" si="21"/>
        <v>166</v>
      </c>
      <c r="S261" s="1">
        <f t="shared" si="22"/>
        <v>-0.18666666666666668</v>
      </c>
      <c r="T261">
        <f t="shared" si="23"/>
        <v>0.75</v>
      </c>
      <c r="U261" t="str">
        <f t="shared" si="24"/>
        <v>Feb</v>
      </c>
    </row>
    <row r="262" spans="1:21">
      <c r="A262" s="2">
        <v>46081</v>
      </c>
      <c r="B262" t="s">
        <v>4</v>
      </c>
      <c r="C262" t="s">
        <v>44</v>
      </c>
      <c r="D262" t="s">
        <v>7</v>
      </c>
      <c r="E262" t="s">
        <v>41</v>
      </c>
      <c r="F262" t="s">
        <v>45</v>
      </c>
      <c r="G262">
        <v>99</v>
      </c>
      <c r="H262">
        <v>17</v>
      </c>
      <c r="I262">
        <v>70</v>
      </c>
      <c r="J262">
        <v>94</v>
      </c>
      <c r="K262">
        <v>224</v>
      </c>
      <c r="L262">
        <v>109.56</v>
      </c>
      <c r="M262">
        <v>2394.44</v>
      </c>
      <c r="N262">
        <v>68363</v>
      </c>
      <c r="O262">
        <v>903.09</v>
      </c>
      <c r="P262" s="1">
        <v>-0.20300000000000001</v>
      </c>
      <c r="Q262">
        <f t="shared" si="20"/>
        <v>116</v>
      </c>
      <c r="R262">
        <f t="shared" si="21"/>
        <v>111</v>
      </c>
      <c r="S262" s="1">
        <f t="shared" si="22"/>
        <v>0.39655172413793105</v>
      </c>
      <c r="T262">
        <f t="shared" si="23"/>
        <v>1.1599999999999999</v>
      </c>
      <c r="U262" t="str">
        <f t="shared" si="24"/>
        <v>Feb</v>
      </c>
    </row>
    <row r="263" spans="1:21">
      <c r="A263" s="2">
        <v>46126</v>
      </c>
      <c r="B263" t="s">
        <v>4</v>
      </c>
      <c r="C263" t="s">
        <v>50</v>
      </c>
      <c r="D263" t="s">
        <v>11</v>
      </c>
      <c r="E263" t="s">
        <v>38</v>
      </c>
      <c r="F263" t="s">
        <v>45</v>
      </c>
      <c r="G263">
        <v>4</v>
      </c>
      <c r="H263">
        <v>60</v>
      </c>
      <c r="I263">
        <v>37</v>
      </c>
      <c r="J263">
        <v>102</v>
      </c>
      <c r="K263">
        <v>315</v>
      </c>
      <c r="L263">
        <v>122.02</v>
      </c>
      <c r="M263">
        <v>1853.81</v>
      </c>
      <c r="N263">
        <v>64350</v>
      </c>
      <c r="O263">
        <v>1101.19</v>
      </c>
      <c r="P263" s="1">
        <v>-5.0999999999999997E-2</v>
      </c>
      <c r="Q263">
        <f t="shared" si="20"/>
        <v>64</v>
      </c>
      <c r="R263">
        <f t="shared" si="21"/>
        <v>162</v>
      </c>
      <c r="S263" s="1">
        <f t="shared" si="22"/>
        <v>0.421875</v>
      </c>
      <c r="T263">
        <f t="shared" si="23"/>
        <v>0.64</v>
      </c>
      <c r="U263" t="str">
        <f t="shared" si="24"/>
        <v>Apr</v>
      </c>
    </row>
    <row r="264" spans="1:21">
      <c r="A264" s="2">
        <v>46078</v>
      </c>
      <c r="B264" t="s">
        <v>6</v>
      </c>
      <c r="C264" t="s">
        <v>48</v>
      </c>
      <c r="D264" t="s">
        <v>9</v>
      </c>
      <c r="E264" t="s">
        <v>42</v>
      </c>
      <c r="F264" t="s">
        <v>33</v>
      </c>
      <c r="G264">
        <v>2</v>
      </c>
      <c r="H264">
        <v>56</v>
      </c>
      <c r="I264">
        <v>1</v>
      </c>
      <c r="J264">
        <v>42</v>
      </c>
      <c r="K264">
        <v>385</v>
      </c>
      <c r="L264">
        <v>135.97999999999999</v>
      </c>
      <c r="M264">
        <v>1835.11</v>
      </c>
      <c r="N264">
        <v>68111</v>
      </c>
      <c r="O264">
        <v>1351.27</v>
      </c>
      <c r="P264" s="1">
        <v>0.61899999999999999</v>
      </c>
      <c r="Q264">
        <f t="shared" si="20"/>
        <v>58</v>
      </c>
      <c r="R264">
        <f t="shared" si="21"/>
        <v>98</v>
      </c>
      <c r="S264" s="1">
        <f t="shared" si="22"/>
        <v>0.98275862068965514</v>
      </c>
      <c r="T264">
        <f t="shared" si="23"/>
        <v>0.57999999999999996</v>
      </c>
      <c r="U264" t="str">
        <f t="shared" si="24"/>
        <v>Feb</v>
      </c>
    </row>
    <row r="265" spans="1:21">
      <c r="A265" s="2">
        <v>46120</v>
      </c>
      <c r="B265" t="s">
        <v>4</v>
      </c>
      <c r="C265" t="s">
        <v>31</v>
      </c>
      <c r="D265" t="s">
        <v>7</v>
      </c>
      <c r="E265" t="s">
        <v>32</v>
      </c>
      <c r="F265" t="s">
        <v>39</v>
      </c>
      <c r="G265">
        <v>72</v>
      </c>
      <c r="H265">
        <v>36</v>
      </c>
      <c r="I265">
        <v>82</v>
      </c>
      <c r="J265">
        <v>27</v>
      </c>
      <c r="K265">
        <v>54</v>
      </c>
      <c r="L265">
        <v>135.66</v>
      </c>
      <c r="M265">
        <v>2363.2800000000002</v>
      </c>
      <c r="N265">
        <v>71779</v>
      </c>
      <c r="O265">
        <v>1760.56</v>
      </c>
      <c r="P265" s="1">
        <v>-0.71199999999999997</v>
      </c>
      <c r="Q265">
        <f t="shared" si="20"/>
        <v>108</v>
      </c>
      <c r="R265">
        <f t="shared" si="21"/>
        <v>63</v>
      </c>
      <c r="S265" s="1">
        <f t="shared" si="22"/>
        <v>0.24074074074074073</v>
      </c>
      <c r="T265">
        <f t="shared" si="23"/>
        <v>1.08</v>
      </c>
      <c r="U265" t="str">
        <f t="shared" si="24"/>
        <v>Apr</v>
      </c>
    </row>
    <row r="266" spans="1:21">
      <c r="A266" s="2">
        <v>46126</v>
      </c>
      <c r="B266" t="s">
        <v>4</v>
      </c>
      <c r="C266" t="s">
        <v>31</v>
      </c>
      <c r="D266" t="s">
        <v>10</v>
      </c>
      <c r="E266" t="s">
        <v>38</v>
      </c>
      <c r="F266" t="s">
        <v>33</v>
      </c>
      <c r="G266">
        <v>85</v>
      </c>
      <c r="H266">
        <v>41</v>
      </c>
      <c r="I266">
        <v>65</v>
      </c>
      <c r="J266">
        <v>90</v>
      </c>
      <c r="K266">
        <v>66</v>
      </c>
      <c r="L266">
        <v>136.11000000000001</v>
      </c>
      <c r="M266">
        <v>1895.2</v>
      </c>
      <c r="N266">
        <v>71974</v>
      </c>
      <c r="O266">
        <v>1156.71</v>
      </c>
      <c r="P266" s="1">
        <v>-0.32400000000000001</v>
      </c>
      <c r="Q266">
        <f t="shared" si="20"/>
        <v>126</v>
      </c>
      <c r="R266">
        <f t="shared" si="21"/>
        <v>131</v>
      </c>
      <c r="S266" s="1">
        <f t="shared" si="22"/>
        <v>0.48412698412698413</v>
      </c>
      <c r="T266">
        <f t="shared" si="23"/>
        <v>1.26</v>
      </c>
      <c r="U266" t="str">
        <f t="shared" si="24"/>
        <v>Apr</v>
      </c>
    </row>
    <row r="267" spans="1:21">
      <c r="A267" s="2">
        <v>46095</v>
      </c>
      <c r="B267" t="s">
        <v>6</v>
      </c>
      <c r="C267" t="s">
        <v>40</v>
      </c>
      <c r="D267" t="s">
        <v>11</v>
      </c>
      <c r="E267" t="s">
        <v>42</v>
      </c>
      <c r="F267" t="s">
        <v>33</v>
      </c>
      <c r="G267">
        <v>48</v>
      </c>
      <c r="H267">
        <v>37</v>
      </c>
      <c r="I267">
        <v>0</v>
      </c>
      <c r="J267">
        <v>130</v>
      </c>
      <c r="K267">
        <v>422</v>
      </c>
      <c r="L267">
        <v>98.09</v>
      </c>
      <c r="M267">
        <v>2167.79</v>
      </c>
      <c r="N267">
        <v>70178</v>
      </c>
      <c r="O267">
        <v>1471.18</v>
      </c>
      <c r="P267" s="1">
        <v>-0.64400000000000002</v>
      </c>
      <c r="Q267">
        <f t="shared" si="20"/>
        <v>85</v>
      </c>
      <c r="R267">
        <f t="shared" si="21"/>
        <v>167</v>
      </c>
      <c r="S267" s="1">
        <f t="shared" si="22"/>
        <v>1</v>
      </c>
      <c r="T267">
        <f t="shared" si="23"/>
        <v>0.85</v>
      </c>
      <c r="U267" t="str">
        <f t="shared" si="24"/>
        <v>Mar</v>
      </c>
    </row>
    <row r="268" spans="1:21">
      <c r="A268" s="2">
        <v>46096</v>
      </c>
      <c r="B268" t="s">
        <v>6</v>
      </c>
      <c r="C268" t="s">
        <v>36</v>
      </c>
      <c r="D268" t="s">
        <v>5</v>
      </c>
      <c r="E268" t="s">
        <v>32</v>
      </c>
      <c r="F268" t="s">
        <v>45</v>
      </c>
      <c r="G268">
        <v>77</v>
      </c>
      <c r="H268">
        <v>14</v>
      </c>
      <c r="I268">
        <v>6</v>
      </c>
      <c r="J268">
        <v>25</v>
      </c>
      <c r="K268">
        <v>447</v>
      </c>
      <c r="L268">
        <v>130.03</v>
      </c>
      <c r="M268">
        <v>1998.4</v>
      </c>
      <c r="N268">
        <v>64001</v>
      </c>
      <c r="O268">
        <v>1783.97</v>
      </c>
      <c r="P268" s="1">
        <v>0.18</v>
      </c>
      <c r="Q268">
        <f t="shared" si="20"/>
        <v>91</v>
      </c>
      <c r="R268">
        <f t="shared" si="21"/>
        <v>39</v>
      </c>
      <c r="S268" s="1">
        <f t="shared" si="22"/>
        <v>0.93406593406593408</v>
      </c>
      <c r="T268">
        <f t="shared" si="23"/>
        <v>0.91</v>
      </c>
      <c r="U268" t="str">
        <f t="shared" si="24"/>
        <v>Mar</v>
      </c>
    </row>
    <row r="269" spans="1:21">
      <c r="A269" s="2">
        <v>46076</v>
      </c>
      <c r="B269" t="s">
        <v>4</v>
      </c>
      <c r="C269" t="s">
        <v>34</v>
      </c>
      <c r="D269" t="s">
        <v>9</v>
      </c>
      <c r="E269" t="s">
        <v>35</v>
      </c>
      <c r="F269" t="s">
        <v>45</v>
      </c>
      <c r="G269">
        <v>74</v>
      </c>
      <c r="H269">
        <v>31</v>
      </c>
      <c r="I269">
        <v>80</v>
      </c>
      <c r="J269">
        <v>13</v>
      </c>
      <c r="K269">
        <v>201</v>
      </c>
      <c r="L269">
        <v>128.31</v>
      </c>
      <c r="M269">
        <v>2234.4299999999998</v>
      </c>
      <c r="N269">
        <v>66694</v>
      </c>
      <c r="O269">
        <v>1723.84</v>
      </c>
      <c r="P269" s="1">
        <v>-0.753</v>
      </c>
      <c r="Q269">
        <f t="shared" si="20"/>
        <v>105</v>
      </c>
      <c r="R269">
        <f t="shared" si="21"/>
        <v>44</v>
      </c>
      <c r="S269" s="1">
        <f t="shared" si="22"/>
        <v>0.23809523809523808</v>
      </c>
      <c r="T269">
        <f t="shared" si="23"/>
        <v>1.05</v>
      </c>
      <c r="U269" t="str">
        <f t="shared" si="24"/>
        <v>Feb</v>
      </c>
    </row>
    <row r="270" spans="1:21">
      <c r="A270" s="2">
        <v>46123</v>
      </c>
      <c r="B270" t="s">
        <v>4</v>
      </c>
      <c r="C270" t="s">
        <v>46</v>
      </c>
      <c r="D270" t="s">
        <v>7</v>
      </c>
      <c r="E270" t="s">
        <v>37</v>
      </c>
      <c r="F270" t="s">
        <v>49</v>
      </c>
      <c r="G270">
        <v>43</v>
      </c>
      <c r="H270">
        <v>79</v>
      </c>
      <c r="I270">
        <v>82</v>
      </c>
      <c r="J270">
        <v>74</v>
      </c>
      <c r="K270">
        <v>46</v>
      </c>
      <c r="L270">
        <v>115.95</v>
      </c>
      <c r="M270">
        <v>2015.67</v>
      </c>
      <c r="N270">
        <v>64686</v>
      </c>
      <c r="O270">
        <v>1706.3</v>
      </c>
      <c r="P270" s="1">
        <v>-0.89700000000000002</v>
      </c>
      <c r="Q270">
        <f t="shared" si="20"/>
        <v>122</v>
      </c>
      <c r="R270">
        <f t="shared" si="21"/>
        <v>153</v>
      </c>
      <c r="S270" s="1">
        <f t="shared" si="22"/>
        <v>0.32786885245901637</v>
      </c>
      <c r="T270">
        <f t="shared" si="23"/>
        <v>1.22</v>
      </c>
      <c r="U270" t="str">
        <f t="shared" si="24"/>
        <v>Apr</v>
      </c>
    </row>
    <row r="271" spans="1:21">
      <c r="A271" s="2">
        <v>46101</v>
      </c>
      <c r="B271" t="s">
        <v>6</v>
      </c>
      <c r="C271" t="s">
        <v>36</v>
      </c>
      <c r="D271" t="s">
        <v>7</v>
      </c>
      <c r="E271" t="s">
        <v>42</v>
      </c>
      <c r="F271" t="s">
        <v>49</v>
      </c>
      <c r="G271">
        <v>43</v>
      </c>
      <c r="H271">
        <v>63</v>
      </c>
      <c r="I271">
        <v>19</v>
      </c>
      <c r="J271">
        <v>133</v>
      </c>
      <c r="K271">
        <v>64</v>
      </c>
      <c r="L271">
        <v>88.92</v>
      </c>
      <c r="M271">
        <v>2266.34</v>
      </c>
      <c r="N271">
        <v>66880</v>
      </c>
      <c r="O271">
        <v>996.19</v>
      </c>
      <c r="P271" s="1">
        <v>0.16700000000000001</v>
      </c>
      <c r="Q271">
        <f t="shared" si="20"/>
        <v>106</v>
      </c>
      <c r="R271">
        <f t="shared" si="21"/>
        <v>196</v>
      </c>
      <c r="S271" s="1">
        <f t="shared" si="22"/>
        <v>0.82075471698113212</v>
      </c>
      <c r="T271">
        <f t="shared" si="23"/>
        <v>1.06</v>
      </c>
      <c r="U271" t="str">
        <f t="shared" si="24"/>
        <v>Mar</v>
      </c>
    </row>
    <row r="272" spans="1:21">
      <c r="A272" s="2">
        <v>46104</v>
      </c>
      <c r="B272" t="s">
        <v>6</v>
      </c>
      <c r="C272" t="s">
        <v>34</v>
      </c>
      <c r="D272" t="s">
        <v>5</v>
      </c>
      <c r="E272" t="s">
        <v>32</v>
      </c>
      <c r="F272" t="s">
        <v>45</v>
      </c>
      <c r="G272">
        <v>16</v>
      </c>
      <c r="H272">
        <v>26</v>
      </c>
      <c r="I272">
        <v>12</v>
      </c>
      <c r="J272">
        <v>66</v>
      </c>
      <c r="K272">
        <v>419</v>
      </c>
      <c r="L272">
        <v>108.59</v>
      </c>
      <c r="M272">
        <v>1886.02</v>
      </c>
      <c r="N272">
        <v>65595</v>
      </c>
      <c r="O272">
        <v>1739.67</v>
      </c>
      <c r="P272" s="1">
        <v>0.84699999999999998</v>
      </c>
      <c r="Q272">
        <f t="shared" si="20"/>
        <v>42</v>
      </c>
      <c r="R272">
        <f t="shared" si="21"/>
        <v>92</v>
      </c>
      <c r="S272" s="1">
        <f t="shared" si="22"/>
        <v>0.7142857142857143</v>
      </c>
      <c r="T272">
        <f t="shared" si="23"/>
        <v>0.42</v>
      </c>
      <c r="U272" t="str">
        <f t="shared" si="24"/>
        <v>Mar</v>
      </c>
    </row>
    <row r="273" spans="1:21">
      <c r="A273" s="2">
        <v>46093</v>
      </c>
      <c r="B273" t="s">
        <v>4</v>
      </c>
      <c r="C273" t="s">
        <v>51</v>
      </c>
      <c r="D273" t="s">
        <v>7</v>
      </c>
      <c r="E273" t="s">
        <v>32</v>
      </c>
      <c r="F273" t="s">
        <v>49</v>
      </c>
      <c r="G273">
        <v>26</v>
      </c>
      <c r="H273">
        <v>44</v>
      </c>
      <c r="I273">
        <v>76</v>
      </c>
      <c r="J273">
        <v>134</v>
      </c>
      <c r="K273">
        <v>352</v>
      </c>
      <c r="L273">
        <v>123.86</v>
      </c>
      <c r="M273">
        <v>2035.37</v>
      </c>
      <c r="N273">
        <v>64681</v>
      </c>
      <c r="O273">
        <v>1491.79</v>
      </c>
      <c r="P273" s="1">
        <v>0.30399999999999999</v>
      </c>
      <c r="Q273">
        <f t="shared" si="20"/>
        <v>70</v>
      </c>
      <c r="R273">
        <f t="shared" si="21"/>
        <v>178</v>
      </c>
      <c r="S273" s="1">
        <f t="shared" si="22"/>
        <v>-8.5714285714285715E-2</v>
      </c>
      <c r="T273">
        <f t="shared" si="23"/>
        <v>0.7</v>
      </c>
      <c r="U273" t="str">
        <f t="shared" si="24"/>
        <v>Mar</v>
      </c>
    </row>
    <row r="274" spans="1:21">
      <c r="A274" s="2">
        <v>46112</v>
      </c>
      <c r="B274" t="s">
        <v>6</v>
      </c>
      <c r="C274" t="s">
        <v>50</v>
      </c>
      <c r="D274" t="s">
        <v>10</v>
      </c>
      <c r="E274" t="s">
        <v>47</v>
      </c>
      <c r="F274" t="s">
        <v>45</v>
      </c>
      <c r="G274">
        <v>5</v>
      </c>
      <c r="H274">
        <v>20</v>
      </c>
      <c r="I274">
        <v>6</v>
      </c>
      <c r="J274">
        <v>86</v>
      </c>
      <c r="K274">
        <v>436</v>
      </c>
      <c r="L274">
        <v>85.87</v>
      </c>
      <c r="M274">
        <v>2430.98</v>
      </c>
      <c r="N274">
        <v>70230</v>
      </c>
      <c r="O274">
        <v>1146.19</v>
      </c>
      <c r="P274" s="1">
        <v>0.1</v>
      </c>
      <c r="Q274">
        <f t="shared" si="20"/>
        <v>25</v>
      </c>
      <c r="R274">
        <f t="shared" si="21"/>
        <v>106</v>
      </c>
      <c r="S274" s="1">
        <f t="shared" si="22"/>
        <v>0.76</v>
      </c>
      <c r="T274">
        <f t="shared" si="23"/>
        <v>0.25</v>
      </c>
      <c r="U274" t="str">
        <f t="shared" si="24"/>
        <v>Mar</v>
      </c>
    </row>
    <row r="275" spans="1:21">
      <c r="A275" s="2">
        <v>46119</v>
      </c>
      <c r="B275" t="s">
        <v>6</v>
      </c>
      <c r="C275" t="s">
        <v>50</v>
      </c>
      <c r="D275" t="s">
        <v>5</v>
      </c>
      <c r="E275" t="s">
        <v>37</v>
      </c>
      <c r="F275" t="s">
        <v>39</v>
      </c>
      <c r="G275">
        <v>53</v>
      </c>
      <c r="H275">
        <v>61</v>
      </c>
      <c r="I275">
        <v>53</v>
      </c>
      <c r="J275">
        <v>124</v>
      </c>
      <c r="K275">
        <v>104</v>
      </c>
      <c r="L275">
        <v>85.05</v>
      </c>
      <c r="M275">
        <v>1813</v>
      </c>
      <c r="N275">
        <v>72126</v>
      </c>
      <c r="O275">
        <v>1226.4000000000001</v>
      </c>
      <c r="P275" s="1">
        <v>0.53200000000000003</v>
      </c>
      <c r="Q275">
        <f t="shared" si="20"/>
        <v>114</v>
      </c>
      <c r="R275">
        <f t="shared" si="21"/>
        <v>185</v>
      </c>
      <c r="S275" s="1">
        <f t="shared" si="22"/>
        <v>0.53508771929824561</v>
      </c>
      <c r="T275">
        <f t="shared" si="23"/>
        <v>1.1399999999999999</v>
      </c>
      <c r="U275" t="str">
        <f t="shared" si="24"/>
        <v>Apr</v>
      </c>
    </row>
    <row r="276" spans="1:21">
      <c r="A276" s="2">
        <v>46122</v>
      </c>
      <c r="B276" t="s">
        <v>4</v>
      </c>
      <c r="C276" t="s">
        <v>40</v>
      </c>
      <c r="D276" t="s">
        <v>9</v>
      </c>
      <c r="E276" t="s">
        <v>47</v>
      </c>
      <c r="F276" t="s">
        <v>49</v>
      </c>
      <c r="G276">
        <v>74</v>
      </c>
      <c r="H276">
        <v>57</v>
      </c>
      <c r="I276">
        <v>14</v>
      </c>
      <c r="J276">
        <v>71</v>
      </c>
      <c r="K276">
        <v>35</v>
      </c>
      <c r="L276">
        <v>91.19</v>
      </c>
      <c r="M276">
        <v>1869.58</v>
      </c>
      <c r="N276">
        <v>72529</v>
      </c>
      <c r="O276">
        <v>1663.67</v>
      </c>
      <c r="P276" s="1">
        <v>-0.55500000000000005</v>
      </c>
      <c r="Q276">
        <f t="shared" si="20"/>
        <v>131</v>
      </c>
      <c r="R276">
        <f t="shared" si="21"/>
        <v>128</v>
      </c>
      <c r="S276" s="1">
        <f t="shared" si="22"/>
        <v>0.89312977099236646</v>
      </c>
      <c r="T276">
        <f t="shared" si="23"/>
        <v>1.31</v>
      </c>
      <c r="U276" t="str">
        <f t="shared" si="24"/>
        <v>Apr</v>
      </c>
    </row>
    <row r="277" spans="1:21">
      <c r="A277" s="2">
        <v>46110</v>
      </c>
      <c r="B277" t="s">
        <v>4</v>
      </c>
      <c r="C277" t="s">
        <v>44</v>
      </c>
      <c r="D277" t="s">
        <v>10</v>
      </c>
      <c r="E277" t="s">
        <v>35</v>
      </c>
      <c r="F277" t="s">
        <v>45</v>
      </c>
      <c r="G277">
        <v>21</v>
      </c>
      <c r="H277">
        <v>34</v>
      </c>
      <c r="I277">
        <v>12</v>
      </c>
      <c r="J277">
        <v>75</v>
      </c>
      <c r="K277">
        <v>264</v>
      </c>
      <c r="L277">
        <v>103.45</v>
      </c>
      <c r="M277">
        <v>2056.11</v>
      </c>
      <c r="N277">
        <v>67788</v>
      </c>
      <c r="O277">
        <v>1222.9100000000001</v>
      </c>
      <c r="P277" s="1">
        <v>0.112</v>
      </c>
      <c r="Q277">
        <f t="shared" si="20"/>
        <v>55</v>
      </c>
      <c r="R277">
        <f t="shared" si="21"/>
        <v>109</v>
      </c>
      <c r="S277" s="1">
        <f t="shared" si="22"/>
        <v>0.78181818181818186</v>
      </c>
      <c r="T277">
        <f t="shared" si="23"/>
        <v>0.55000000000000004</v>
      </c>
      <c r="U277" t="str">
        <f t="shared" si="24"/>
        <v>Mar</v>
      </c>
    </row>
    <row r="278" spans="1:21">
      <c r="A278" s="2">
        <v>46096</v>
      </c>
      <c r="B278" t="s">
        <v>6</v>
      </c>
      <c r="C278" t="s">
        <v>46</v>
      </c>
      <c r="D278" t="s">
        <v>9</v>
      </c>
      <c r="E278" t="s">
        <v>32</v>
      </c>
      <c r="F278" t="s">
        <v>45</v>
      </c>
      <c r="G278">
        <v>95</v>
      </c>
      <c r="H278">
        <v>19</v>
      </c>
      <c r="I278">
        <v>27</v>
      </c>
      <c r="J278">
        <v>120</v>
      </c>
      <c r="K278">
        <v>20</v>
      </c>
      <c r="L278">
        <v>103.03</v>
      </c>
      <c r="M278">
        <v>2478.66</v>
      </c>
      <c r="N278">
        <v>68435</v>
      </c>
      <c r="O278">
        <v>1070.7</v>
      </c>
      <c r="P278" s="1">
        <v>0.67500000000000004</v>
      </c>
      <c r="Q278">
        <f t="shared" si="20"/>
        <v>114</v>
      </c>
      <c r="R278">
        <f t="shared" si="21"/>
        <v>139</v>
      </c>
      <c r="S278" s="1">
        <f t="shared" si="22"/>
        <v>0.76315789473684215</v>
      </c>
      <c r="T278">
        <f t="shared" si="23"/>
        <v>1.1399999999999999</v>
      </c>
      <c r="U278" t="str">
        <f t="shared" si="24"/>
        <v>Mar</v>
      </c>
    </row>
    <row r="279" spans="1:21">
      <c r="A279" s="2">
        <v>46075</v>
      </c>
      <c r="B279" t="s">
        <v>4</v>
      </c>
      <c r="C279" t="s">
        <v>43</v>
      </c>
      <c r="D279" t="s">
        <v>10</v>
      </c>
      <c r="E279" t="s">
        <v>35</v>
      </c>
      <c r="F279" t="s">
        <v>33</v>
      </c>
      <c r="G279">
        <v>67</v>
      </c>
      <c r="H279">
        <v>32</v>
      </c>
      <c r="I279">
        <v>55</v>
      </c>
      <c r="J279">
        <v>139</v>
      </c>
      <c r="K279">
        <v>264</v>
      </c>
      <c r="L279">
        <v>98.96</v>
      </c>
      <c r="M279">
        <v>1940.68</v>
      </c>
      <c r="N279">
        <v>72993</v>
      </c>
      <c r="O279">
        <v>1476.23</v>
      </c>
      <c r="P279" s="1">
        <v>0.224</v>
      </c>
      <c r="Q279">
        <f t="shared" si="20"/>
        <v>99</v>
      </c>
      <c r="R279">
        <f t="shared" si="21"/>
        <v>171</v>
      </c>
      <c r="S279" s="1">
        <f t="shared" si="22"/>
        <v>0.44444444444444442</v>
      </c>
      <c r="T279">
        <f t="shared" si="23"/>
        <v>0.99</v>
      </c>
      <c r="U279" t="str">
        <f t="shared" si="24"/>
        <v>Feb</v>
      </c>
    </row>
    <row r="280" spans="1:21">
      <c r="A280" s="2">
        <v>46117</v>
      </c>
      <c r="B280" t="s">
        <v>4</v>
      </c>
      <c r="C280" t="s">
        <v>31</v>
      </c>
      <c r="D280" t="s">
        <v>9</v>
      </c>
      <c r="E280" t="s">
        <v>38</v>
      </c>
      <c r="F280" t="s">
        <v>49</v>
      </c>
      <c r="G280">
        <v>99</v>
      </c>
      <c r="H280">
        <v>27</v>
      </c>
      <c r="I280">
        <v>23</v>
      </c>
      <c r="J280">
        <v>124</v>
      </c>
      <c r="K280">
        <v>298</v>
      </c>
      <c r="L280">
        <v>80.89</v>
      </c>
      <c r="M280">
        <v>1890.45</v>
      </c>
      <c r="N280">
        <v>74838</v>
      </c>
      <c r="O280">
        <v>1627.23</v>
      </c>
      <c r="P280" s="1">
        <v>0.29799999999999999</v>
      </c>
      <c r="Q280">
        <f t="shared" si="20"/>
        <v>126</v>
      </c>
      <c r="R280">
        <f t="shared" si="21"/>
        <v>151</v>
      </c>
      <c r="S280" s="1">
        <f t="shared" si="22"/>
        <v>0.81746031746031744</v>
      </c>
      <c r="T280">
        <f t="shared" si="23"/>
        <v>1.26</v>
      </c>
      <c r="U280" t="str">
        <f t="shared" si="24"/>
        <v>Apr</v>
      </c>
    </row>
    <row r="281" spans="1:21">
      <c r="A281" s="2">
        <v>46083</v>
      </c>
      <c r="B281" t="s">
        <v>6</v>
      </c>
      <c r="C281" t="s">
        <v>44</v>
      </c>
      <c r="D281" t="s">
        <v>5</v>
      </c>
      <c r="E281" t="s">
        <v>32</v>
      </c>
      <c r="F281" t="s">
        <v>49</v>
      </c>
      <c r="G281">
        <v>5</v>
      </c>
      <c r="H281">
        <v>75</v>
      </c>
      <c r="I281">
        <v>32</v>
      </c>
      <c r="J281">
        <v>99</v>
      </c>
      <c r="K281">
        <v>57</v>
      </c>
      <c r="L281">
        <v>101.65</v>
      </c>
      <c r="M281">
        <v>1854.6</v>
      </c>
      <c r="N281">
        <v>66117</v>
      </c>
      <c r="O281">
        <v>1238.5</v>
      </c>
      <c r="P281" s="1">
        <v>4.3999999999999997E-2</v>
      </c>
      <c r="Q281">
        <f t="shared" si="20"/>
        <v>80</v>
      </c>
      <c r="R281">
        <f t="shared" si="21"/>
        <v>174</v>
      </c>
      <c r="S281" s="1">
        <f t="shared" si="22"/>
        <v>0.6</v>
      </c>
      <c r="T281">
        <f t="shared" si="23"/>
        <v>0.8</v>
      </c>
      <c r="U281" t="str">
        <f t="shared" si="24"/>
        <v>Mar</v>
      </c>
    </row>
    <row r="282" spans="1:21">
      <c r="A282" s="2">
        <v>46068</v>
      </c>
      <c r="B282" t="s">
        <v>6</v>
      </c>
      <c r="C282" t="s">
        <v>43</v>
      </c>
      <c r="D282" t="s">
        <v>7</v>
      </c>
      <c r="E282" t="s">
        <v>32</v>
      </c>
      <c r="F282" t="s">
        <v>49</v>
      </c>
      <c r="G282">
        <v>57</v>
      </c>
      <c r="H282">
        <v>65</v>
      </c>
      <c r="I282">
        <v>28</v>
      </c>
      <c r="J282">
        <v>142</v>
      </c>
      <c r="K282">
        <v>153</v>
      </c>
      <c r="L282">
        <v>136.32</v>
      </c>
      <c r="M282">
        <v>1988.7</v>
      </c>
      <c r="N282">
        <v>72012</v>
      </c>
      <c r="O282">
        <v>919.65</v>
      </c>
      <c r="P282" s="1">
        <v>0.74199999999999999</v>
      </c>
      <c r="Q282">
        <f t="shared" si="20"/>
        <v>122</v>
      </c>
      <c r="R282">
        <f t="shared" si="21"/>
        <v>207</v>
      </c>
      <c r="S282" s="1">
        <f t="shared" si="22"/>
        <v>0.77049180327868849</v>
      </c>
      <c r="T282">
        <f t="shared" si="23"/>
        <v>1.22</v>
      </c>
      <c r="U282" t="str">
        <f t="shared" si="24"/>
        <v>Feb</v>
      </c>
    </row>
    <row r="283" spans="1:21">
      <c r="A283" s="2">
        <v>46086</v>
      </c>
      <c r="B283" t="s">
        <v>4</v>
      </c>
      <c r="C283" t="s">
        <v>40</v>
      </c>
      <c r="D283" t="s">
        <v>11</v>
      </c>
      <c r="E283" t="s">
        <v>47</v>
      </c>
      <c r="F283" t="s">
        <v>33</v>
      </c>
      <c r="G283">
        <v>36</v>
      </c>
      <c r="H283">
        <v>78</v>
      </c>
      <c r="I283">
        <v>27</v>
      </c>
      <c r="J283">
        <v>101</v>
      </c>
      <c r="K283">
        <v>311</v>
      </c>
      <c r="L283">
        <v>130.88999999999999</v>
      </c>
      <c r="M283">
        <v>2351.5</v>
      </c>
      <c r="N283">
        <v>64634</v>
      </c>
      <c r="O283">
        <v>1683.82</v>
      </c>
      <c r="P283" s="1">
        <v>-0.51400000000000001</v>
      </c>
      <c r="Q283">
        <f t="shared" si="20"/>
        <v>114</v>
      </c>
      <c r="R283">
        <f t="shared" si="21"/>
        <v>179</v>
      </c>
      <c r="S283" s="1">
        <f t="shared" si="22"/>
        <v>0.76315789473684215</v>
      </c>
      <c r="T283">
        <f t="shared" si="23"/>
        <v>1.1399999999999999</v>
      </c>
      <c r="U283" t="str">
        <f t="shared" si="24"/>
        <v>Mar</v>
      </c>
    </row>
    <row r="284" spans="1:21">
      <c r="A284" s="2">
        <v>46107</v>
      </c>
      <c r="B284" t="s">
        <v>6</v>
      </c>
      <c r="C284" t="s">
        <v>43</v>
      </c>
      <c r="D284" t="s">
        <v>10</v>
      </c>
      <c r="E284" t="s">
        <v>38</v>
      </c>
      <c r="F284" t="s">
        <v>49</v>
      </c>
      <c r="G284">
        <v>73</v>
      </c>
      <c r="H284">
        <v>4</v>
      </c>
      <c r="I284">
        <v>89</v>
      </c>
      <c r="J284">
        <v>17</v>
      </c>
      <c r="K284">
        <v>337</v>
      </c>
      <c r="L284">
        <v>129.54</v>
      </c>
      <c r="M284">
        <v>2214.98</v>
      </c>
      <c r="N284">
        <v>72784</v>
      </c>
      <c r="O284">
        <v>924.17</v>
      </c>
      <c r="P284" s="1">
        <v>-0.86299999999999999</v>
      </c>
      <c r="Q284">
        <f t="shared" si="20"/>
        <v>77</v>
      </c>
      <c r="R284">
        <f t="shared" si="21"/>
        <v>21</v>
      </c>
      <c r="S284" s="1">
        <f t="shared" si="22"/>
        <v>-0.15584415584415584</v>
      </c>
      <c r="T284">
        <f t="shared" si="23"/>
        <v>0.77</v>
      </c>
      <c r="U284" t="str">
        <f t="shared" si="24"/>
        <v>Mar</v>
      </c>
    </row>
    <row r="285" spans="1:21">
      <c r="A285" s="2">
        <v>46112</v>
      </c>
      <c r="B285" t="s">
        <v>4</v>
      </c>
      <c r="C285" t="s">
        <v>48</v>
      </c>
      <c r="D285" t="s">
        <v>11</v>
      </c>
      <c r="E285" t="s">
        <v>41</v>
      </c>
      <c r="F285" t="s">
        <v>39</v>
      </c>
      <c r="G285">
        <v>20</v>
      </c>
      <c r="H285">
        <v>55</v>
      </c>
      <c r="I285">
        <v>23</v>
      </c>
      <c r="J285">
        <v>106</v>
      </c>
      <c r="K285">
        <v>149</v>
      </c>
      <c r="L285">
        <v>98.82</v>
      </c>
      <c r="M285">
        <v>2038.91</v>
      </c>
      <c r="N285">
        <v>64852</v>
      </c>
      <c r="O285">
        <v>1176.77</v>
      </c>
      <c r="P285" s="1">
        <v>-9.5000000000000001E-2</v>
      </c>
      <c r="Q285">
        <f t="shared" si="20"/>
        <v>75</v>
      </c>
      <c r="R285">
        <f t="shared" si="21"/>
        <v>161</v>
      </c>
      <c r="S285" s="1">
        <f t="shared" si="22"/>
        <v>0.69333333333333336</v>
      </c>
      <c r="T285">
        <f t="shared" si="23"/>
        <v>0.75</v>
      </c>
      <c r="U285" t="str">
        <f t="shared" si="24"/>
        <v>Mar</v>
      </c>
    </row>
    <row r="286" spans="1:21">
      <c r="A286" s="2">
        <v>46116</v>
      </c>
      <c r="B286" t="s">
        <v>4</v>
      </c>
      <c r="C286" t="s">
        <v>44</v>
      </c>
      <c r="D286" t="s">
        <v>10</v>
      </c>
      <c r="E286" t="s">
        <v>42</v>
      </c>
      <c r="F286" t="s">
        <v>49</v>
      </c>
      <c r="G286">
        <v>30</v>
      </c>
      <c r="H286">
        <v>26</v>
      </c>
      <c r="I286">
        <v>28</v>
      </c>
      <c r="J286">
        <v>99</v>
      </c>
      <c r="K286">
        <v>311</v>
      </c>
      <c r="L286">
        <v>82.11</v>
      </c>
      <c r="M286">
        <v>2230.75</v>
      </c>
      <c r="N286">
        <v>71213</v>
      </c>
      <c r="O286">
        <v>1787.23</v>
      </c>
      <c r="P286" s="1">
        <v>4.2999999999999997E-2</v>
      </c>
      <c r="Q286">
        <f t="shared" si="20"/>
        <v>56</v>
      </c>
      <c r="R286">
        <f t="shared" si="21"/>
        <v>125</v>
      </c>
      <c r="S286" s="1">
        <f t="shared" si="22"/>
        <v>0.5</v>
      </c>
      <c r="T286">
        <f t="shared" si="23"/>
        <v>0.56000000000000005</v>
      </c>
      <c r="U286" t="str">
        <f t="shared" si="24"/>
        <v>Apr</v>
      </c>
    </row>
    <row r="287" spans="1:21">
      <c r="A287" s="2">
        <v>46068</v>
      </c>
      <c r="B287" t="s">
        <v>6</v>
      </c>
      <c r="C287" t="s">
        <v>34</v>
      </c>
      <c r="D287" t="s">
        <v>9</v>
      </c>
      <c r="E287" t="s">
        <v>41</v>
      </c>
      <c r="F287" t="s">
        <v>33</v>
      </c>
      <c r="G287">
        <v>50</v>
      </c>
      <c r="H287">
        <v>49</v>
      </c>
      <c r="I287">
        <v>34</v>
      </c>
      <c r="J287">
        <v>147</v>
      </c>
      <c r="K287">
        <v>391</v>
      </c>
      <c r="L287">
        <v>136.37</v>
      </c>
      <c r="M287">
        <v>2472.4699999999998</v>
      </c>
      <c r="N287">
        <v>65370</v>
      </c>
      <c r="O287">
        <v>1054.2</v>
      </c>
      <c r="P287" s="1">
        <v>0.67100000000000004</v>
      </c>
      <c r="Q287">
        <f t="shared" si="20"/>
        <v>99</v>
      </c>
      <c r="R287">
        <f t="shared" si="21"/>
        <v>196</v>
      </c>
      <c r="S287" s="1">
        <f t="shared" si="22"/>
        <v>0.65656565656565657</v>
      </c>
      <c r="T287">
        <f t="shared" si="23"/>
        <v>0.99</v>
      </c>
      <c r="U287" t="str">
        <f t="shared" si="24"/>
        <v>Feb</v>
      </c>
    </row>
    <row r="288" spans="1:21">
      <c r="A288" s="2">
        <v>46112</v>
      </c>
      <c r="B288" t="s">
        <v>4</v>
      </c>
      <c r="C288" t="s">
        <v>34</v>
      </c>
      <c r="D288" t="s">
        <v>5</v>
      </c>
      <c r="E288" t="s">
        <v>41</v>
      </c>
      <c r="F288" t="s">
        <v>33</v>
      </c>
      <c r="G288">
        <v>17</v>
      </c>
      <c r="H288">
        <v>36</v>
      </c>
      <c r="I288">
        <v>10</v>
      </c>
      <c r="J288">
        <v>46</v>
      </c>
      <c r="K288">
        <v>214</v>
      </c>
      <c r="L288">
        <v>135.93</v>
      </c>
      <c r="M288">
        <v>1815.88</v>
      </c>
      <c r="N288">
        <v>72952</v>
      </c>
      <c r="O288">
        <v>1709.89</v>
      </c>
      <c r="P288" s="1">
        <v>0.74399999999999999</v>
      </c>
      <c r="Q288">
        <f t="shared" si="20"/>
        <v>53</v>
      </c>
      <c r="R288">
        <f t="shared" si="21"/>
        <v>82</v>
      </c>
      <c r="S288" s="1">
        <f t="shared" si="22"/>
        <v>0.81132075471698117</v>
      </c>
      <c r="T288">
        <f t="shared" si="23"/>
        <v>0.53</v>
      </c>
      <c r="U288" t="str">
        <f t="shared" si="24"/>
        <v>Mar</v>
      </c>
    </row>
    <row r="289" spans="1:21">
      <c r="A289" s="2">
        <v>46077</v>
      </c>
      <c r="B289" t="s">
        <v>4</v>
      </c>
      <c r="C289" t="s">
        <v>51</v>
      </c>
      <c r="D289" t="s">
        <v>11</v>
      </c>
      <c r="E289" t="s">
        <v>32</v>
      </c>
      <c r="F289" t="s">
        <v>45</v>
      </c>
      <c r="G289">
        <v>82</v>
      </c>
      <c r="H289">
        <v>79</v>
      </c>
      <c r="I289">
        <v>74</v>
      </c>
      <c r="J289">
        <v>67</v>
      </c>
      <c r="K289">
        <v>37</v>
      </c>
      <c r="L289">
        <v>116.13</v>
      </c>
      <c r="M289">
        <v>2156.88</v>
      </c>
      <c r="N289">
        <v>74317</v>
      </c>
      <c r="O289">
        <v>1237.3800000000001</v>
      </c>
      <c r="P289" s="1">
        <v>0.40400000000000003</v>
      </c>
      <c r="Q289">
        <f t="shared" si="20"/>
        <v>161</v>
      </c>
      <c r="R289">
        <f t="shared" si="21"/>
        <v>146</v>
      </c>
      <c r="S289" s="1">
        <f t="shared" si="22"/>
        <v>0.54037267080745344</v>
      </c>
      <c r="T289">
        <f t="shared" si="23"/>
        <v>1.61</v>
      </c>
      <c r="U289" t="str">
        <f t="shared" si="24"/>
        <v>Feb</v>
      </c>
    </row>
    <row r="290" spans="1:21">
      <c r="A290" s="2">
        <v>46114</v>
      </c>
      <c r="B290" t="s">
        <v>6</v>
      </c>
      <c r="C290" t="s">
        <v>44</v>
      </c>
      <c r="D290" t="s">
        <v>5</v>
      </c>
      <c r="E290" t="s">
        <v>32</v>
      </c>
      <c r="F290" t="s">
        <v>45</v>
      </c>
      <c r="G290">
        <v>2</v>
      </c>
      <c r="H290">
        <v>65</v>
      </c>
      <c r="I290">
        <v>42</v>
      </c>
      <c r="J290">
        <v>141</v>
      </c>
      <c r="K290">
        <v>347</v>
      </c>
      <c r="L290">
        <v>113.47</v>
      </c>
      <c r="M290">
        <v>2143.89</v>
      </c>
      <c r="N290">
        <v>70534</v>
      </c>
      <c r="O290">
        <v>928.7</v>
      </c>
      <c r="P290" s="1">
        <v>-0.56499999999999995</v>
      </c>
      <c r="Q290">
        <f t="shared" si="20"/>
        <v>67</v>
      </c>
      <c r="R290">
        <f t="shared" si="21"/>
        <v>206</v>
      </c>
      <c r="S290" s="1">
        <f t="shared" si="22"/>
        <v>0.37313432835820898</v>
      </c>
      <c r="T290">
        <f t="shared" si="23"/>
        <v>0.67</v>
      </c>
      <c r="U290" t="str">
        <f t="shared" si="24"/>
        <v>Apr</v>
      </c>
    </row>
    <row r="291" spans="1:21">
      <c r="A291" s="2">
        <v>46124</v>
      </c>
      <c r="B291" t="s">
        <v>6</v>
      </c>
      <c r="C291" t="s">
        <v>43</v>
      </c>
      <c r="D291" t="s">
        <v>9</v>
      </c>
      <c r="E291" t="s">
        <v>37</v>
      </c>
      <c r="F291" t="s">
        <v>39</v>
      </c>
      <c r="G291">
        <v>9</v>
      </c>
      <c r="H291">
        <v>59</v>
      </c>
      <c r="I291">
        <v>17</v>
      </c>
      <c r="J291">
        <v>105</v>
      </c>
      <c r="K291">
        <v>160</v>
      </c>
      <c r="L291">
        <v>99.68</v>
      </c>
      <c r="M291">
        <v>2263.19</v>
      </c>
      <c r="N291">
        <v>69352</v>
      </c>
      <c r="O291">
        <v>1443.43</v>
      </c>
      <c r="P291" s="1">
        <v>0.50900000000000001</v>
      </c>
      <c r="Q291">
        <f t="shared" si="20"/>
        <v>68</v>
      </c>
      <c r="R291">
        <f t="shared" si="21"/>
        <v>164</v>
      </c>
      <c r="S291" s="1">
        <f t="shared" si="22"/>
        <v>0.75</v>
      </c>
      <c r="T291">
        <f t="shared" si="23"/>
        <v>0.68</v>
      </c>
      <c r="U291" t="str">
        <f t="shared" si="24"/>
        <v>Apr</v>
      </c>
    </row>
    <row r="292" spans="1:21">
      <c r="A292" s="2">
        <v>46102</v>
      </c>
      <c r="B292" t="s">
        <v>6</v>
      </c>
      <c r="C292" t="s">
        <v>43</v>
      </c>
      <c r="D292" t="s">
        <v>5</v>
      </c>
      <c r="E292" t="s">
        <v>41</v>
      </c>
      <c r="F292" t="s">
        <v>39</v>
      </c>
      <c r="G292">
        <v>4</v>
      </c>
      <c r="H292">
        <v>29</v>
      </c>
      <c r="I292">
        <v>42</v>
      </c>
      <c r="J292">
        <v>147</v>
      </c>
      <c r="K292">
        <v>325</v>
      </c>
      <c r="L292">
        <v>126.43</v>
      </c>
      <c r="M292">
        <v>1905.42</v>
      </c>
      <c r="N292">
        <v>72621</v>
      </c>
      <c r="O292">
        <v>1302.94</v>
      </c>
      <c r="P292" s="1">
        <v>-0.62</v>
      </c>
      <c r="Q292">
        <f t="shared" si="20"/>
        <v>33</v>
      </c>
      <c r="R292">
        <f t="shared" si="21"/>
        <v>176</v>
      </c>
      <c r="S292" s="1">
        <f t="shared" si="22"/>
        <v>-0.27272727272727271</v>
      </c>
      <c r="T292">
        <f t="shared" si="23"/>
        <v>0.33</v>
      </c>
      <c r="U292" t="str">
        <f t="shared" si="24"/>
        <v>Mar</v>
      </c>
    </row>
    <row r="293" spans="1:21">
      <c r="A293" s="2">
        <v>46116</v>
      </c>
      <c r="B293" t="s">
        <v>6</v>
      </c>
      <c r="C293" t="s">
        <v>48</v>
      </c>
      <c r="D293" t="s">
        <v>10</v>
      </c>
      <c r="E293" t="s">
        <v>37</v>
      </c>
      <c r="F293" t="s">
        <v>49</v>
      </c>
      <c r="G293">
        <v>0</v>
      </c>
      <c r="H293">
        <v>64</v>
      </c>
      <c r="I293">
        <v>45</v>
      </c>
      <c r="J293">
        <v>142</v>
      </c>
      <c r="K293">
        <v>343</v>
      </c>
      <c r="L293">
        <v>111.59</v>
      </c>
      <c r="M293">
        <v>2336.85</v>
      </c>
      <c r="N293">
        <v>70397</v>
      </c>
      <c r="O293">
        <v>1097.1500000000001</v>
      </c>
      <c r="P293" s="1">
        <v>-0.80400000000000005</v>
      </c>
      <c r="Q293">
        <f t="shared" si="20"/>
        <v>64</v>
      </c>
      <c r="R293">
        <f t="shared" si="21"/>
        <v>206</v>
      </c>
      <c r="S293" s="1">
        <f t="shared" si="22"/>
        <v>0.296875</v>
      </c>
      <c r="T293">
        <f t="shared" si="23"/>
        <v>0.64</v>
      </c>
      <c r="U293" t="str">
        <f t="shared" si="24"/>
        <v>Apr</v>
      </c>
    </row>
    <row r="294" spans="1:21">
      <c r="A294" s="2">
        <v>46111</v>
      </c>
      <c r="B294" t="s">
        <v>4</v>
      </c>
      <c r="C294" t="s">
        <v>44</v>
      </c>
      <c r="D294" t="s">
        <v>5</v>
      </c>
      <c r="E294" t="s">
        <v>47</v>
      </c>
      <c r="F294" t="s">
        <v>49</v>
      </c>
      <c r="G294">
        <v>16</v>
      </c>
      <c r="H294">
        <v>28</v>
      </c>
      <c r="I294">
        <v>20</v>
      </c>
      <c r="J294">
        <v>44</v>
      </c>
      <c r="K294">
        <v>44</v>
      </c>
      <c r="L294">
        <v>92.61</v>
      </c>
      <c r="M294">
        <v>1939.93</v>
      </c>
      <c r="N294">
        <v>75784</v>
      </c>
      <c r="O294">
        <v>936.87</v>
      </c>
      <c r="P294" s="1">
        <v>0.65200000000000002</v>
      </c>
      <c r="Q294">
        <f t="shared" si="20"/>
        <v>44</v>
      </c>
      <c r="R294">
        <f t="shared" si="21"/>
        <v>72</v>
      </c>
      <c r="S294" s="1">
        <f t="shared" si="22"/>
        <v>0.54545454545454541</v>
      </c>
      <c r="T294">
        <f t="shared" si="23"/>
        <v>0.44</v>
      </c>
      <c r="U294" t="str">
        <f t="shared" si="24"/>
        <v>Mar</v>
      </c>
    </row>
    <row r="295" spans="1:21">
      <c r="A295" s="2">
        <v>46073</v>
      </c>
      <c r="B295" t="s">
        <v>6</v>
      </c>
      <c r="C295" t="s">
        <v>50</v>
      </c>
      <c r="D295" t="s">
        <v>9</v>
      </c>
      <c r="E295" t="s">
        <v>35</v>
      </c>
      <c r="F295" t="s">
        <v>39</v>
      </c>
      <c r="G295">
        <v>57</v>
      </c>
      <c r="H295">
        <v>6</v>
      </c>
      <c r="I295">
        <v>67</v>
      </c>
      <c r="J295">
        <v>104</v>
      </c>
      <c r="K295">
        <v>95</v>
      </c>
      <c r="L295">
        <v>96.22</v>
      </c>
      <c r="M295">
        <v>2311.67</v>
      </c>
      <c r="N295">
        <v>64714</v>
      </c>
      <c r="O295">
        <v>1302.93</v>
      </c>
      <c r="P295" s="1">
        <v>0.52700000000000002</v>
      </c>
      <c r="Q295">
        <f t="shared" si="20"/>
        <v>63</v>
      </c>
      <c r="R295">
        <f t="shared" si="21"/>
        <v>110</v>
      </c>
      <c r="S295" s="1">
        <f t="shared" si="22"/>
        <v>-6.3492063492063489E-2</v>
      </c>
      <c r="T295">
        <f t="shared" si="23"/>
        <v>0.63</v>
      </c>
      <c r="U295" t="str">
        <f t="shared" si="24"/>
        <v>Feb</v>
      </c>
    </row>
    <row r="296" spans="1:21">
      <c r="A296" s="2">
        <v>46089</v>
      </c>
      <c r="B296" t="s">
        <v>6</v>
      </c>
      <c r="C296" t="s">
        <v>48</v>
      </c>
      <c r="D296" t="s">
        <v>7</v>
      </c>
      <c r="E296" t="s">
        <v>32</v>
      </c>
      <c r="F296" t="s">
        <v>33</v>
      </c>
      <c r="G296">
        <v>89</v>
      </c>
      <c r="H296">
        <v>16</v>
      </c>
      <c r="I296">
        <v>56</v>
      </c>
      <c r="J296">
        <v>86</v>
      </c>
      <c r="K296">
        <v>420</v>
      </c>
      <c r="L296">
        <v>82.32</v>
      </c>
      <c r="M296">
        <v>2190.0300000000002</v>
      </c>
      <c r="N296">
        <v>66768</v>
      </c>
      <c r="O296">
        <v>1099.3699999999999</v>
      </c>
      <c r="P296" s="1">
        <v>0.98199999999999998</v>
      </c>
      <c r="Q296">
        <f t="shared" si="20"/>
        <v>105</v>
      </c>
      <c r="R296">
        <f t="shared" si="21"/>
        <v>102</v>
      </c>
      <c r="S296" s="1">
        <f t="shared" si="22"/>
        <v>0.46666666666666667</v>
      </c>
      <c r="T296">
        <f t="shared" si="23"/>
        <v>1.05</v>
      </c>
      <c r="U296" t="str">
        <f t="shared" si="24"/>
        <v>Mar</v>
      </c>
    </row>
    <row r="297" spans="1:21">
      <c r="A297" s="2">
        <v>46084</v>
      </c>
      <c r="B297" t="s">
        <v>6</v>
      </c>
      <c r="C297" t="s">
        <v>50</v>
      </c>
      <c r="D297" t="s">
        <v>5</v>
      </c>
      <c r="E297" t="s">
        <v>35</v>
      </c>
      <c r="F297" t="s">
        <v>49</v>
      </c>
      <c r="G297">
        <v>53</v>
      </c>
      <c r="H297">
        <v>49</v>
      </c>
      <c r="I297">
        <v>19</v>
      </c>
      <c r="J297">
        <v>59</v>
      </c>
      <c r="K297">
        <v>30</v>
      </c>
      <c r="L297">
        <v>103.13</v>
      </c>
      <c r="M297">
        <v>2194.0100000000002</v>
      </c>
      <c r="N297">
        <v>68472</v>
      </c>
      <c r="O297">
        <v>1448.66</v>
      </c>
      <c r="P297" s="1">
        <v>-0.67800000000000005</v>
      </c>
      <c r="Q297">
        <f t="shared" si="20"/>
        <v>102</v>
      </c>
      <c r="R297">
        <f t="shared" si="21"/>
        <v>108</v>
      </c>
      <c r="S297" s="1">
        <f t="shared" si="22"/>
        <v>0.81372549019607843</v>
      </c>
      <c r="T297">
        <f t="shared" si="23"/>
        <v>1.02</v>
      </c>
      <c r="U297" t="str">
        <f t="shared" si="24"/>
        <v>Mar</v>
      </c>
    </row>
    <row r="298" spans="1:21">
      <c r="A298" s="2">
        <v>46109</v>
      </c>
      <c r="B298" t="s">
        <v>6</v>
      </c>
      <c r="C298" t="s">
        <v>44</v>
      </c>
      <c r="D298" t="s">
        <v>7</v>
      </c>
      <c r="E298" t="s">
        <v>37</v>
      </c>
      <c r="F298" t="s">
        <v>33</v>
      </c>
      <c r="G298">
        <v>104</v>
      </c>
      <c r="H298">
        <v>2</v>
      </c>
      <c r="I298">
        <v>68</v>
      </c>
      <c r="J298">
        <v>52</v>
      </c>
      <c r="K298">
        <v>131</v>
      </c>
      <c r="L298">
        <v>113.1</v>
      </c>
      <c r="M298">
        <v>2299.7800000000002</v>
      </c>
      <c r="N298">
        <v>69400</v>
      </c>
      <c r="O298">
        <v>987.9</v>
      </c>
      <c r="P298" s="1">
        <v>0.64800000000000002</v>
      </c>
      <c r="Q298">
        <f t="shared" si="20"/>
        <v>106</v>
      </c>
      <c r="R298">
        <f t="shared" si="21"/>
        <v>54</v>
      </c>
      <c r="S298" s="1">
        <f t="shared" si="22"/>
        <v>0.35849056603773582</v>
      </c>
      <c r="T298">
        <f t="shared" si="23"/>
        <v>1.06</v>
      </c>
      <c r="U298" t="str">
        <f t="shared" si="24"/>
        <v>Mar</v>
      </c>
    </row>
    <row r="299" spans="1:21">
      <c r="A299" s="2">
        <v>46079</v>
      </c>
      <c r="B299" t="s">
        <v>6</v>
      </c>
      <c r="C299" t="s">
        <v>46</v>
      </c>
      <c r="D299" t="s">
        <v>7</v>
      </c>
      <c r="E299" t="s">
        <v>38</v>
      </c>
      <c r="F299" t="s">
        <v>49</v>
      </c>
      <c r="G299">
        <v>54</v>
      </c>
      <c r="H299">
        <v>55</v>
      </c>
      <c r="I299">
        <v>83</v>
      </c>
      <c r="J299">
        <v>122</v>
      </c>
      <c r="K299">
        <v>13</v>
      </c>
      <c r="L299">
        <v>124.27</v>
      </c>
      <c r="M299">
        <v>2267.7600000000002</v>
      </c>
      <c r="N299">
        <v>65361</v>
      </c>
      <c r="O299">
        <v>1438.91</v>
      </c>
      <c r="P299" s="1">
        <v>-0.122</v>
      </c>
      <c r="Q299">
        <f t="shared" si="20"/>
        <v>109</v>
      </c>
      <c r="R299">
        <f t="shared" si="21"/>
        <v>177</v>
      </c>
      <c r="S299" s="1">
        <f t="shared" si="22"/>
        <v>0.23853211009174313</v>
      </c>
      <c r="T299">
        <f t="shared" si="23"/>
        <v>1.0900000000000001</v>
      </c>
      <c r="U299" t="str">
        <f t="shared" si="24"/>
        <v>Feb</v>
      </c>
    </row>
    <row r="300" spans="1:21">
      <c r="A300" s="2">
        <v>46110</v>
      </c>
      <c r="B300" t="s">
        <v>4</v>
      </c>
      <c r="C300" t="s">
        <v>36</v>
      </c>
      <c r="D300" t="s">
        <v>9</v>
      </c>
      <c r="E300" t="s">
        <v>41</v>
      </c>
      <c r="F300" t="s">
        <v>39</v>
      </c>
      <c r="G300">
        <v>116</v>
      </c>
      <c r="H300">
        <v>52</v>
      </c>
      <c r="I300">
        <v>57</v>
      </c>
      <c r="J300">
        <v>36</v>
      </c>
      <c r="K300">
        <v>209</v>
      </c>
      <c r="L300">
        <v>125.71</v>
      </c>
      <c r="M300">
        <v>2331.5</v>
      </c>
      <c r="N300">
        <v>71558</v>
      </c>
      <c r="O300">
        <v>1024.03</v>
      </c>
      <c r="P300" s="1">
        <v>0.378</v>
      </c>
      <c r="Q300">
        <f t="shared" si="20"/>
        <v>168</v>
      </c>
      <c r="R300">
        <f t="shared" si="21"/>
        <v>88</v>
      </c>
      <c r="S300" s="1">
        <f t="shared" si="22"/>
        <v>0.6607142857142857</v>
      </c>
      <c r="T300">
        <f t="shared" si="23"/>
        <v>1.68</v>
      </c>
      <c r="U300" t="str">
        <f t="shared" si="24"/>
        <v>Mar</v>
      </c>
    </row>
    <row r="301" spans="1:21">
      <c r="A301" s="2">
        <v>46100</v>
      </c>
      <c r="B301" t="s">
        <v>4</v>
      </c>
      <c r="C301" t="s">
        <v>31</v>
      </c>
      <c r="D301" t="s">
        <v>11</v>
      </c>
      <c r="E301" t="s">
        <v>47</v>
      </c>
      <c r="F301" t="s">
        <v>33</v>
      </c>
      <c r="G301">
        <v>98</v>
      </c>
      <c r="H301">
        <v>64</v>
      </c>
      <c r="I301">
        <v>47</v>
      </c>
      <c r="J301">
        <v>3</v>
      </c>
      <c r="K301">
        <v>136</v>
      </c>
      <c r="L301">
        <v>86.88</v>
      </c>
      <c r="M301">
        <v>2245.9699999999998</v>
      </c>
      <c r="N301">
        <v>64447</v>
      </c>
      <c r="O301">
        <v>1524.67</v>
      </c>
      <c r="P301" s="1">
        <v>0.187</v>
      </c>
      <c r="Q301">
        <f t="shared" si="20"/>
        <v>162</v>
      </c>
      <c r="R301">
        <f t="shared" si="21"/>
        <v>67</v>
      </c>
      <c r="S301" s="1">
        <f t="shared" si="22"/>
        <v>0.70987654320987659</v>
      </c>
      <c r="T301">
        <f t="shared" si="23"/>
        <v>1.62</v>
      </c>
      <c r="U301" t="str">
        <f t="shared" si="24"/>
        <v>Mar</v>
      </c>
    </row>
    <row r="302" spans="1:21">
      <c r="A302" s="2">
        <v>46108</v>
      </c>
      <c r="B302" t="s">
        <v>4</v>
      </c>
      <c r="C302" t="s">
        <v>46</v>
      </c>
      <c r="D302" t="s">
        <v>11</v>
      </c>
      <c r="E302" t="s">
        <v>37</v>
      </c>
      <c r="F302" t="s">
        <v>33</v>
      </c>
      <c r="G302">
        <v>2</v>
      </c>
      <c r="H302">
        <v>76</v>
      </c>
      <c r="I302">
        <v>35</v>
      </c>
      <c r="J302">
        <v>158</v>
      </c>
      <c r="K302">
        <v>246</v>
      </c>
      <c r="L302">
        <v>115.91</v>
      </c>
      <c r="M302">
        <v>2482.33</v>
      </c>
      <c r="N302">
        <v>65859</v>
      </c>
      <c r="O302">
        <v>945.4</v>
      </c>
      <c r="P302" s="1">
        <v>-0.14499999999999999</v>
      </c>
      <c r="Q302">
        <f t="shared" si="20"/>
        <v>78</v>
      </c>
      <c r="R302">
        <f t="shared" si="21"/>
        <v>234</v>
      </c>
      <c r="S302" s="1">
        <f t="shared" si="22"/>
        <v>0.55128205128205132</v>
      </c>
      <c r="T302">
        <f t="shared" si="23"/>
        <v>0.78</v>
      </c>
      <c r="U302" t="str">
        <f t="shared" si="24"/>
        <v>Mar</v>
      </c>
    </row>
    <row r="303" spans="1:21">
      <c r="A303" s="2">
        <v>46104</v>
      </c>
      <c r="B303" t="s">
        <v>6</v>
      </c>
      <c r="C303" t="s">
        <v>43</v>
      </c>
      <c r="D303" t="s">
        <v>7</v>
      </c>
      <c r="E303" t="s">
        <v>32</v>
      </c>
      <c r="F303" t="s">
        <v>49</v>
      </c>
      <c r="G303">
        <v>113</v>
      </c>
      <c r="H303">
        <v>44</v>
      </c>
      <c r="I303">
        <v>84</v>
      </c>
      <c r="J303">
        <v>74</v>
      </c>
      <c r="K303">
        <v>279</v>
      </c>
      <c r="L303">
        <v>139.76</v>
      </c>
      <c r="M303">
        <v>2406.33</v>
      </c>
      <c r="N303">
        <v>74589</v>
      </c>
      <c r="O303">
        <v>933.65</v>
      </c>
      <c r="P303" s="1">
        <v>-0.872</v>
      </c>
      <c r="Q303">
        <f t="shared" si="20"/>
        <v>157</v>
      </c>
      <c r="R303">
        <f t="shared" si="21"/>
        <v>118</v>
      </c>
      <c r="S303" s="1">
        <f t="shared" si="22"/>
        <v>0.46496815286624205</v>
      </c>
      <c r="T303">
        <f t="shared" si="23"/>
        <v>1.57</v>
      </c>
      <c r="U303" t="str">
        <f t="shared" si="24"/>
        <v>Mar</v>
      </c>
    </row>
    <row r="304" spans="1:21">
      <c r="A304" s="2">
        <v>46073</v>
      </c>
      <c r="B304" t="s">
        <v>4</v>
      </c>
      <c r="C304" t="s">
        <v>44</v>
      </c>
      <c r="D304" t="s">
        <v>7</v>
      </c>
      <c r="E304" t="s">
        <v>37</v>
      </c>
      <c r="F304" t="s">
        <v>33</v>
      </c>
      <c r="G304">
        <v>6</v>
      </c>
      <c r="H304">
        <v>38</v>
      </c>
      <c r="I304">
        <v>79</v>
      </c>
      <c r="J304">
        <v>130</v>
      </c>
      <c r="K304">
        <v>387</v>
      </c>
      <c r="L304">
        <v>94.76</v>
      </c>
      <c r="M304">
        <v>2474.58</v>
      </c>
      <c r="N304">
        <v>74273</v>
      </c>
      <c r="O304">
        <v>1215.03</v>
      </c>
      <c r="P304" s="1">
        <v>0.77700000000000002</v>
      </c>
      <c r="Q304">
        <f t="shared" si="20"/>
        <v>44</v>
      </c>
      <c r="R304">
        <f t="shared" si="21"/>
        <v>168</v>
      </c>
      <c r="S304" s="1">
        <f t="shared" si="22"/>
        <v>-0.79545454545454541</v>
      </c>
      <c r="T304">
        <f t="shared" si="23"/>
        <v>0.44</v>
      </c>
      <c r="U304" t="str">
        <f t="shared" si="24"/>
        <v>Feb</v>
      </c>
    </row>
    <row r="305" spans="1:21">
      <c r="A305" s="2">
        <v>46096</v>
      </c>
      <c r="B305" t="s">
        <v>4</v>
      </c>
      <c r="C305" t="s">
        <v>48</v>
      </c>
      <c r="D305" t="s">
        <v>7</v>
      </c>
      <c r="E305" t="s">
        <v>42</v>
      </c>
      <c r="F305" t="s">
        <v>49</v>
      </c>
      <c r="G305">
        <v>39</v>
      </c>
      <c r="H305">
        <v>67</v>
      </c>
      <c r="I305">
        <v>0</v>
      </c>
      <c r="J305">
        <v>14</v>
      </c>
      <c r="K305">
        <v>187</v>
      </c>
      <c r="L305">
        <v>104.5</v>
      </c>
      <c r="M305">
        <v>2238.81</v>
      </c>
      <c r="N305">
        <v>66298</v>
      </c>
      <c r="O305">
        <v>1130.77</v>
      </c>
      <c r="P305" s="1">
        <v>-0.33700000000000002</v>
      </c>
      <c r="Q305">
        <f t="shared" si="20"/>
        <v>106</v>
      </c>
      <c r="R305">
        <f t="shared" si="21"/>
        <v>81</v>
      </c>
      <c r="S305" s="1">
        <f t="shared" si="22"/>
        <v>1</v>
      </c>
      <c r="T305">
        <f t="shared" si="23"/>
        <v>1.06</v>
      </c>
      <c r="U305" t="str">
        <f t="shared" si="24"/>
        <v>Mar</v>
      </c>
    </row>
    <row r="306" spans="1:21">
      <c r="A306" s="2">
        <v>46111</v>
      </c>
      <c r="B306" t="s">
        <v>4</v>
      </c>
      <c r="C306" t="s">
        <v>51</v>
      </c>
      <c r="D306" t="s">
        <v>7</v>
      </c>
      <c r="E306" t="s">
        <v>42</v>
      </c>
      <c r="F306" t="s">
        <v>45</v>
      </c>
      <c r="G306">
        <v>82</v>
      </c>
      <c r="H306">
        <v>68</v>
      </c>
      <c r="I306">
        <v>17</v>
      </c>
      <c r="J306">
        <v>22</v>
      </c>
      <c r="K306">
        <v>309</v>
      </c>
      <c r="L306">
        <v>130.07</v>
      </c>
      <c r="M306">
        <v>2419.2199999999998</v>
      </c>
      <c r="N306">
        <v>65494</v>
      </c>
      <c r="O306">
        <v>1309.25</v>
      </c>
      <c r="P306" s="1">
        <v>0.76900000000000002</v>
      </c>
      <c r="Q306">
        <f t="shared" si="20"/>
        <v>150</v>
      </c>
      <c r="R306">
        <f t="shared" si="21"/>
        <v>90</v>
      </c>
      <c r="S306" s="1">
        <f t="shared" si="22"/>
        <v>0.88666666666666671</v>
      </c>
      <c r="T306">
        <f t="shared" si="23"/>
        <v>1.5</v>
      </c>
      <c r="U306" t="str">
        <f t="shared" si="24"/>
        <v>Mar</v>
      </c>
    </row>
    <row r="307" spans="1:21">
      <c r="A307" s="2">
        <v>46097</v>
      </c>
      <c r="B307" t="s">
        <v>6</v>
      </c>
      <c r="C307" t="s">
        <v>48</v>
      </c>
      <c r="D307" t="s">
        <v>7</v>
      </c>
      <c r="E307" t="s">
        <v>41</v>
      </c>
      <c r="F307" t="s">
        <v>33</v>
      </c>
      <c r="G307">
        <v>87</v>
      </c>
      <c r="H307">
        <v>1</v>
      </c>
      <c r="I307">
        <v>12</v>
      </c>
      <c r="J307">
        <v>63</v>
      </c>
      <c r="K307">
        <v>305</v>
      </c>
      <c r="L307">
        <v>92.91</v>
      </c>
      <c r="M307">
        <v>1801.09</v>
      </c>
      <c r="N307">
        <v>74761</v>
      </c>
      <c r="O307">
        <v>1406.61</v>
      </c>
      <c r="P307" s="1">
        <v>2.1000000000000001E-2</v>
      </c>
      <c r="Q307">
        <f t="shared" si="20"/>
        <v>88</v>
      </c>
      <c r="R307">
        <f t="shared" si="21"/>
        <v>64</v>
      </c>
      <c r="S307" s="1">
        <f t="shared" si="22"/>
        <v>0.86363636363636365</v>
      </c>
      <c r="T307">
        <f t="shared" si="23"/>
        <v>0.88</v>
      </c>
      <c r="U307" t="str">
        <f t="shared" si="24"/>
        <v>Mar</v>
      </c>
    </row>
    <row r="308" spans="1:21">
      <c r="A308" s="2">
        <v>46117</v>
      </c>
      <c r="B308" t="s">
        <v>4</v>
      </c>
      <c r="C308" t="s">
        <v>46</v>
      </c>
      <c r="D308" t="s">
        <v>10</v>
      </c>
      <c r="E308" t="s">
        <v>42</v>
      </c>
      <c r="F308" t="s">
        <v>33</v>
      </c>
      <c r="G308">
        <v>70</v>
      </c>
      <c r="H308">
        <v>71</v>
      </c>
      <c r="I308">
        <v>85</v>
      </c>
      <c r="J308">
        <v>147</v>
      </c>
      <c r="K308">
        <v>51</v>
      </c>
      <c r="L308">
        <v>127.55</v>
      </c>
      <c r="M308">
        <v>2404.7800000000002</v>
      </c>
      <c r="N308">
        <v>73280</v>
      </c>
      <c r="O308">
        <v>1682.03</v>
      </c>
      <c r="P308" s="1">
        <v>-0.63200000000000001</v>
      </c>
      <c r="Q308">
        <f t="shared" si="20"/>
        <v>141</v>
      </c>
      <c r="R308">
        <f t="shared" si="21"/>
        <v>218</v>
      </c>
      <c r="S308" s="1">
        <f t="shared" si="22"/>
        <v>0.3971631205673759</v>
      </c>
      <c r="T308">
        <f t="shared" si="23"/>
        <v>1.41</v>
      </c>
      <c r="U308" t="str">
        <f t="shared" si="24"/>
        <v>Apr</v>
      </c>
    </row>
    <row r="309" spans="1:21">
      <c r="A309" s="2">
        <v>46114</v>
      </c>
      <c r="B309" t="s">
        <v>6</v>
      </c>
      <c r="C309" t="s">
        <v>50</v>
      </c>
      <c r="D309" t="s">
        <v>10</v>
      </c>
      <c r="E309" t="s">
        <v>42</v>
      </c>
      <c r="F309" t="s">
        <v>49</v>
      </c>
      <c r="G309">
        <v>84</v>
      </c>
      <c r="H309">
        <v>26</v>
      </c>
      <c r="I309">
        <v>12</v>
      </c>
      <c r="J309">
        <v>7</v>
      </c>
      <c r="K309">
        <v>415</v>
      </c>
      <c r="L309">
        <v>112.12</v>
      </c>
      <c r="M309">
        <v>2166.84</v>
      </c>
      <c r="N309">
        <v>75402</v>
      </c>
      <c r="O309">
        <v>1197.0999999999999</v>
      </c>
      <c r="P309" s="1">
        <v>-0.47499999999999998</v>
      </c>
      <c r="Q309">
        <f t="shared" si="20"/>
        <v>110</v>
      </c>
      <c r="R309">
        <f t="shared" si="21"/>
        <v>33</v>
      </c>
      <c r="S309" s="1">
        <f t="shared" si="22"/>
        <v>0.89090909090909087</v>
      </c>
      <c r="T309">
        <f t="shared" si="23"/>
        <v>1.1000000000000001</v>
      </c>
      <c r="U309" t="str">
        <f t="shared" si="24"/>
        <v>Apr</v>
      </c>
    </row>
    <row r="310" spans="1:21">
      <c r="A310" s="2">
        <v>46110</v>
      </c>
      <c r="B310" t="s">
        <v>4</v>
      </c>
      <c r="C310" t="s">
        <v>43</v>
      </c>
      <c r="D310" t="s">
        <v>9</v>
      </c>
      <c r="E310" t="s">
        <v>35</v>
      </c>
      <c r="F310" t="s">
        <v>45</v>
      </c>
      <c r="G310">
        <v>5</v>
      </c>
      <c r="H310">
        <v>18</v>
      </c>
      <c r="I310">
        <v>22</v>
      </c>
      <c r="J310">
        <v>128</v>
      </c>
      <c r="K310">
        <v>303</v>
      </c>
      <c r="L310">
        <v>112.38</v>
      </c>
      <c r="M310">
        <v>2061.89</v>
      </c>
      <c r="N310">
        <v>70718</v>
      </c>
      <c r="O310">
        <v>1585.43</v>
      </c>
      <c r="P310" s="1">
        <v>-0.46700000000000003</v>
      </c>
      <c r="Q310">
        <f t="shared" si="20"/>
        <v>23</v>
      </c>
      <c r="R310">
        <f t="shared" si="21"/>
        <v>146</v>
      </c>
      <c r="S310" s="1">
        <f t="shared" si="22"/>
        <v>4.3478260869565216E-2</v>
      </c>
      <c r="T310">
        <f t="shared" si="23"/>
        <v>0.23</v>
      </c>
      <c r="U310" t="str">
        <f t="shared" si="24"/>
        <v>Mar</v>
      </c>
    </row>
    <row r="311" spans="1:21">
      <c r="A311" s="2">
        <v>46120</v>
      </c>
      <c r="B311" t="s">
        <v>6</v>
      </c>
      <c r="C311" t="s">
        <v>51</v>
      </c>
      <c r="D311" t="s">
        <v>11</v>
      </c>
      <c r="E311" t="s">
        <v>42</v>
      </c>
      <c r="F311" t="s">
        <v>49</v>
      </c>
      <c r="G311">
        <v>59</v>
      </c>
      <c r="H311">
        <v>63</v>
      </c>
      <c r="I311">
        <v>77</v>
      </c>
      <c r="J311">
        <v>30</v>
      </c>
      <c r="K311">
        <v>340</v>
      </c>
      <c r="L311">
        <v>117.43</v>
      </c>
      <c r="M311">
        <v>2005.91</v>
      </c>
      <c r="N311">
        <v>68595</v>
      </c>
      <c r="O311">
        <v>1099.3499999999999</v>
      </c>
      <c r="P311" s="1">
        <v>0.66700000000000004</v>
      </c>
      <c r="Q311">
        <f t="shared" si="20"/>
        <v>122</v>
      </c>
      <c r="R311">
        <f t="shared" si="21"/>
        <v>93</v>
      </c>
      <c r="S311" s="1">
        <f t="shared" si="22"/>
        <v>0.36885245901639346</v>
      </c>
      <c r="T311">
        <f t="shared" si="23"/>
        <v>1.22</v>
      </c>
      <c r="U311" t="str">
        <f t="shared" si="24"/>
        <v>Apr</v>
      </c>
    </row>
    <row r="312" spans="1:21">
      <c r="A312" s="2">
        <v>46116</v>
      </c>
      <c r="B312" t="s">
        <v>4</v>
      </c>
      <c r="C312" t="s">
        <v>31</v>
      </c>
      <c r="D312" t="s">
        <v>10</v>
      </c>
      <c r="E312" t="s">
        <v>32</v>
      </c>
      <c r="F312" t="s">
        <v>33</v>
      </c>
      <c r="G312">
        <v>17</v>
      </c>
      <c r="H312">
        <v>77</v>
      </c>
      <c r="I312">
        <v>59</v>
      </c>
      <c r="J312">
        <v>98</v>
      </c>
      <c r="K312">
        <v>328</v>
      </c>
      <c r="L312">
        <v>139.32</v>
      </c>
      <c r="M312">
        <v>2473.4</v>
      </c>
      <c r="N312">
        <v>69181</v>
      </c>
      <c r="O312">
        <v>1042.68</v>
      </c>
      <c r="P312" s="1">
        <v>-0.55900000000000005</v>
      </c>
      <c r="Q312">
        <f t="shared" si="20"/>
        <v>94</v>
      </c>
      <c r="R312">
        <f t="shared" si="21"/>
        <v>175</v>
      </c>
      <c r="S312" s="1">
        <f t="shared" si="22"/>
        <v>0.37234042553191488</v>
      </c>
      <c r="T312">
        <f t="shared" si="23"/>
        <v>0.94</v>
      </c>
      <c r="U312" t="str">
        <f t="shared" si="24"/>
        <v>Apr</v>
      </c>
    </row>
    <row r="313" spans="1:21">
      <c r="A313" s="2">
        <v>46099</v>
      </c>
      <c r="B313" t="s">
        <v>6</v>
      </c>
      <c r="C313" t="s">
        <v>43</v>
      </c>
      <c r="D313" t="s">
        <v>9</v>
      </c>
      <c r="E313" t="s">
        <v>47</v>
      </c>
      <c r="F313" t="s">
        <v>45</v>
      </c>
      <c r="G313">
        <v>61</v>
      </c>
      <c r="H313">
        <v>10</v>
      </c>
      <c r="I313">
        <v>46</v>
      </c>
      <c r="J313">
        <v>114</v>
      </c>
      <c r="K313">
        <v>118</v>
      </c>
      <c r="L313">
        <v>129.53</v>
      </c>
      <c r="M313">
        <v>2272.2800000000002</v>
      </c>
      <c r="N313">
        <v>72759</v>
      </c>
      <c r="O313">
        <v>1209.67</v>
      </c>
      <c r="P313" s="1">
        <v>0.314</v>
      </c>
      <c r="Q313">
        <f t="shared" si="20"/>
        <v>71</v>
      </c>
      <c r="R313">
        <f t="shared" si="21"/>
        <v>124</v>
      </c>
      <c r="S313" s="1">
        <f t="shared" si="22"/>
        <v>0.352112676056338</v>
      </c>
      <c r="T313">
        <f t="shared" si="23"/>
        <v>0.71</v>
      </c>
      <c r="U313" t="str">
        <f t="shared" si="24"/>
        <v>Mar</v>
      </c>
    </row>
    <row r="314" spans="1:21">
      <c r="A314" s="2">
        <v>46075</v>
      </c>
      <c r="B314" t="s">
        <v>6</v>
      </c>
      <c r="C314" t="s">
        <v>40</v>
      </c>
      <c r="D314" t="s">
        <v>9</v>
      </c>
      <c r="E314" t="s">
        <v>32</v>
      </c>
      <c r="F314" t="s">
        <v>39</v>
      </c>
      <c r="G314">
        <v>8</v>
      </c>
      <c r="H314">
        <v>17</v>
      </c>
      <c r="I314">
        <v>30</v>
      </c>
      <c r="J314">
        <v>121</v>
      </c>
      <c r="K314">
        <v>145</v>
      </c>
      <c r="L314">
        <v>113.05</v>
      </c>
      <c r="M314">
        <v>1988.27</v>
      </c>
      <c r="N314">
        <v>72618</v>
      </c>
      <c r="O314">
        <v>1119.6099999999999</v>
      </c>
      <c r="P314" s="1">
        <v>0.96399999999999997</v>
      </c>
      <c r="Q314">
        <f t="shared" si="20"/>
        <v>25</v>
      </c>
      <c r="R314">
        <f t="shared" si="21"/>
        <v>138</v>
      </c>
      <c r="S314" s="1">
        <f t="shared" si="22"/>
        <v>-0.2</v>
      </c>
      <c r="T314">
        <f t="shared" si="23"/>
        <v>0.25</v>
      </c>
      <c r="U314" t="str">
        <f t="shared" si="24"/>
        <v>Feb</v>
      </c>
    </row>
    <row r="315" spans="1:21">
      <c r="A315" s="2">
        <v>46096</v>
      </c>
      <c r="B315" t="s">
        <v>6</v>
      </c>
      <c r="C315" t="s">
        <v>34</v>
      </c>
      <c r="D315" t="s">
        <v>7</v>
      </c>
      <c r="E315" t="s">
        <v>41</v>
      </c>
      <c r="F315" t="s">
        <v>49</v>
      </c>
      <c r="G315">
        <v>53</v>
      </c>
      <c r="H315">
        <v>65</v>
      </c>
      <c r="I315">
        <v>6</v>
      </c>
      <c r="J315">
        <v>154</v>
      </c>
      <c r="K315">
        <v>228</v>
      </c>
      <c r="L315">
        <v>91.9</v>
      </c>
      <c r="M315">
        <v>1864.03</v>
      </c>
      <c r="N315">
        <v>65568</v>
      </c>
      <c r="O315">
        <v>1073.02</v>
      </c>
      <c r="P315" s="1">
        <v>-0.71799999999999997</v>
      </c>
      <c r="Q315">
        <f t="shared" si="20"/>
        <v>118</v>
      </c>
      <c r="R315">
        <f t="shared" si="21"/>
        <v>219</v>
      </c>
      <c r="S315" s="1">
        <f t="shared" si="22"/>
        <v>0.94915254237288138</v>
      </c>
      <c r="T315">
        <f t="shared" si="23"/>
        <v>1.18</v>
      </c>
      <c r="U315" t="str">
        <f t="shared" si="24"/>
        <v>Mar</v>
      </c>
    </row>
    <row r="316" spans="1:21">
      <c r="A316" s="2">
        <v>46115</v>
      </c>
      <c r="B316" t="s">
        <v>4</v>
      </c>
      <c r="C316" t="s">
        <v>43</v>
      </c>
      <c r="D316" t="s">
        <v>9</v>
      </c>
      <c r="E316" t="s">
        <v>42</v>
      </c>
      <c r="F316" t="s">
        <v>49</v>
      </c>
      <c r="G316">
        <v>98</v>
      </c>
      <c r="H316">
        <v>20</v>
      </c>
      <c r="I316">
        <v>27</v>
      </c>
      <c r="J316">
        <v>119</v>
      </c>
      <c r="K316">
        <v>387</v>
      </c>
      <c r="L316">
        <v>123.59</v>
      </c>
      <c r="M316">
        <v>1860.7</v>
      </c>
      <c r="N316">
        <v>65706</v>
      </c>
      <c r="O316">
        <v>1025.6500000000001</v>
      </c>
      <c r="P316" s="1">
        <v>-0.32200000000000001</v>
      </c>
      <c r="Q316">
        <f t="shared" si="20"/>
        <v>118</v>
      </c>
      <c r="R316">
        <f t="shared" si="21"/>
        <v>139</v>
      </c>
      <c r="S316" s="1">
        <f t="shared" si="22"/>
        <v>0.77118644067796616</v>
      </c>
      <c r="T316">
        <f t="shared" si="23"/>
        <v>1.18</v>
      </c>
      <c r="U316" t="str">
        <f t="shared" si="24"/>
        <v>Apr</v>
      </c>
    </row>
    <row r="317" spans="1:21">
      <c r="A317" s="2">
        <v>46126</v>
      </c>
      <c r="B317" t="s">
        <v>4</v>
      </c>
      <c r="C317" t="s">
        <v>43</v>
      </c>
      <c r="D317" t="s">
        <v>9</v>
      </c>
      <c r="E317" t="s">
        <v>42</v>
      </c>
      <c r="F317" t="s">
        <v>39</v>
      </c>
      <c r="G317">
        <v>70</v>
      </c>
      <c r="H317">
        <v>66</v>
      </c>
      <c r="I317">
        <v>5</v>
      </c>
      <c r="J317">
        <v>60</v>
      </c>
      <c r="K317">
        <v>40</v>
      </c>
      <c r="L317">
        <v>104.07</v>
      </c>
      <c r="M317">
        <v>2144.25</v>
      </c>
      <c r="N317">
        <v>69300</v>
      </c>
      <c r="O317">
        <v>1194.0899999999999</v>
      </c>
      <c r="P317" s="1">
        <v>0.315</v>
      </c>
      <c r="Q317">
        <f t="shared" si="20"/>
        <v>136</v>
      </c>
      <c r="R317">
        <f t="shared" si="21"/>
        <v>126</v>
      </c>
      <c r="S317" s="1">
        <f t="shared" si="22"/>
        <v>0.96323529411764708</v>
      </c>
      <c r="T317">
        <f t="shared" si="23"/>
        <v>1.36</v>
      </c>
      <c r="U317" t="str">
        <f t="shared" si="24"/>
        <v>Apr</v>
      </c>
    </row>
    <row r="318" spans="1:21">
      <c r="A318" s="2">
        <v>46118</v>
      </c>
      <c r="B318" t="s">
        <v>6</v>
      </c>
      <c r="C318" t="s">
        <v>40</v>
      </c>
      <c r="D318" t="s">
        <v>10</v>
      </c>
      <c r="E318" t="s">
        <v>32</v>
      </c>
      <c r="F318" t="s">
        <v>39</v>
      </c>
      <c r="G318">
        <v>7</v>
      </c>
      <c r="H318">
        <v>21</v>
      </c>
      <c r="I318">
        <v>33</v>
      </c>
      <c r="J318">
        <v>25</v>
      </c>
      <c r="K318">
        <v>324</v>
      </c>
      <c r="L318">
        <v>104.72</v>
      </c>
      <c r="M318">
        <v>2002.99</v>
      </c>
      <c r="N318">
        <v>75188</v>
      </c>
      <c r="O318">
        <v>1402.87</v>
      </c>
      <c r="P318" s="1">
        <v>-0.93799999999999994</v>
      </c>
      <c r="Q318">
        <f t="shared" si="20"/>
        <v>28</v>
      </c>
      <c r="R318">
        <f t="shared" si="21"/>
        <v>46</v>
      </c>
      <c r="S318" s="1">
        <f t="shared" si="22"/>
        <v>-0.17857142857142858</v>
      </c>
      <c r="T318">
        <f t="shared" si="23"/>
        <v>0.28000000000000003</v>
      </c>
      <c r="U318" t="str">
        <f t="shared" si="24"/>
        <v>Apr</v>
      </c>
    </row>
    <row r="319" spans="1:21">
      <c r="A319" s="2">
        <v>46116</v>
      </c>
      <c r="B319" t="s">
        <v>6</v>
      </c>
      <c r="C319" t="s">
        <v>40</v>
      </c>
      <c r="D319" t="s">
        <v>11</v>
      </c>
      <c r="E319" t="s">
        <v>38</v>
      </c>
      <c r="F319" t="s">
        <v>45</v>
      </c>
      <c r="G319">
        <v>114</v>
      </c>
      <c r="H319">
        <v>52</v>
      </c>
      <c r="I319">
        <v>13</v>
      </c>
      <c r="J319">
        <v>66</v>
      </c>
      <c r="K319">
        <v>9</v>
      </c>
      <c r="L319">
        <v>135.08000000000001</v>
      </c>
      <c r="M319">
        <v>2202.87</v>
      </c>
      <c r="N319">
        <v>68933</v>
      </c>
      <c r="O319">
        <v>1180.76</v>
      </c>
      <c r="P319" s="1">
        <v>-9.2999999999999999E-2</v>
      </c>
      <c r="Q319">
        <f t="shared" si="20"/>
        <v>166</v>
      </c>
      <c r="R319">
        <f t="shared" si="21"/>
        <v>118</v>
      </c>
      <c r="S319" s="1">
        <f t="shared" si="22"/>
        <v>0.92168674698795183</v>
      </c>
      <c r="T319">
        <f t="shared" si="23"/>
        <v>1.66</v>
      </c>
      <c r="U319" t="str">
        <f t="shared" si="24"/>
        <v>Apr</v>
      </c>
    </row>
    <row r="320" spans="1:21">
      <c r="A320" s="2">
        <v>46082</v>
      </c>
      <c r="B320" t="s">
        <v>4</v>
      </c>
      <c r="C320" t="s">
        <v>46</v>
      </c>
      <c r="D320" t="s">
        <v>11</v>
      </c>
      <c r="E320" t="s">
        <v>38</v>
      </c>
      <c r="F320" t="s">
        <v>49</v>
      </c>
      <c r="G320">
        <v>101</v>
      </c>
      <c r="H320">
        <v>3</v>
      </c>
      <c r="I320">
        <v>11</v>
      </c>
      <c r="J320">
        <v>122</v>
      </c>
      <c r="K320">
        <v>144</v>
      </c>
      <c r="L320">
        <v>133.16</v>
      </c>
      <c r="M320">
        <v>2083.85</v>
      </c>
      <c r="N320">
        <v>68822</v>
      </c>
      <c r="O320">
        <v>1202.72</v>
      </c>
      <c r="P320" s="1">
        <v>0.115</v>
      </c>
      <c r="Q320">
        <f t="shared" si="20"/>
        <v>104</v>
      </c>
      <c r="R320">
        <f t="shared" si="21"/>
        <v>125</v>
      </c>
      <c r="S320" s="1">
        <f t="shared" si="22"/>
        <v>0.89423076923076927</v>
      </c>
      <c r="T320">
        <f t="shared" si="23"/>
        <v>1.04</v>
      </c>
      <c r="U320" t="str">
        <f t="shared" si="24"/>
        <v>Mar</v>
      </c>
    </row>
    <row r="321" spans="1:21">
      <c r="A321" s="2">
        <v>46115</v>
      </c>
      <c r="B321" t="s">
        <v>6</v>
      </c>
      <c r="C321" t="s">
        <v>36</v>
      </c>
      <c r="D321" t="s">
        <v>10</v>
      </c>
      <c r="E321" t="s">
        <v>41</v>
      </c>
      <c r="F321" t="s">
        <v>39</v>
      </c>
      <c r="G321">
        <v>42</v>
      </c>
      <c r="H321">
        <v>19</v>
      </c>
      <c r="I321">
        <v>41</v>
      </c>
      <c r="J321">
        <v>94</v>
      </c>
      <c r="K321">
        <v>99</v>
      </c>
      <c r="L321">
        <v>126.86</v>
      </c>
      <c r="M321">
        <v>2385.2800000000002</v>
      </c>
      <c r="N321">
        <v>71136</v>
      </c>
      <c r="O321">
        <v>1219.67</v>
      </c>
      <c r="P321" s="1">
        <v>0.51600000000000001</v>
      </c>
      <c r="Q321">
        <f t="shared" si="20"/>
        <v>61</v>
      </c>
      <c r="R321">
        <f t="shared" si="21"/>
        <v>113</v>
      </c>
      <c r="S321" s="1">
        <f t="shared" si="22"/>
        <v>0.32786885245901637</v>
      </c>
      <c r="T321">
        <f t="shared" si="23"/>
        <v>0.61</v>
      </c>
      <c r="U321" t="str">
        <f t="shared" si="24"/>
        <v>Apr</v>
      </c>
    </row>
    <row r="322" spans="1:21">
      <c r="A322" s="2">
        <v>46081</v>
      </c>
      <c r="B322" t="s">
        <v>4</v>
      </c>
      <c r="C322" t="s">
        <v>31</v>
      </c>
      <c r="D322" t="s">
        <v>7</v>
      </c>
      <c r="E322" t="s">
        <v>41</v>
      </c>
      <c r="F322" t="s">
        <v>49</v>
      </c>
      <c r="G322">
        <v>114</v>
      </c>
      <c r="H322">
        <v>36</v>
      </c>
      <c r="I322">
        <v>82</v>
      </c>
      <c r="J322">
        <v>156</v>
      </c>
      <c r="K322">
        <v>77</v>
      </c>
      <c r="L322">
        <v>107.46</v>
      </c>
      <c r="M322">
        <v>2225.23</v>
      </c>
      <c r="N322">
        <v>64702</v>
      </c>
      <c r="O322">
        <v>1223.46</v>
      </c>
      <c r="P322" s="1">
        <v>-0.191</v>
      </c>
      <c r="Q322">
        <f t="shared" si="20"/>
        <v>150</v>
      </c>
      <c r="R322">
        <f t="shared" si="21"/>
        <v>192</v>
      </c>
      <c r="S322" s="1">
        <f t="shared" si="22"/>
        <v>0.45333333333333331</v>
      </c>
      <c r="T322">
        <f t="shared" si="23"/>
        <v>1.5</v>
      </c>
      <c r="U322" t="str">
        <f t="shared" si="24"/>
        <v>Feb</v>
      </c>
    </row>
    <row r="323" spans="1:21">
      <c r="A323" s="2">
        <v>46087</v>
      </c>
      <c r="B323" t="s">
        <v>6</v>
      </c>
      <c r="C323" t="s">
        <v>46</v>
      </c>
      <c r="D323" t="s">
        <v>7</v>
      </c>
      <c r="E323" t="s">
        <v>32</v>
      </c>
      <c r="F323" t="s">
        <v>39</v>
      </c>
      <c r="G323">
        <v>110</v>
      </c>
      <c r="H323">
        <v>54</v>
      </c>
      <c r="I323">
        <v>5</v>
      </c>
      <c r="J323">
        <v>76</v>
      </c>
      <c r="K323">
        <v>162</v>
      </c>
      <c r="L323">
        <v>116.98</v>
      </c>
      <c r="M323">
        <v>1855.27</v>
      </c>
      <c r="N323">
        <v>70721</v>
      </c>
      <c r="O323">
        <v>1707.77</v>
      </c>
      <c r="P323" s="1">
        <v>0.38800000000000001</v>
      </c>
      <c r="Q323">
        <f t="shared" ref="Q323:Q386" si="25">G323+H323</f>
        <v>164</v>
      </c>
      <c r="R323">
        <f t="shared" ref="R323:R386" si="26">J323+H323</f>
        <v>130</v>
      </c>
      <c r="S323" s="1">
        <f t="shared" ref="S323:S386" si="27">(Q323-I323)/(Q323)</f>
        <v>0.96951219512195119</v>
      </c>
      <c r="T323">
        <f t="shared" ref="T323:T386" si="28">Q323/100</f>
        <v>1.64</v>
      </c>
      <c r="U323" t="str">
        <f t="shared" ref="U323:U386" si="29">TEXT(A323,"mmm")</f>
        <v>Mar</v>
      </c>
    </row>
    <row r="324" spans="1:21">
      <c r="A324" s="2">
        <v>46109</v>
      </c>
      <c r="B324" t="s">
        <v>6</v>
      </c>
      <c r="C324" t="s">
        <v>31</v>
      </c>
      <c r="D324" t="s">
        <v>5</v>
      </c>
      <c r="E324" t="s">
        <v>47</v>
      </c>
      <c r="F324" t="s">
        <v>49</v>
      </c>
      <c r="G324">
        <v>25</v>
      </c>
      <c r="H324">
        <v>72</v>
      </c>
      <c r="I324">
        <v>65</v>
      </c>
      <c r="J324">
        <v>8</v>
      </c>
      <c r="K324">
        <v>111</v>
      </c>
      <c r="L324">
        <v>106.33</v>
      </c>
      <c r="M324">
        <v>2289.1799999999998</v>
      </c>
      <c r="N324">
        <v>65453</v>
      </c>
      <c r="O324">
        <v>1557.7</v>
      </c>
      <c r="P324" s="1">
        <v>-0.438</v>
      </c>
      <c r="Q324">
        <f t="shared" si="25"/>
        <v>97</v>
      </c>
      <c r="R324">
        <f t="shared" si="26"/>
        <v>80</v>
      </c>
      <c r="S324" s="1">
        <f t="shared" si="27"/>
        <v>0.32989690721649484</v>
      </c>
      <c r="T324">
        <f t="shared" si="28"/>
        <v>0.97</v>
      </c>
      <c r="U324" t="str">
        <f t="shared" si="29"/>
        <v>Mar</v>
      </c>
    </row>
    <row r="325" spans="1:21">
      <c r="A325" s="2">
        <v>46081</v>
      </c>
      <c r="B325" t="s">
        <v>4</v>
      </c>
      <c r="C325" t="s">
        <v>44</v>
      </c>
      <c r="D325" t="s">
        <v>11</v>
      </c>
      <c r="E325" t="s">
        <v>47</v>
      </c>
      <c r="F325" t="s">
        <v>45</v>
      </c>
      <c r="G325">
        <v>93</v>
      </c>
      <c r="H325">
        <v>62</v>
      </c>
      <c r="I325">
        <v>62</v>
      </c>
      <c r="J325">
        <v>123</v>
      </c>
      <c r="K325">
        <v>286</v>
      </c>
      <c r="L325">
        <v>109.25</v>
      </c>
      <c r="M325">
        <v>2428.4699999999998</v>
      </c>
      <c r="N325">
        <v>65545</v>
      </c>
      <c r="O325">
        <v>1137.8900000000001</v>
      </c>
      <c r="P325" s="1">
        <v>-0.70299999999999996</v>
      </c>
      <c r="Q325">
        <f t="shared" si="25"/>
        <v>155</v>
      </c>
      <c r="R325">
        <f t="shared" si="26"/>
        <v>185</v>
      </c>
      <c r="S325" s="1">
        <f t="shared" si="27"/>
        <v>0.6</v>
      </c>
      <c r="T325">
        <f t="shared" si="28"/>
        <v>1.55</v>
      </c>
      <c r="U325" t="str">
        <f t="shared" si="29"/>
        <v>Feb</v>
      </c>
    </row>
    <row r="326" spans="1:21">
      <c r="A326" s="2">
        <v>46092</v>
      </c>
      <c r="B326" t="s">
        <v>6</v>
      </c>
      <c r="C326" t="s">
        <v>40</v>
      </c>
      <c r="D326" t="s">
        <v>7</v>
      </c>
      <c r="E326" t="s">
        <v>47</v>
      </c>
      <c r="F326" t="s">
        <v>45</v>
      </c>
      <c r="G326">
        <v>118</v>
      </c>
      <c r="H326">
        <v>58</v>
      </c>
      <c r="I326">
        <v>32</v>
      </c>
      <c r="J326">
        <v>27</v>
      </c>
      <c r="K326">
        <v>256</v>
      </c>
      <c r="L326">
        <v>109.2</v>
      </c>
      <c r="M326">
        <v>2473.56</v>
      </c>
      <c r="N326">
        <v>66075</v>
      </c>
      <c r="O326">
        <v>1773.44</v>
      </c>
      <c r="P326" s="1">
        <v>-0.59399999999999997</v>
      </c>
      <c r="Q326">
        <f t="shared" si="25"/>
        <v>176</v>
      </c>
      <c r="R326">
        <f t="shared" si="26"/>
        <v>85</v>
      </c>
      <c r="S326" s="1">
        <f t="shared" si="27"/>
        <v>0.81818181818181823</v>
      </c>
      <c r="T326">
        <f t="shared" si="28"/>
        <v>1.76</v>
      </c>
      <c r="U326" t="str">
        <f t="shared" si="29"/>
        <v>Mar</v>
      </c>
    </row>
    <row r="327" spans="1:21">
      <c r="A327" s="2">
        <v>46071</v>
      </c>
      <c r="B327" t="s">
        <v>6</v>
      </c>
      <c r="C327" t="s">
        <v>48</v>
      </c>
      <c r="D327" t="s">
        <v>10</v>
      </c>
      <c r="E327" t="s">
        <v>42</v>
      </c>
      <c r="F327" t="s">
        <v>45</v>
      </c>
      <c r="G327">
        <v>90</v>
      </c>
      <c r="H327">
        <v>25</v>
      </c>
      <c r="I327">
        <v>70</v>
      </c>
      <c r="J327">
        <v>19</v>
      </c>
      <c r="K327">
        <v>155</v>
      </c>
      <c r="L327">
        <v>110.59</v>
      </c>
      <c r="M327">
        <v>2280.08</v>
      </c>
      <c r="N327">
        <v>70201</v>
      </c>
      <c r="O327">
        <v>967.21</v>
      </c>
      <c r="P327" s="1">
        <v>0.33900000000000002</v>
      </c>
      <c r="Q327">
        <f t="shared" si="25"/>
        <v>115</v>
      </c>
      <c r="R327">
        <f t="shared" si="26"/>
        <v>44</v>
      </c>
      <c r="S327" s="1">
        <f t="shared" si="27"/>
        <v>0.39130434782608697</v>
      </c>
      <c r="T327">
        <f t="shared" si="28"/>
        <v>1.1499999999999999</v>
      </c>
      <c r="U327" t="str">
        <f t="shared" si="29"/>
        <v>Feb</v>
      </c>
    </row>
    <row r="328" spans="1:21">
      <c r="A328" s="2">
        <v>46075</v>
      </c>
      <c r="B328" t="s">
        <v>6</v>
      </c>
      <c r="C328" t="s">
        <v>34</v>
      </c>
      <c r="D328" t="s">
        <v>7</v>
      </c>
      <c r="E328" t="s">
        <v>47</v>
      </c>
      <c r="F328" t="s">
        <v>45</v>
      </c>
      <c r="G328">
        <v>114</v>
      </c>
      <c r="H328">
        <v>68</v>
      </c>
      <c r="I328">
        <v>47</v>
      </c>
      <c r="J328">
        <v>1</v>
      </c>
      <c r="K328">
        <v>351</v>
      </c>
      <c r="L328">
        <v>101.02</v>
      </c>
      <c r="M328">
        <v>2174.2600000000002</v>
      </c>
      <c r="N328">
        <v>73549</v>
      </c>
      <c r="O328">
        <v>1713.56</v>
      </c>
      <c r="P328" s="1">
        <v>4.2000000000000003E-2</v>
      </c>
      <c r="Q328">
        <f t="shared" si="25"/>
        <v>182</v>
      </c>
      <c r="R328">
        <f t="shared" si="26"/>
        <v>69</v>
      </c>
      <c r="S328" s="1">
        <f t="shared" si="27"/>
        <v>0.74175824175824179</v>
      </c>
      <c r="T328">
        <f t="shared" si="28"/>
        <v>1.82</v>
      </c>
      <c r="U328" t="str">
        <f t="shared" si="29"/>
        <v>Feb</v>
      </c>
    </row>
    <row r="329" spans="1:21">
      <c r="A329" s="2">
        <v>46117</v>
      </c>
      <c r="B329" t="s">
        <v>4</v>
      </c>
      <c r="C329" t="s">
        <v>34</v>
      </c>
      <c r="D329" t="s">
        <v>7</v>
      </c>
      <c r="E329" t="s">
        <v>38</v>
      </c>
      <c r="F329" t="s">
        <v>33</v>
      </c>
      <c r="G329">
        <v>7</v>
      </c>
      <c r="H329">
        <v>34</v>
      </c>
      <c r="I329">
        <v>56</v>
      </c>
      <c r="J329">
        <v>71</v>
      </c>
      <c r="K329">
        <v>393</v>
      </c>
      <c r="L329">
        <v>127.5</v>
      </c>
      <c r="M329">
        <v>2498.27</v>
      </c>
      <c r="N329">
        <v>66389</v>
      </c>
      <c r="O329">
        <v>1798.59</v>
      </c>
      <c r="P329" s="1">
        <v>0.2</v>
      </c>
      <c r="Q329">
        <f t="shared" si="25"/>
        <v>41</v>
      </c>
      <c r="R329">
        <f t="shared" si="26"/>
        <v>105</v>
      </c>
      <c r="S329" s="1">
        <f t="shared" si="27"/>
        <v>-0.36585365853658536</v>
      </c>
      <c r="T329">
        <f t="shared" si="28"/>
        <v>0.41</v>
      </c>
      <c r="U329" t="str">
        <f t="shared" si="29"/>
        <v>Apr</v>
      </c>
    </row>
    <row r="330" spans="1:21">
      <c r="A330" s="2">
        <v>46110</v>
      </c>
      <c r="B330" t="s">
        <v>4</v>
      </c>
      <c r="C330" t="s">
        <v>40</v>
      </c>
      <c r="D330" t="s">
        <v>10</v>
      </c>
      <c r="E330" t="s">
        <v>35</v>
      </c>
      <c r="F330" t="s">
        <v>49</v>
      </c>
      <c r="G330">
        <v>76</v>
      </c>
      <c r="H330">
        <v>12</v>
      </c>
      <c r="I330">
        <v>68</v>
      </c>
      <c r="J330">
        <v>58</v>
      </c>
      <c r="K330">
        <v>246</v>
      </c>
      <c r="L330">
        <v>113.73</v>
      </c>
      <c r="M330">
        <v>2222.7800000000002</v>
      </c>
      <c r="N330">
        <v>67988</v>
      </c>
      <c r="O330">
        <v>1133.57</v>
      </c>
      <c r="P330" s="1">
        <v>0.39600000000000002</v>
      </c>
      <c r="Q330">
        <f t="shared" si="25"/>
        <v>88</v>
      </c>
      <c r="R330">
        <f t="shared" si="26"/>
        <v>70</v>
      </c>
      <c r="S330" s="1">
        <f t="shared" si="27"/>
        <v>0.22727272727272727</v>
      </c>
      <c r="T330">
        <f t="shared" si="28"/>
        <v>0.88</v>
      </c>
      <c r="U330" t="str">
        <f t="shared" si="29"/>
        <v>Mar</v>
      </c>
    </row>
    <row r="331" spans="1:21">
      <c r="A331" s="2">
        <v>46100</v>
      </c>
      <c r="B331" t="s">
        <v>6</v>
      </c>
      <c r="C331" t="s">
        <v>46</v>
      </c>
      <c r="D331" t="s">
        <v>7</v>
      </c>
      <c r="E331" t="s">
        <v>35</v>
      </c>
      <c r="F331" t="s">
        <v>39</v>
      </c>
      <c r="G331">
        <v>9</v>
      </c>
      <c r="H331">
        <v>61</v>
      </c>
      <c r="I331">
        <v>16</v>
      </c>
      <c r="J331">
        <v>91</v>
      </c>
      <c r="K331">
        <v>426</v>
      </c>
      <c r="L331">
        <v>132.1</v>
      </c>
      <c r="M331">
        <v>2490.71</v>
      </c>
      <c r="N331">
        <v>75287</v>
      </c>
      <c r="O331">
        <v>1652.98</v>
      </c>
      <c r="P331" s="1">
        <v>-0.54900000000000004</v>
      </c>
      <c r="Q331">
        <f t="shared" si="25"/>
        <v>70</v>
      </c>
      <c r="R331">
        <f t="shared" si="26"/>
        <v>152</v>
      </c>
      <c r="S331" s="1">
        <f t="shared" si="27"/>
        <v>0.77142857142857146</v>
      </c>
      <c r="T331">
        <f t="shared" si="28"/>
        <v>0.7</v>
      </c>
      <c r="U331" t="str">
        <f t="shared" si="29"/>
        <v>Mar</v>
      </c>
    </row>
    <row r="332" spans="1:21">
      <c r="A332" s="2">
        <v>46101</v>
      </c>
      <c r="B332" t="s">
        <v>4</v>
      </c>
      <c r="C332" t="s">
        <v>40</v>
      </c>
      <c r="D332" t="s">
        <v>11</v>
      </c>
      <c r="E332" t="s">
        <v>35</v>
      </c>
      <c r="F332" t="s">
        <v>45</v>
      </c>
      <c r="G332">
        <v>77</v>
      </c>
      <c r="H332">
        <v>54</v>
      </c>
      <c r="I332">
        <v>61</v>
      </c>
      <c r="J332">
        <v>65</v>
      </c>
      <c r="K332">
        <v>257</v>
      </c>
      <c r="L332">
        <v>138.1</v>
      </c>
      <c r="M332">
        <v>2142.48</v>
      </c>
      <c r="N332">
        <v>64499</v>
      </c>
      <c r="O332">
        <v>1737.37</v>
      </c>
      <c r="P332" s="1">
        <v>-0.21199999999999999</v>
      </c>
      <c r="Q332">
        <f t="shared" si="25"/>
        <v>131</v>
      </c>
      <c r="R332">
        <f t="shared" si="26"/>
        <v>119</v>
      </c>
      <c r="S332" s="1">
        <f t="shared" si="27"/>
        <v>0.53435114503816794</v>
      </c>
      <c r="T332">
        <f t="shared" si="28"/>
        <v>1.31</v>
      </c>
      <c r="U332" t="str">
        <f t="shared" si="29"/>
        <v>Mar</v>
      </c>
    </row>
    <row r="333" spans="1:21">
      <c r="A333" s="2">
        <v>46079</v>
      </c>
      <c r="B333" t="s">
        <v>4</v>
      </c>
      <c r="C333" t="s">
        <v>48</v>
      </c>
      <c r="D333" t="s">
        <v>11</v>
      </c>
      <c r="E333" t="s">
        <v>35</v>
      </c>
      <c r="F333" t="s">
        <v>33</v>
      </c>
      <c r="G333">
        <v>102</v>
      </c>
      <c r="H333">
        <v>45</v>
      </c>
      <c r="I333">
        <v>67</v>
      </c>
      <c r="J333">
        <v>152</v>
      </c>
      <c r="K333">
        <v>218</v>
      </c>
      <c r="L333">
        <v>113.41</v>
      </c>
      <c r="M333">
        <v>1980.59</v>
      </c>
      <c r="N333">
        <v>64539</v>
      </c>
      <c r="O333">
        <v>1307.43</v>
      </c>
      <c r="P333" s="1">
        <v>-0.73599999999999999</v>
      </c>
      <c r="Q333">
        <f t="shared" si="25"/>
        <v>147</v>
      </c>
      <c r="R333">
        <f t="shared" si="26"/>
        <v>197</v>
      </c>
      <c r="S333" s="1">
        <f t="shared" si="27"/>
        <v>0.54421768707482998</v>
      </c>
      <c r="T333">
        <f t="shared" si="28"/>
        <v>1.47</v>
      </c>
      <c r="U333" t="str">
        <f t="shared" si="29"/>
        <v>Feb</v>
      </c>
    </row>
    <row r="334" spans="1:21">
      <c r="A334" s="2">
        <v>46095</v>
      </c>
      <c r="B334" t="s">
        <v>4</v>
      </c>
      <c r="C334" t="s">
        <v>50</v>
      </c>
      <c r="D334" t="s">
        <v>5</v>
      </c>
      <c r="E334" t="s">
        <v>35</v>
      </c>
      <c r="F334" t="s">
        <v>49</v>
      </c>
      <c r="G334">
        <v>3</v>
      </c>
      <c r="H334">
        <v>22</v>
      </c>
      <c r="I334">
        <v>85</v>
      </c>
      <c r="J334">
        <v>149</v>
      </c>
      <c r="K334">
        <v>27</v>
      </c>
      <c r="L334">
        <v>118.4</v>
      </c>
      <c r="M334">
        <v>1994.07</v>
      </c>
      <c r="N334">
        <v>65916</v>
      </c>
      <c r="O334">
        <v>1558.1</v>
      </c>
      <c r="P334" s="1">
        <v>0.82199999999999995</v>
      </c>
      <c r="Q334">
        <f t="shared" si="25"/>
        <v>25</v>
      </c>
      <c r="R334">
        <f t="shared" si="26"/>
        <v>171</v>
      </c>
      <c r="S334" s="1">
        <f t="shared" si="27"/>
        <v>-2.4</v>
      </c>
      <c r="T334">
        <f t="shared" si="28"/>
        <v>0.25</v>
      </c>
      <c r="U334" t="str">
        <f t="shared" si="29"/>
        <v>Mar</v>
      </c>
    </row>
    <row r="335" spans="1:21">
      <c r="A335" s="2">
        <v>46072</v>
      </c>
      <c r="B335" t="s">
        <v>4</v>
      </c>
      <c r="C335" t="s">
        <v>51</v>
      </c>
      <c r="D335" t="s">
        <v>5</v>
      </c>
      <c r="E335" t="s">
        <v>37</v>
      </c>
      <c r="F335" t="s">
        <v>33</v>
      </c>
      <c r="G335">
        <v>45</v>
      </c>
      <c r="H335">
        <v>51</v>
      </c>
      <c r="I335">
        <v>75</v>
      </c>
      <c r="J335">
        <v>127</v>
      </c>
      <c r="K335">
        <v>64</v>
      </c>
      <c r="L335">
        <v>120.67</v>
      </c>
      <c r="M335">
        <v>2320.69</v>
      </c>
      <c r="N335">
        <v>75346</v>
      </c>
      <c r="O335">
        <v>1798.39</v>
      </c>
      <c r="P335" s="1">
        <v>0.107</v>
      </c>
      <c r="Q335">
        <f t="shared" si="25"/>
        <v>96</v>
      </c>
      <c r="R335">
        <f t="shared" si="26"/>
        <v>178</v>
      </c>
      <c r="S335" s="1">
        <f t="shared" si="27"/>
        <v>0.21875</v>
      </c>
      <c r="T335">
        <f t="shared" si="28"/>
        <v>0.96</v>
      </c>
      <c r="U335" t="str">
        <f t="shared" si="29"/>
        <v>Feb</v>
      </c>
    </row>
    <row r="336" spans="1:21">
      <c r="A336" s="2">
        <v>46106</v>
      </c>
      <c r="B336" t="s">
        <v>4</v>
      </c>
      <c r="C336" t="s">
        <v>48</v>
      </c>
      <c r="D336" t="s">
        <v>9</v>
      </c>
      <c r="E336" t="s">
        <v>38</v>
      </c>
      <c r="F336" t="s">
        <v>33</v>
      </c>
      <c r="G336">
        <v>8</v>
      </c>
      <c r="H336">
        <v>60</v>
      </c>
      <c r="I336">
        <v>3</v>
      </c>
      <c r="J336">
        <v>119</v>
      </c>
      <c r="K336">
        <v>410</v>
      </c>
      <c r="L336">
        <v>132.09</v>
      </c>
      <c r="M336">
        <v>2450.81</v>
      </c>
      <c r="N336">
        <v>66851</v>
      </c>
      <c r="O336">
        <v>1639.79</v>
      </c>
      <c r="P336" s="1">
        <v>0.65900000000000003</v>
      </c>
      <c r="Q336">
        <f t="shared" si="25"/>
        <v>68</v>
      </c>
      <c r="R336">
        <f t="shared" si="26"/>
        <v>179</v>
      </c>
      <c r="S336" s="1">
        <f t="shared" si="27"/>
        <v>0.95588235294117652</v>
      </c>
      <c r="T336">
        <f t="shared" si="28"/>
        <v>0.68</v>
      </c>
      <c r="U336" t="str">
        <f t="shared" si="29"/>
        <v>Mar</v>
      </c>
    </row>
    <row r="337" spans="1:21">
      <c r="A337" s="2">
        <v>46099</v>
      </c>
      <c r="B337" t="s">
        <v>4</v>
      </c>
      <c r="C337" t="s">
        <v>51</v>
      </c>
      <c r="D337" t="s">
        <v>7</v>
      </c>
      <c r="E337" t="s">
        <v>47</v>
      </c>
      <c r="F337" t="s">
        <v>49</v>
      </c>
      <c r="G337">
        <v>115</v>
      </c>
      <c r="H337">
        <v>76</v>
      </c>
      <c r="I337">
        <v>16</v>
      </c>
      <c r="J337">
        <v>7</v>
      </c>
      <c r="K337">
        <v>371</v>
      </c>
      <c r="L337">
        <v>131.57</v>
      </c>
      <c r="M337">
        <v>2075.31</v>
      </c>
      <c r="N337">
        <v>69519</v>
      </c>
      <c r="O337">
        <v>1307.6500000000001</v>
      </c>
      <c r="P337" s="1">
        <v>-0.39800000000000002</v>
      </c>
      <c r="Q337">
        <f t="shared" si="25"/>
        <v>191</v>
      </c>
      <c r="R337">
        <f t="shared" si="26"/>
        <v>83</v>
      </c>
      <c r="S337" s="1">
        <f t="shared" si="27"/>
        <v>0.91623036649214662</v>
      </c>
      <c r="T337">
        <f t="shared" si="28"/>
        <v>1.91</v>
      </c>
      <c r="U337" t="str">
        <f t="shared" si="29"/>
        <v>Mar</v>
      </c>
    </row>
    <row r="338" spans="1:21">
      <c r="A338" s="2">
        <v>46127</v>
      </c>
      <c r="B338" t="s">
        <v>4</v>
      </c>
      <c r="C338" t="s">
        <v>40</v>
      </c>
      <c r="D338" t="s">
        <v>5</v>
      </c>
      <c r="E338" t="s">
        <v>41</v>
      </c>
      <c r="F338" t="s">
        <v>39</v>
      </c>
      <c r="G338">
        <v>119</v>
      </c>
      <c r="H338">
        <v>70</v>
      </c>
      <c r="I338">
        <v>84</v>
      </c>
      <c r="J338">
        <v>157</v>
      </c>
      <c r="K338">
        <v>179</v>
      </c>
      <c r="L338">
        <v>83.37</v>
      </c>
      <c r="M338">
        <v>1856.17</v>
      </c>
      <c r="N338">
        <v>72888</v>
      </c>
      <c r="O338">
        <v>1355.28</v>
      </c>
      <c r="P338" s="1">
        <v>-0.879</v>
      </c>
      <c r="Q338">
        <f t="shared" si="25"/>
        <v>189</v>
      </c>
      <c r="R338">
        <f t="shared" si="26"/>
        <v>227</v>
      </c>
      <c r="S338" s="1">
        <f t="shared" si="27"/>
        <v>0.55555555555555558</v>
      </c>
      <c r="T338">
        <f t="shared" si="28"/>
        <v>1.89</v>
      </c>
      <c r="U338" t="str">
        <f t="shared" si="29"/>
        <v>Apr</v>
      </c>
    </row>
    <row r="339" spans="1:21">
      <c r="A339" s="2">
        <v>46117</v>
      </c>
      <c r="B339" t="s">
        <v>6</v>
      </c>
      <c r="C339" t="s">
        <v>43</v>
      </c>
      <c r="D339" t="s">
        <v>7</v>
      </c>
      <c r="E339" t="s">
        <v>41</v>
      </c>
      <c r="F339" t="s">
        <v>39</v>
      </c>
      <c r="G339">
        <v>47</v>
      </c>
      <c r="H339">
        <v>27</v>
      </c>
      <c r="I339">
        <v>74</v>
      </c>
      <c r="J339">
        <v>52</v>
      </c>
      <c r="K339">
        <v>10</v>
      </c>
      <c r="L339">
        <v>117.82</v>
      </c>
      <c r="M339">
        <v>2218.09</v>
      </c>
      <c r="N339">
        <v>69858</v>
      </c>
      <c r="O339">
        <v>934.66</v>
      </c>
      <c r="P339" s="1">
        <v>0.218</v>
      </c>
      <c r="Q339">
        <f t="shared" si="25"/>
        <v>74</v>
      </c>
      <c r="R339">
        <f t="shared" si="26"/>
        <v>79</v>
      </c>
      <c r="S339" s="1">
        <f t="shared" si="27"/>
        <v>0</v>
      </c>
      <c r="T339">
        <f t="shared" si="28"/>
        <v>0.74</v>
      </c>
      <c r="U339" t="str">
        <f t="shared" si="29"/>
        <v>Apr</v>
      </c>
    </row>
    <row r="340" spans="1:21">
      <c r="A340" s="2">
        <v>46098</v>
      </c>
      <c r="B340" t="s">
        <v>4</v>
      </c>
      <c r="C340" t="s">
        <v>51</v>
      </c>
      <c r="D340" t="s">
        <v>10</v>
      </c>
      <c r="E340" t="s">
        <v>32</v>
      </c>
      <c r="F340" t="s">
        <v>39</v>
      </c>
      <c r="G340">
        <v>14</v>
      </c>
      <c r="H340">
        <v>64</v>
      </c>
      <c r="I340">
        <v>33</v>
      </c>
      <c r="J340">
        <v>4</v>
      </c>
      <c r="K340">
        <v>298</v>
      </c>
      <c r="L340">
        <v>86.15</v>
      </c>
      <c r="M340">
        <v>2133.71</v>
      </c>
      <c r="N340">
        <v>71020</v>
      </c>
      <c r="O340">
        <v>1343.51</v>
      </c>
      <c r="P340" s="1">
        <v>-0.41299999999999998</v>
      </c>
      <c r="Q340">
        <f t="shared" si="25"/>
        <v>78</v>
      </c>
      <c r="R340">
        <f t="shared" si="26"/>
        <v>68</v>
      </c>
      <c r="S340" s="1">
        <f t="shared" si="27"/>
        <v>0.57692307692307687</v>
      </c>
      <c r="T340">
        <f t="shared" si="28"/>
        <v>0.78</v>
      </c>
      <c r="U340" t="str">
        <f t="shared" si="29"/>
        <v>Mar</v>
      </c>
    </row>
    <row r="341" spans="1:21">
      <c r="A341" s="2">
        <v>46082</v>
      </c>
      <c r="B341" t="s">
        <v>4</v>
      </c>
      <c r="C341" t="s">
        <v>31</v>
      </c>
      <c r="D341" t="s">
        <v>10</v>
      </c>
      <c r="E341" t="s">
        <v>42</v>
      </c>
      <c r="F341" t="s">
        <v>33</v>
      </c>
      <c r="G341">
        <v>31</v>
      </c>
      <c r="H341">
        <v>34</v>
      </c>
      <c r="I341">
        <v>49</v>
      </c>
      <c r="J341">
        <v>49</v>
      </c>
      <c r="K341">
        <v>363</v>
      </c>
      <c r="L341">
        <v>107.12</v>
      </c>
      <c r="M341">
        <v>2094.09</v>
      </c>
      <c r="N341">
        <v>73777</v>
      </c>
      <c r="O341">
        <v>1016.93</v>
      </c>
      <c r="P341" s="1">
        <v>0.248</v>
      </c>
      <c r="Q341">
        <f t="shared" si="25"/>
        <v>65</v>
      </c>
      <c r="R341">
        <f t="shared" si="26"/>
        <v>83</v>
      </c>
      <c r="S341" s="1">
        <f t="shared" si="27"/>
        <v>0.24615384615384617</v>
      </c>
      <c r="T341">
        <f t="shared" si="28"/>
        <v>0.65</v>
      </c>
      <c r="U341" t="str">
        <f t="shared" si="29"/>
        <v>Mar</v>
      </c>
    </row>
    <row r="342" spans="1:21">
      <c r="A342" s="2">
        <v>46112</v>
      </c>
      <c r="B342" t="s">
        <v>6</v>
      </c>
      <c r="C342" t="s">
        <v>40</v>
      </c>
      <c r="D342" t="s">
        <v>10</v>
      </c>
      <c r="E342" t="s">
        <v>42</v>
      </c>
      <c r="F342" t="s">
        <v>33</v>
      </c>
      <c r="G342">
        <v>18</v>
      </c>
      <c r="H342">
        <v>0</v>
      </c>
      <c r="I342">
        <v>14</v>
      </c>
      <c r="J342">
        <v>30</v>
      </c>
      <c r="K342">
        <v>42</v>
      </c>
      <c r="L342">
        <v>112.78</v>
      </c>
      <c r="M342">
        <v>2403.6999999999998</v>
      </c>
      <c r="N342">
        <v>66635</v>
      </c>
      <c r="O342">
        <v>1776.01</v>
      </c>
      <c r="P342" s="1">
        <v>0.998</v>
      </c>
      <c r="Q342">
        <f t="shared" si="25"/>
        <v>18</v>
      </c>
      <c r="R342">
        <f t="shared" si="26"/>
        <v>30</v>
      </c>
      <c r="S342" s="1">
        <f t="shared" si="27"/>
        <v>0.22222222222222221</v>
      </c>
      <c r="T342">
        <f t="shared" si="28"/>
        <v>0.18</v>
      </c>
      <c r="U342" t="str">
        <f t="shared" si="29"/>
        <v>Mar</v>
      </c>
    </row>
    <row r="343" spans="1:21">
      <c r="A343" s="2">
        <v>46111</v>
      </c>
      <c r="B343" t="s">
        <v>6</v>
      </c>
      <c r="C343" t="s">
        <v>50</v>
      </c>
      <c r="D343" t="s">
        <v>9</v>
      </c>
      <c r="E343" t="s">
        <v>35</v>
      </c>
      <c r="F343" t="s">
        <v>39</v>
      </c>
      <c r="G343">
        <v>48</v>
      </c>
      <c r="H343">
        <v>0</v>
      </c>
      <c r="I343">
        <v>1</v>
      </c>
      <c r="J343">
        <v>103</v>
      </c>
      <c r="K343">
        <v>178</v>
      </c>
      <c r="L343">
        <v>100.01</v>
      </c>
      <c r="M343">
        <v>2188.92</v>
      </c>
      <c r="N343">
        <v>65845</v>
      </c>
      <c r="O343">
        <v>993.64</v>
      </c>
      <c r="P343" s="1">
        <v>-0.14499999999999999</v>
      </c>
      <c r="Q343">
        <f t="shared" si="25"/>
        <v>48</v>
      </c>
      <c r="R343">
        <f t="shared" si="26"/>
        <v>103</v>
      </c>
      <c r="S343" s="1">
        <f t="shared" si="27"/>
        <v>0.97916666666666663</v>
      </c>
      <c r="T343">
        <f t="shared" si="28"/>
        <v>0.48</v>
      </c>
      <c r="U343" t="str">
        <f t="shared" si="29"/>
        <v>Mar</v>
      </c>
    </row>
    <row r="344" spans="1:21">
      <c r="A344" s="2">
        <v>46080</v>
      </c>
      <c r="B344" t="s">
        <v>6</v>
      </c>
      <c r="C344" t="s">
        <v>34</v>
      </c>
      <c r="D344" t="s">
        <v>7</v>
      </c>
      <c r="E344" t="s">
        <v>37</v>
      </c>
      <c r="F344" t="s">
        <v>33</v>
      </c>
      <c r="G344">
        <v>32</v>
      </c>
      <c r="H344">
        <v>3</v>
      </c>
      <c r="I344">
        <v>67</v>
      </c>
      <c r="J344">
        <v>87</v>
      </c>
      <c r="K344">
        <v>16</v>
      </c>
      <c r="L344">
        <v>132.52000000000001</v>
      </c>
      <c r="M344">
        <v>2423.91</v>
      </c>
      <c r="N344">
        <v>69205</v>
      </c>
      <c r="O344">
        <v>1387.31</v>
      </c>
      <c r="P344" s="1">
        <v>-0.72399999999999998</v>
      </c>
      <c r="Q344">
        <f t="shared" si="25"/>
        <v>35</v>
      </c>
      <c r="R344">
        <f t="shared" si="26"/>
        <v>90</v>
      </c>
      <c r="S344" s="1">
        <f t="shared" si="27"/>
        <v>-0.91428571428571426</v>
      </c>
      <c r="T344">
        <f t="shared" si="28"/>
        <v>0.35</v>
      </c>
      <c r="U344" t="str">
        <f t="shared" si="29"/>
        <v>Feb</v>
      </c>
    </row>
    <row r="345" spans="1:21">
      <c r="A345" s="2">
        <v>46084</v>
      </c>
      <c r="B345" t="s">
        <v>6</v>
      </c>
      <c r="C345" t="s">
        <v>48</v>
      </c>
      <c r="D345" t="s">
        <v>9</v>
      </c>
      <c r="E345" t="s">
        <v>32</v>
      </c>
      <c r="F345" t="s">
        <v>45</v>
      </c>
      <c r="G345">
        <v>32</v>
      </c>
      <c r="H345">
        <v>32</v>
      </c>
      <c r="I345">
        <v>35</v>
      </c>
      <c r="J345">
        <v>18</v>
      </c>
      <c r="K345">
        <v>85</v>
      </c>
      <c r="L345">
        <v>122.16</v>
      </c>
      <c r="M345">
        <v>2114.09</v>
      </c>
      <c r="N345">
        <v>66677</v>
      </c>
      <c r="O345">
        <v>1719.55</v>
      </c>
      <c r="P345" s="1">
        <v>0.61399999999999999</v>
      </c>
      <c r="Q345">
        <f t="shared" si="25"/>
        <v>64</v>
      </c>
      <c r="R345">
        <f t="shared" si="26"/>
        <v>50</v>
      </c>
      <c r="S345" s="1">
        <f t="shared" si="27"/>
        <v>0.453125</v>
      </c>
      <c r="T345">
        <f t="shared" si="28"/>
        <v>0.64</v>
      </c>
      <c r="U345" t="str">
        <f t="shared" si="29"/>
        <v>Mar</v>
      </c>
    </row>
    <row r="346" spans="1:21">
      <c r="A346" s="2">
        <v>46117</v>
      </c>
      <c r="B346" t="s">
        <v>4</v>
      </c>
      <c r="C346" t="s">
        <v>44</v>
      </c>
      <c r="D346" t="s">
        <v>7</v>
      </c>
      <c r="E346" t="s">
        <v>41</v>
      </c>
      <c r="F346" t="s">
        <v>49</v>
      </c>
      <c r="G346">
        <v>35</v>
      </c>
      <c r="H346">
        <v>41</v>
      </c>
      <c r="I346">
        <v>17</v>
      </c>
      <c r="J346">
        <v>10</v>
      </c>
      <c r="K346">
        <v>162</v>
      </c>
      <c r="L346">
        <v>129.96</v>
      </c>
      <c r="M346">
        <v>2298.37</v>
      </c>
      <c r="N346">
        <v>72782</v>
      </c>
      <c r="O346">
        <v>1300.97</v>
      </c>
      <c r="P346" s="1">
        <v>-0.51300000000000001</v>
      </c>
      <c r="Q346">
        <f t="shared" si="25"/>
        <v>76</v>
      </c>
      <c r="R346">
        <f t="shared" si="26"/>
        <v>51</v>
      </c>
      <c r="S346" s="1">
        <f t="shared" si="27"/>
        <v>0.77631578947368418</v>
      </c>
      <c r="T346">
        <f t="shared" si="28"/>
        <v>0.76</v>
      </c>
      <c r="U346" t="str">
        <f t="shared" si="29"/>
        <v>Apr</v>
      </c>
    </row>
    <row r="347" spans="1:21">
      <c r="A347" s="2">
        <v>46126</v>
      </c>
      <c r="B347" t="s">
        <v>4</v>
      </c>
      <c r="C347" t="s">
        <v>46</v>
      </c>
      <c r="D347" t="s">
        <v>9</v>
      </c>
      <c r="E347" t="s">
        <v>41</v>
      </c>
      <c r="F347" t="s">
        <v>33</v>
      </c>
      <c r="G347">
        <v>7</v>
      </c>
      <c r="H347">
        <v>10</v>
      </c>
      <c r="I347">
        <v>73</v>
      </c>
      <c r="J347">
        <v>27</v>
      </c>
      <c r="K347">
        <v>351</v>
      </c>
      <c r="L347">
        <v>82.58</v>
      </c>
      <c r="M347">
        <v>2294.9699999999998</v>
      </c>
      <c r="N347">
        <v>71748</v>
      </c>
      <c r="O347">
        <v>1291.8599999999999</v>
      </c>
      <c r="P347" s="1">
        <v>0.77600000000000002</v>
      </c>
      <c r="Q347">
        <f t="shared" si="25"/>
        <v>17</v>
      </c>
      <c r="R347">
        <f t="shared" si="26"/>
        <v>37</v>
      </c>
      <c r="S347" s="1">
        <f t="shared" si="27"/>
        <v>-3.2941176470588234</v>
      </c>
      <c r="T347">
        <f t="shared" si="28"/>
        <v>0.17</v>
      </c>
      <c r="U347" t="str">
        <f t="shared" si="29"/>
        <v>Apr</v>
      </c>
    </row>
    <row r="348" spans="1:21">
      <c r="A348" s="2">
        <v>46094</v>
      </c>
      <c r="B348" t="s">
        <v>4</v>
      </c>
      <c r="C348" t="s">
        <v>48</v>
      </c>
      <c r="D348" t="s">
        <v>7</v>
      </c>
      <c r="E348" t="s">
        <v>41</v>
      </c>
      <c r="F348" t="s">
        <v>39</v>
      </c>
      <c r="G348">
        <v>21</v>
      </c>
      <c r="H348">
        <v>13</v>
      </c>
      <c r="I348">
        <v>35</v>
      </c>
      <c r="J348">
        <v>115</v>
      </c>
      <c r="K348">
        <v>262</v>
      </c>
      <c r="L348">
        <v>128.91999999999999</v>
      </c>
      <c r="M348">
        <v>2286.2600000000002</v>
      </c>
      <c r="N348">
        <v>67423</v>
      </c>
      <c r="O348">
        <v>1626.57</v>
      </c>
      <c r="P348" s="1">
        <v>0.16</v>
      </c>
      <c r="Q348">
        <f t="shared" si="25"/>
        <v>34</v>
      </c>
      <c r="R348">
        <f t="shared" si="26"/>
        <v>128</v>
      </c>
      <c r="S348" s="1">
        <f t="shared" si="27"/>
        <v>-2.9411764705882353E-2</v>
      </c>
      <c r="T348">
        <f t="shared" si="28"/>
        <v>0.34</v>
      </c>
      <c r="U348" t="str">
        <f t="shared" si="29"/>
        <v>Mar</v>
      </c>
    </row>
    <row r="349" spans="1:21">
      <c r="A349" s="2">
        <v>46100</v>
      </c>
      <c r="B349" t="s">
        <v>6</v>
      </c>
      <c r="C349" t="s">
        <v>43</v>
      </c>
      <c r="D349" t="s">
        <v>7</v>
      </c>
      <c r="E349" t="s">
        <v>37</v>
      </c>
      <c r="F349" t="s">
        <v>33</v>
      </c>
      <c r="G349">
        <v>101</v>
      </c>
      <c r="H349">
        <v>39</v>
      </c>
      <c r="I349">
        <v>55</v>
      </c>
      <c r="J349">
        <v>23</v>
      </c>
      <c r="K349">
        <v>6</v>
      </c>
      <c r="L349">
        <v>123.72</v>
      </c>
      <c r="M349">
        <v>2037.46</v>
      </c>
      <c r="N349">
        <v>64043</v>
      </c>
      <c r="O349">
        <v>1766.26</v>
      </c>
      <c r="P349" s="1">
        <v>0.54200000000000004</v>
      </c>
      <c r="Q349">
        <f t="shared" si="25"/>
        <v>140</v>
      </c>
      <c r="R349">
        <f t="shared" si="26"/>
        <v>62</v>
      </c>
      <c r="S349" s="1">
        <f t="shared" si="27"/>
        <v>0.6071428571428571</v>
      </c>
      <c r="T349">
        <f t="shared" si="28"/>
        <v>1.4</v>
      </c>
      <c r="U349" t="str">
        <f t="shared" si="29"/>
        <v>Mar</v>
      </c>
    </row>
    <row r="350" spans="1:21">
      <c r="A350" s="2">
        <v>46111</v>
      </c>
      <c r="B350" t="s">
        <v>6</v>
      </c>
      <c r="C350" t="s">
        <v>31</v>
      </c>
      <c r="D350" t="s">
        <v>5</v>
      </c>
      <c r="E350" t="s">
        <v>41</v>
      </c>
      <c r="F350" t="s">
        <v>33</v>
      </c>
      <c r="G350">
        <v>102</v>
      </c>
      <c r="H350">
        <v>6</v>
      </c>
      <c r="I350">
        <v>42</v>
      </c>
      <c r="J350">
        <v>132</v>
      </c>
      <c r="K350">
        <v>279</v>
      </c>
      <c r="L350">
        <v>116.79</v>
      </c>
      <c r="M350">
        <v>2098.37</v>
      </c>
      <c r="N350">
        <v>71913</v>
      </c>
      <c r="O350">
        <v>1793.94</v>
      </c>
      <c r="P350" s="1">
        <v>-0.58299999999999996</v>
      </c>
      <c r="Q350">
        <f t="shared" si="25"/>
        <v>108</v>
      </c>
      <c r="R350">
        <f t="shared" si="26"/>
        <v>138</v>
      </c>
      <c r="S350" s="1">
        <f t="shared" si="27"/>
        <v>0.61111111111111116</v>
      </c>
      <c r="T350">
        <f t="shared" si="28"/>
        <v>1.08</v>
      </c>
      <c r="U350" t="str">
        <f t="shared" si="29"/>
        <v>Mar</v>
      </c>
    </row>
    <row r="351" spans="1:21">
      <c r="A351" s="2">
        <v>46101</v>
      </c>
      <c r="B351" t="s">
        <v>4</v>
      </c>
      <c r="C351" t="s">
        <v>48</v>
      </c>
      <c r="D351" t="s">
        <v>7</v>
      </c>
      <c r="E351" t="s">
        <v>35</v>
      </c>
      <c r="F351" t="s">
        <v>45</v>
      </c>
      <c r="G351">
        <v>99</v>
      </c>
      <c r="H351">
        <v>18</v>
      </c>
      <c r="I351">
        <v>38</v>
      </c>
      <c r="J351">
        <v>1</v>
      </c>
      <c r="K351">
        <v>429</v>
      </c>
      <c r="L351">
        <v>86.6</v>
      </c>
      <c r="M351">
        <v>1996.44</v>
      </c>
      <c r="N351">
        <v>73527</v>
      </c>
      <c r="O351">
        <v>1050.5899999999999</v>
      </c>
      <c r="P351" s="1">
        <v>0.39400000000000002</v>
      </c>
      <c r="Q351">
        <f t="shared" si="25"/>
        <v>117</v>
      </c>
      <c r="R351">
        <f t="shared" si="26"/>
        <v>19</v>
      </c>
      <c r="S351" s="1">
        <f t="shared" si="27"/>
        <v>0.67521367521367526</v>
      </c>
      <c r="T351">
        <f t="shared" si="28"/>
        <v>1.17</v>
      </c>
      <c r="U351" t="str">
        <f t="shared" si="29"/>
        <v>Mar</v>
      </c>
    </row>
    <row r="352" spans="1:21">
      <c r="A352" s="2">
        <v>46076</v>
      </c>
      <c r="B352" t="s">
        <v>4</v>
      </c>
      <c r="C352" t="s">
        <v>48</v>
      </c>
      <c r="D352" t="s">
        <v>10</v>
      </c>
      <c r="E352" t="s">
        <v>35</v>
      </c>
      <c r="F352" t="s">
        <v>33</v>
      </c>
      <c r="G352">
        <v>24</v>
      </c>
      <c r="H352">
        <v>50</v>
      </c>
      <c r="I352">
        <v>34</v>
      </c>
      <c r="J352">
        <v>108</v>
      </c>
      <c r="K352">
        <v>41</v>
      </c>
      <c r="L352">
        <v>126.53</v>
      </c>
      <c r="M352">
        <v>1955</v>
      </c>
      <c r="N352">
        <v>66798</v>
      </c>
      <c r="O352">
        <v>1147.24</v>
      </c>
      <c r="P352" s="1">
        <v>-0.47599999999999998</v>
      </c>
      <c r="Q352">
        <f t="shared" si="25"/>
        <v>74</v>
      </c>
      <c r="R352">
        <f t="shared" si="26"/>
        <v>158</v>
      </c>
      <c r="S352" s="1">
        <f t="shared" si="27"/>
        <v>0.54054054054054057</v>
      </c>
      <c r="T352">
        <f t="shared" si="28"/>
        <v>0.74</v>
      </c>
      <c r="U352" t="str">
        <f t="shared" si="29"/>
        <v>Feb</v>
      </c>
    </row>
    <row r="353" spans="1:21">
      <c r="A353" s="2">
        <v>46120</v>
      </c>
      <c r="B353" t="s">
        <v>6</v>
      </c>
      <c r="C353" t="s">
        <v>46</v>
      </c>
      <c r="D353" t="s">
        <v>5</v>
      </c>
      <c r="E353" t="s">
        <v>37</v>
      </c>
      <c r="F353" t="s">
        <v>33</v>
      </c>
      <c r="G353">
        <v>42</v>
      </c>
      <c r="H353">
        <v>15</v>
      </c>
      <c r="I353">
        <v>32</v>
      </c>
      <c r="J353">
        <v>106</v>
      </c>
      <c r="K353">
        <v>9</v>
      </c>
      <c r="L353">
        <v>139.33000000000001</v>
      </c>
      <c r="M353">
        <v>2374.73</v>
      </c>
      <c r="N353">
        <v>68492</v>
      </c>
      <c r="O353">
        <v>1659.44</v>
      </c>
      <c r="P353" s="1">
        <v>-0.61799999999999999</v>
      </c>
      <c r="Q353">
        <f t="shared" si="25"/>
        <v>57</v>
      </c>
      <c r="R353">
        <f t="shared" si="26"/>
        <v>121</v>
      </c>
      <c r="S353" s="1">
        <f t="shared" si="27"/>
        <v>0.43859649122807015</v>
      </c>
      <c r="T353">
        <f t="shared" si="28"/>
        <v>0.56999999999999995</v>
      </c>
      <c r="U353" t="str">
        <f t="shared" si="29"/>
        <v>Apr</v>
      </c>
    </row>
    <row r="354" spans="1:21">
      <c r="A354" s="2">
        <v>46098</v>
      </c>
      <c r="B354" t="s">
        <v>6</v>
      </c>
      <c r="C354" t="s">
        <v>50</v>
      </c>
      <c r="D354" t="s">
        <v>10</v>
      </c>
      <c r="E354" t="s">
        <v>38</v>
      </c>
      <c r="F354" t="s">
        <v>39</v>
      </c>
      <c r="G354">
        <v>69</v>
      </c>
      <c r="H354">
        <v>64</v>
      </c>
      <c r="I354">
        <v>20</v>
      </c>
      <c r="J354">
        <v>67</v>
      </c>
      <c r="K354">
        <v>320</v>
      </c>
      <c r="L354">
        <v>85.56</v>
      </c>
      <c r="M354">
        <v>2153.1</v>
      </c>
      <c r="N354">
        <v>74246</v>
      </c>
      <c r="O354">
        <v>1096.6099999999999</v>
      </c>
      <c r="P354" s="1">
        <v>0.86699999999999999</v>
      </c>
      <c r="Q354">
        <f t="shared" si="25"/>
        <v>133</v>
      </c>
      <c r="R354">
        <f t="shared" si="26"/>
        <v>131</v>
      </c>
      <c r="S354" s="1">
        <f t="shared" si="27"/>
        <v>0.84962406015037595</v>
      </c>
      <c r="T354">
        <f t="shared" si="28"/>
        <v>1.33</v>
      </c>
      <c r="U354" t="str">
        <f t="shared" si="29"/>
        <v>Mar</v>
      </c>
    </row>
    <row r="355" spans="1:21">
      <c r="A355" s="2">
        <v>46101</v>
      </c>
      <c r="B355" t="s">
        <v>6</v>
      </c>
      <c r="C355" t="s">
        <v>44</v>
      </c>
      <c r="D355" t="s">
        <v>11</v>
      </c>
      <c r="E355" t="s">
        <v>41</v>
      </c>
      <c r="F355" t="s">
        <v>49</v>
      </c>
      <c r="G355">
        <v>3</v>
      </c>
      <c r="H355">
        <v>19</v>
      </c>
      <c r="I355">
        <v>46</v>
      </c>
      <c r="J355">
        <v>90</v>
      </c>
      <c r="K355">
        <v>361</v>
      </c>
      <c r="L355">
        <v>122.17</v>
      </c>
      <c r="M355">
        <v>2375.38</v>
      </c>
      <c r="N355">
        <v>73004</v>
      </c>
      <c r="O355">
        <v>937.42</v>
      </c>
      <c r="P355" s="1">
        <v>0.79300000000000004</v>
      </c>
      <c r="Q355">
        <f t="shared" si="25"/>
        <v>22</v>
      </c>
      <c r="R355">
        <f t="shared" si="26"/>
        <v>109</v>
      </c>
      <c r="S355" s="1">
        <f t="shared" si="27"/>
        <v>-1.0909090909090908</v>
      </c>
      <c r="T355">
        <f t="shared" si="28"/>
        <v>0.22</v>
      </c>
      <c r="U355" t="str">
        <f t="shared" si="29"/>
        <v>Mar</v>
      </c>
    </row>
    <row r="356" spans="1:21">
      <c r="A356" s="2">
        <v>46083</v>
      </c>
      <c r="B356" t="s">
        <v>4</v>
      </c>
      <c r="C356" t="s">
        <v>46</v>
      </c>
      <c r="D356" t="s">
        <v>5</v>
      </c>
      <c r="E356" t="s">
        <v>37</v>
      </c>
      <c r="F356" t="s">
        <v>39</v>
      </c>
      <c r="G356">
        <v>40</v>
      </c>
      <c r="H356">
        <v>55</v>
      </c>
      <c r="I356">
        <v>53</v>
      </c>
      <c r="J356">
        <v>151</v>
      </c>
      <c r="K356">
        <v>65</v>
      </c>
      <c r="L356">
        <v>94.49</v>
      </c>
      <c r="M356">
        <v>1886.54</v>
      </c>
      <c r="N356">
        <v>70543</v>
      </c>
      <c r="O356">
        <v>1465.47</v>
      </c>
      <c r="P356" s="1">
        <v>0.14899999999999999</v>
      </c>
      <c r="Q356">
        <f t="shared" si="25"/>
        <v>95</v>
      </c>
      <c r="R356">
        <f t="shared" si="26"/>
        <v>206</v>
      </c>
      <c r="S356" s="1">
        <f t="shared" si="27"/>
        <v>0.44210526315789472</v>
      </c>
      <c r="T356">
        <f t="shared" si="28"/>
        <v>0.95</v>
      </c>
      <c r="U356" t="str">
        <f t="shared" si="29"/>
        <v>Mar</v>
      </c>
    </row>
    <row r="357" spans="1:21">
      <c r="A357" s="2">
        <v>46090</v>
      </c>
      <c r="B357" t="s">
        <v>4</v>
      </c>
      <c r="C357" t="s">
        <v>31</v>
      </c>
      <c r="D357" t="s">
        <v>5</v>
      </c>
      <c r="E357" t="s">
        <v>35</v>
      </c>
      <c r="F357" t="s">
        <v>33</v>
      </c>
      <c r="G357">
        <v>0</v>
      </c>
      <c r="H357">
        <v>16</v>
      </c>
      <c r="I357">
        <v>84</v>
      </c>
      <c r="J357">
        <v>141</v>
      </c>
      <c r="K357">
        <v>77</v>
      </c>
      <c r="L357">
        <v>85.58</v>
      </c>
      <c r="M357">
        <v>2473.0300000000002</v>
      </c>
      <c r="N357">
        <v>74864</v>
      </c>
      <c r="O357">
        <v>1702.93</v>
      </c>
      <c r="P357" s="1">
        <v>-7.0000000000000001E-3</v>
      </c>
      <c r="Q357">
        <f t="shared" si="25"/>
        <v>16</v>
      </c>
      <c r="R357">
        <f t="shared" si="26"/>
        <v>157</v>
      </c>
      <c r="S357" s="1">
        <f t="shared" si="27"/>
        <v>-4.25</v>
      </c>
      <c r="T357">
        <f t="shared" si="28"/>
        <v>0.16</v>
      </c>
      <c r="U357" t="str">
        <f t="shared" si="29"/>
        <v>Mar</v>
      </c>
    </row>
    <row r="358" spans="1:21">
      <c r="A358" s="2">
        <v>46124</v>
      </c>
      <c r="B358" t="s">
        <v>4</v>
      </c>
      <c r="C358" t="s">
        <v>40</v>
      </c>
      <c r="D358" t="s">
        <v>5</v>
      </c>
      <c r="E358" t="s">
        <v>41</v>
      </c>
      <c r="F358" t="s">
        <v>33</v>
      </c>
      <c r="G358">
        <v>32</v>
      </c>
      <c r="H358">
        <v>68</v>
      </c>
      <c r="I358">
        <v>62</v>
      </c>
      <c r="J358">
        <v>89</v>
      </c>
      <c r="K358">
        <v>419</v>
      </c>
      <c r="L358">
        <v>131.04</v>
      </c>
      <c r="M358">
        <v>2430.58</v>
      </c>
      <c r="N358">
        <v>65192</v>
      </c>
      <c r="O358">
        <v>1650.52</v>
      </c>
      <c r="P358" s="1">
        <v>5.8999999999999997E-2</v>
      </c>
      <c r="Q358">
        <f t="shared" si="25"/>
        <v>100</v>
      </c>
      <c r="R358">
        <f t="shared" si="26"/>
        <v>157</v>
      </c>
      <c r="S358" s="1">
        <f t="shared" si="27"/>
        <v>0.38</v>
      </c>
      <c r="T358">
        <f t="shared" si="28"/>
        <v>1</v>
      </c>
      <c r="U358" t="str">
        <f t="shared" si="29"/>
        <v>Apr</v>
      </c>
    </row>
    <row r="359" spans="1:21">
      <c r="A359" s="2">
        <v>46121</v>
      </c>
      <c r="B359" t="s">
        <v>4</v>
      </c>
      <c r="C359" t="s">
        <v>36</v>
      </c>
      <c r="D359" t="s">
        <v>5</v>
      </c>
      <c r="E359" t="s">
        <v>47</v>
      </c>
      <c r="F359" t="s">
        <v>33</v>
      </c>
      <c r="G359">
        <v>16</v>
      </c>
      <c r="H359">
        <v>31</v>
      </c>
      <c r="I359">
        <v>1</v>
      </c>
      <c r="J359">
        <v>36</v>
      </c>
      <c r="K359">
        <v>187</v>
      </c>
      <c r="L359">
        <v>93.1</v>
      </c>
      <c r="M359">
        <v>1890.02</v>
      </c>
      <c r="N359">
        <v>65840</v>
      </c>
      <c r="O359">
        <v>1422.01</v>
      </c>
      <c r="P359" s="1">
        <v>-3.3000000000000002E-2</v>
      </c>
      <c r="Q359">
        <f t="shared" si="25"/>
        <v>47</v>
      </c>
      <c r="R359">
        <f t="shared" si="26"/>
        <v>67</v>
      </c>
      <c r="S359" s="1">
        <f t="shared" si="27"/>
        <v>0.97872340425531912</v>
      </c>
      <c r="T359">
        <f t="shared" si="28"/>
        <v>0.47</v>
      </c>
      <c r="U359" t="str">
        <f t="shared" si="29"/>
        <v>Apr</v>
      </c>
    </row>
    <row r="360" spans="1:21">
      <c r="A360" s="2">
        <v>46102</v>
      </c>
      <c r="B360" t="s">
        <v>6</v>
      </c>
      <c r="C360" t="s">
        <v>46</v>
      </c>
      <c r="D360" t="s">
        <v>9</v>
      </c>
      <c r="E360" t="s">
        <v>35</v>
      </c>
      <c r="F360" t="s">
        <v>45</v>
      </c>
      <c r="G360">
        <v>112</v>
      </c>
      <c r="H360">
        <v>36</v>
      </c>
      <c r="I360">
        <v>25</v>
      </c>
      <c r="J360">
        <v>77</v>
      </c>
      <c r="K360">
        <v>151</v>
      </c>
      <c r="L360">
        <v>94.12</v>
      </c>
      <c r="M360">
        <v>2351.67</v>
      </c>
      <c r="N360">
        <v>69168</v>
      </c>
      <c r="O360">
        <v>1632.67</v>
      </c>
      <c r="P360" s="1">
        <v>-0.54800000000000004</v>
      </c>
      <c r="Q360">
        <f t="shared" si="25"/>
        <v>148</v>
      </c>
      <c r="R360">
        <f t="shared" si="26"/>
        <v>113</v>
      </c>
      <c r="S360" s="1">
        <f t="shared" si="27"/>
        <v>0.83108108108108103</v>
      </c>
      <c r="T360">
        <f t="shared" si="28"/>
        <v>1.48</v>
      </c>
      <c r="U360" t="str">
        <f t="shared" si="29"/>
        <v>Mar</v>
      </c>
    </row>
    <row r="361" spans="1:21">
      <c r="A361" s="2">
        <v>46080</v>
      </c>
      <c r="B361" t="s">
        <v>6</v>
      </c>
      <c r="C361" t="s">
        <v>31</v>
      </c>
      <c r="D361" t="s">
        <v>5</v>
      </c>
      <c r="E361" t="s">
        <v>47</v>
      </c>
      <c r="F361" t="s">
        <v>39</v>
      </c>
      <c r="G361">
        <v>86</v>
      </c>
      <c r="H361">
        <v>20</v>
      </c>
      <c r="I361">
        <v>85</v>
      </c>
      <c r="J361">
        <v>150</v>
      </c>
      <c r="K361">
        <v>302</v>
      </c>
      <c r="L361">
        <v>132.47</v>
      </c>
      <c r="M361">
        <v>1949.45</v>
      </c>
      <c r="N361">
        <v>68535</v>
      </c>
      <c r="O361">
        <v>952.18</v>
      </c>
      <c r="P361" s="1">
        <v>0.36199999999999999</v>
      </c>
      <c r="Q361">
        <f t="shared" si="25"/>
        <v>106</v>
      </c>
      <c r="R361">
        <f t="shared" si="26"/>
        <v>170</v>
      </c>
      <c r="S361" s="1">
        <f t="shared" si="27"/>
        <v>0.19811320754716982</v>
      </c>
      <c r="T361">
        <f t="shared" si="28"/>
        <v>1.06</v>
      </c>
      <c r="U361" t="str">
        <f t="shared" si="29"/>
        <v>Feb</v>
      </c>
    </row>
    <row r="362" spans="1:21">
      <c r="A362" s="2">
        <v>46072</v>
      </c>
      <c r="B362" t="s">
        <v>6</v>
      </c>
      <c r="C362" t="s">
        <v>31</v>
      </c>
      <c r="D362" t="s">
        <v>11</v>
      </c>
      <c r="E362" t="s">
        <v>35</v>
      </c>
      <c r="F362" t="s">
        <v>49</v>
      </c>
      <c r="G362">
        <v>59</v>
      </c>
      <c r="H362">
        <v>53</v>
      </c>
      <c r="I362">
        <v>65</v>
      </c>
      <c r="J362">
        <v>103</v>
      </c>
      <c r="K362">
        <v>273</v>
      </c>
      <c r="L362">
        <v>138.66999999999999</v>
      </c>
      <c r="M362">
        <v>2430.9499999999998</v>
      </c>
      <c r="N362">
        <v>72509</v>
      </c>
      <c r="O362">
        <v>1767.63</v>
      </c>
      <c r="P362" s="1">
        <v>-0.53400000000000003</v>
      </c>
      <c r="Q362">
        <f t="shared" si="25"/>
        <v>112</v>
      </c>
      <c r="R362">
        <f t="shared" si="26"/>
        <v>156</v>
      </c>
      <c r="S362" s="1">
        <f t="shared" si="27"/>
        <v>0.41964285714285715</v>
      </c>
      <c r="T362">
        <f t="shared" si="28"/>
        <v>1.1200000000000001</v>
      </c>
      <c r="U362" t="str">
        <f t="shared" si="29"/>
        <v>Feb</v>
      </c>
    </row>
    <row r="363" spans="1:21">
      <c r="A363" s="2">
        <v>46112</v>
      </c>
      <c r="B363" t="s">
        <v>4</v>
      </c>
      <c r="C363" t="s">
        <v>50</v>
      </c>
      <c r="D363" t="s">
        <v>10</v>
      </c>
      <c r="E363" t="s">
        <v>37</v>
      </c>
      <c r="F363" t="s">
        <v>39</v>
      </c>
      <c r="G363">
        <v>10</v>
      </c>
      <c r="H363">
        <v>11</v>
      </c>
      <c r="I363">
        <v>34</v>
      </c>
      <c r="J363">
        <v>79</v>
      </c>
      <c r="K363">
        <v>55</v>
      </c>
      <c r="L363">
        <v>123</v>
      </c>
      <c r="M363">
        <v>2002.46</v>
      </c>
      <c r="N363">
        <v>68893</v>
      </c>
      <c r="O363">
        <v>1688.31</v>
      </c>
      <c r="P363" s="1">
        <v>0.24099999999999999</v>
      </c>
      <c r="Q363">
        <f t="shared" si="25"/>
        <v>21</v>
      </c>
      <c r="R363">
        <f t="shared" si="26"/>
        <v>90</v>
      </c>
      <c r="S363" s="1">
        <f t="shared" si="27"/>
        <v>-0.61904761904761907</v>
      </c>
      <c r="T363">
        <f t="shared" si="28"/>
        <v>0.21</v>
      </c>
      <c r="U363" t="str">
        <f t="shared" si="29"/>
        <v>Mar</v>
      </c>
    </row>
    <row r="364" spans="1:21">
      <c r="A364" s="2">
        <v>46123</v>
      </c>
      <c r="B364" t="s">
        <v>6</v>
      </c>
      <c r="C364" t="s">
        <v>50</v>
      </c>
      <c r="D364" t="s">
        <v>10</v>
      </c>
      <c r="E364" t="s">
        <v>38</v>
      </c>
      <c r="F364" t="s">
        <v>49</v>
      </c>
      <c r="G364">
        <v>103</v>
      </c>
      <c r="H364">
        <v>35</v>
      </c>
      <c r="I364">
        <v>19</v>
      </c>
      <c r="J364">
        <v>141</v>
      </c>
      <c r="K364">
        <v>89</v>
      </c>
      <c r="L364">
        <v>107.24</v>
      </c>
      <c r="M364">
        <v>2110.54</v>
      </c>
      <c r="N364">
        <v>66519</v>
      </c>
      <c r="O364">
        <v>1706.87</v>
      </c>
      <c r="P364" s="1">
        <v>-9.9000000000000005E-2</v>
      </c>
      <c r="Q364">
        <f t="shared" si="25"/>
        <v>138</v>
      </c>
      <c r="R364">
        <f t="shared" si="26"/>
        <v>176</v>
      </c>
      <c r="S364" s="1">
        <f t="shared" si="27"/>
        <v>0.8623188405797102</v>
      </c>
      <c r="T364">
        <f t="shared" si="28"/>
        <v>1.38</v>
      </c>
      <c r="U364" t="str">
        <f t="shared" si="29"/>
        <v>Apr</v>
      </c>
    </row>
    <row r="365" spans="1:21">
      <c r="A365" s="2">
        <v>46088</v>
      </c>
      <c r="B365" t="s">
        <v>6</v>
      </c>
      <c r="C365" t="s">
        <v>31</v>
      </c>
      <c r="D365" t="s">
        <v>10</v>
      </c>
      <c r="E365" t="s">
        <v>38</v>
      </c>
      <c r="F365" t="s">
        <v>39</v>
      </c>
      <c r="G365">
        <v>84</v>
      </c>
      <c r="H365">
        <v>51</v>
      </c>
      <c r="I365">
        <v>75</v>
      </c>
      <c r="J365">
        <v>126</v>
      </c>
      <c r="K365">
        <v>153</v>
      </c>
      <c r="L365">
        <v>84.57</v>
      </c>
      <c r="M365">
        <v>2330.73</v>
      </c>
      <c r="N365">
        <v>64696</v>
      </c>
      <c r="O365">
        <v>1544.1</v>
      </c>
      <c r="P365" s="1">
        <v>-0.35899999999999999</v>
      </c>
      <c r="Q365">
        <f t="shared" si="25"/>
        <v>135</v>
      </c>
      <c r="R365">
        <f t="shared" si="26"/>
        <v>177</v>
      </c>
      <c r="S365" s="1">
        <f t="shared" si="27"/>
        <v>0.44444444444444442</v>
      </c>
      <c r="T365">
        <f t="shared" si="28"/>
        <v>1.35</v>
      </c>
      <c r="U365" t="str">
        <f t="shared" si="29"/>
        <v>Mar</v>
      </c>
    </row>
    <row r="366" spans="1:21">
      <c r="A366" s="2">
        <v>46111</v>
      </c>
      <c r="B366" t="s">
        <v>4</v>
      </c>
      <c r="C366" t="s">
        <v>46</v>
      </c>
      <c r="D366" t="s">
        <v>11</v>
      </c>
      <c r="E366" t="s">
        <v>42</v>
      </c>
      <c r="F366" t="s">
        <v>45</v>
      </c>
      <c r="G366">
        <v>73</v>
      </c>
      <c r="H366">
        <v>70</v>
      </c>
      <c r="I366">
        <v>20</v>
      </c>
      <c r="J366">
        <v>140</v>
      </c>
      <c r="K366">
        <v>338</v>
      </c>
      <c r="L366">
        <v>120.74</v>
      </c>
      <c r="M366">
        <v>2420.36</v>
      </c>
      <c r="N366">
        <v>64564</v>
      </c>
      <c r="O366">
        <v>1427.57</v>
      </c>
      <c r="P366" s="1">
        <v>0.71</v>
      </c>
      <c r="Q366">
        <f t="shared" si="25"/>
        <v>143</v>
      </c>
      <c r="R366">
        <f t="shared" si="26"/>
        <v>210</v>
      </c>
      <c r="S366" s="1">
        <f t="shared" si="27"/>
        <v>0.8601398601398601</v>
      </c>
      <c r="T366">
        <f t="shared" si="28"/>
        <v>1.43</v>
      </c>
      <c r="U366" t="str">
        <f t="shared" si="29"/>
        <v>Mar</v>
      </c>
    </row>
    <row r="367" spans="1:21">
      <c r="A367" s="2">
        <v>46117</v>
      </c>
      <c r="B367" t="s">
        <v>4</v>
      </c>
      <c r="C367" t="s">
        <v>44</v>
      </c>
      <c r="D367" t="s">
        <v>10</v>
      </c>
      <c r="E367" t="s">
        <v>47</v>
      </c>
      <c r="F367" t="s">
        <v>45</v>
      </c>
      <c r="G367">
        <v>57</v>
      </c>
      <c r="H367">
        <v>70</v>
      </c>
      <c r="I367">
        <v>54</v>
      </c>
      <c r="J367">
        <v>36</v>
      </c>
      <c r="K367">
        <v>136</v>
      </c>
      <c r="L367">
        <v>128.85</v>
      </c>
      <c r="M367">
        <v>2406.7600000000002</v>
      </c>
      <c r="N367">
        <v>64427</v>
      </c>
      <c r="O367">
        <v>1335.23</v>
      </c>
      <c r="P367" s="1">
        <v>-0.83499999999999996</v>
      </c>
      <c r="Q367">
        <f t="shared" si="25"/>
        <v>127</v>
      </c>
      <c r="R367">
        <f t="shared" si="26"/>
        <v>106</v>
      </c>
      <c r="S367" s="1">
        <f t="shared" si="27"/>
        <v>0.57480314960629919</v>
      </c>
      <c r="T367">
        <f t="shared" si="28"/>
        <v>1.27</v>
      </c>
      <c r="U367" t="str">
        <f t="shared" si="29"/>
        <v>Apr</v>
      </c>
    </row>
    <row r="368" spans="1:21">
      <c r="A368" s="2">
        <v>46086</v>
      </c>
      <c r="B368" t="s">
        <v>4</v>
      </c>
      <c r="C368" t="s">
        <v>50</v>
      </c>
      <c r="D368" t="s">
        <v>10</v>
      </c>
      <c r="E368" t="s">
        <v>41</v>
      </c>
      <c r="F368" t="s">
        <v>45</v>
      </c>
      <c r="G368">
        <v>61</v>
      </c>
      <c r="H368">
        <v>77</v>
      </c>
      <c r="I368">
        <v>37</v>
      </c>
      <c r="J368">
        <v>44</v>
      </c>
      <c r="K368">
        <v>219</v>
      </c>
      <c r="L368">
        <v>105.12</v>
      </c>
      <c r="M368">
        <v>2240.06</v>
      </c>
      <c r="N368">
        <v>69659</v>
      </c>
      <c r="O368">
        <v>903.66</v>
      </c>
      <c r="P368" s="1">
        <v>-5.0999999999999997E-2</v>
      </c>
      <c r="Q368">
        <f t="shared" si="25"/>
        <v>138</v>
      </c>
      <c r="R368">
        <f t="shared" si="26"/>
        <v>121</v>
      </c>
      <c r="S368" s="1">
        <f t="shared" si="27"/>
        <v>0.73188405797101452</v>
      </c>
      <c r="T368">
        <f t="shared" si="28"/>
        <v>1.38</v>
      </c>
      <c r="U368" t="str">
        <f t="shared" si="29"/>
        <v>Mar</v>
      </c>
    </row>
    <row r="369" spans="1:21">
      <c r="A369" s="2">
        <v>46124</v>
      </c>
      <c r="B369" t="s">
        <v>4</v>
      </c>
      <c r="C369" t="s">
        <v>36</v>
      </c>
      <c r="D369" t="s">
        <v>10</v>
      </c>
      <c r="E369" t="s">
        <v>42</v>
      </c>
      <c r="F369" t="s">
        <v>49</v>
      </c>
      <c r="G369">
        <v>107</v>
      </c>
      <c r="H369">
        <v>27</v>
      </c>
      <c r="I369">
        <v>10</v>
      </c>
      <c r="J369">
        <v>66</v>
      </c>
      <c r="K369">
        <v>409</v>
      </c>
      <c r="L369">
        <v>84.85</v>
      </c>
      <c r="M369">
        <v>2023.33</v>
      </c>
      <c r="N369">
        <v>72542</v>
      </c>
      <c r="O369">
        <v>1651.77</v>
      </c>
      <c r="P369" s="1">
        <v>0.14699999999999999</v>
      </c>
      <c r="Q369">
        <f t="shared" si="25"/>
        <v>134</v>
      </c>
      <c r="R369">
        <f t="shared" si="26"/>
        <v>93</v>
      </c>
      <c r="S369" s="1">
        <f t="shared" si="27"/>
        <v>0.92537313432835822</v>
      </c>
      <c r="T369">
        <f t="shared" si="28"/>
        <v>1.34</v>
      </c>
      <c r="U369" t="str">
        <f t="shared" si="29"/>
        <v>Apr</v>
      </c>
    </row>
    <row r="370" spans="1:21">
      <c r="A370" s="2">
        <v>46089</v>
      </c>
      <c r="B370" t="s">
        <v>4</v>
      </c>
      <c r="C370" t="s">
        <v>46</v>
      </c>
      <c r="D370" t="s">
        <v>10</v>
      </c>
      <c r="E370" t="s">
        <v>38</v>
      </c>
      <c r="F370" t="s">
        <v>33</v>
      </c>
      <c r="G370">
        <v>54</v>
      </c>
      <c r="H370">
        <v>51</v>
      </c>
      <c r="I370">
        <v>51</v>
      </c>
      <c r="J370">
        <v>67</v>
      </c>
      <c r="K370">
        <v>416</v>
      </c>
      <c r="L370">
        <v>106.2</v>
      </c>
      <c r="M370">
        <v>2190.4699999999998</v>
      </c>
      <c r="N370">
        <v>67725</v>
      </c>
      <c r="O370">
        <v>1663.83</v>
      </c>
      <c r="P370" s="1">
        <v>0.96099999999999997</v>
      </c>
      <c r="Q370">
        <f t="shared" si="25"/>
        <v>105</v>
      </c>
      <c r="R370">
        <f t="shared" si="26"/>
        <v>118</v>
      </c>
      <c r="S370" s="1">
        <f t="shared" si="27"/>
        <v>0.51428571428571423</v>
      </c>
      <c r="T370">
        <f t="shared" si="28"/>
        <v>1.05</v>
      </c>
      <c r="U370" t="str">
        <f t="shared" si="29"/>
        <v>Mar</v>
      </c>
    </row>
    <row r="371" spans="1:21">
      <c r="A371" s="2">
        <v>46118</v>
      </c>
      <c r="B371" t="s">
        <v>4</v>
      </c>
      <c r="C371" t="s">
        <v>40</v>
      </c>
      <c r="D371" t="s">
        <v>10</v>
      </c>
      <c r="E371" t="s">
        <v>37</v>
      </c>
      <c r="F371" t="s">
        <v>49</v>
      </c>
      <c r="G371">
        <v>40</v>
      </c>
      <c r="H371">
        <v>2</v>
      </c>
      <c r="I371">
        <v>79</v>
      </c>
      <c r="J371">
        <v>50</v>
      </c>
      <c r="K371">
        <v>239</v>
      </c>
      <c r="L371">
        <v>84.31</v>
      </c>
      <c r="M371">
        <v>2169.4899999999998</v>
      </c>
      <c r="N371">
        <v>75788</v>
      </c>
      <c r="O371">
        <v>1065.42</v>
      </c>
      <c r="P371" s="1">
        <v>0.14499999999999999</v>
      </c>
      <c r="Q371">
        <f t="shared" si="25"/>
        <v>42</v>
      </c>
      <c r="R371">
        <f t="shared" si="26"/>
        <v>52</v>
      </c>
      <c r="S371" s="1">
        <f t="shared" si="27"/>
        <v>-0.88095238095238093</v>
      </c>
      <c r="T371">
        <f t="shared" si="28"/>
        <v>0.42</v>
      </c>
      <c r="U371" t="str">
        <f t="shared" si="29"/>
        <v>Apr</v>
      </c>
    </row>
    <row r="372" spans="1:21">
      <c r="A372" s="2">
        <v>46125</v>
      </c>
      <c r="B372" t="s">
        <v>4</v>
      </c>
      <c r="C372" t="s">
        <v>36</v>
      </c>
      <c r="D372" t="s">
        <v>5</v>
      </c>
      <c r="E372" t="s">
        <v>35</v>
      </c>
      <c r="F372" t="s">
        <v>49</v>
      </c>
      <c r="G372">
        <v>58</v>
      </c>
      <c r="H372">
        <v>41</v>
      </c>
      <c r="I372">
        <v>43</v>
      </c>
      <c r="J372">
        <v>154</v>
      </c>
      <c r="K372">
        <v>382</v>
      </c>
      <c r="L372">
        <v>89.08</v>
      </c>
      <c r="M372">
        <v>2074.36</v>
      </c>
      <c r="N372">
        <v>64456</v>
      </c>
      <c r="O372">
        <v>1559.83</v>
      </c>
      <c r="P372" s="1">
        <v>9.8000000000000004E-2</v>
      </c>
      <c r="Q372">
        <f t="shared" si="25"/>
        <v>99</v>
      </c>
      <c r="R372">
        <f t="shared" si="26"/>
        <v>195</v>
      </c>
      <c r="S372" s="1">
        <f t="shared" si="27"/>
        <v>0.56565656565656564</v>
      </c>
      <c r="T372">
        <f t="shared" si="28"/>
        <v>0.99</v>
      </c>
      <c r="U372" t="str">
        <f t="shared" si="29"/>
        <v>Apr</v>
      </c>
    </row>
    <row r="373" spans="1:21">
      <c r="A373" s="2">
        <v>46090</v>
      </c>
      <c r="B373" t="s">
        <v>4</v>
      </c>
      <c r="C373" t="s">
        <v>43</v>
      </c>
      <c r="D373" t="s">
        <v>10</v>
      </c>
      <c r="E373" t="s">
        <v>42</v>
      </c>
      <c r="F373" t="s">
        <v>33</v>
      </c>
      <c r="G373">
        <v>74</v>
      </c>
      <c r="H373">
        <v>0</v>
      </c>
      <c r="I373">
        <v>72</v>
      </c>
      <c r="J373">
        <v>70</v>
      </c>
      <c r="K373">
        <v>56</v>
      </c>
      <c r="L373">
        <v>93.93</v>
      </c>
      <c r="M373">
        <v>2223.48</v>
      </c>
      <c r="N373">
        <v>64944</v>
      </c>
      <c r="O373">
        <v>1130.8399999999999</v>
      </c>
      <c r="P373" s="1">
        <v>0.189</v>
      </c>
      <c r="Q373">
        <f t="shared" si="25"/>
        <v>74</v>
      </c>
      <c r="R373">
        <f t="shared" si="26"/>
        <v>70</v>
      </c>
      <c r="S373" s="1">
        <f t="shared" si="27"/>
        <v>2.7027027027027029E-2</v>
      </c>
      <c r="T373">
        <f t="shared" si="28"/>
        <v>0.74</v>
      </c>
      <c r="U373" t="str">
        <f t="shared" si="29"/>
        <v>Mar</v>
      </c>
    </row>
    <row r="374" spans="1:21">
      <c r="A374" s="2">
        <v>46086</v>
      </c>
      <c r="B374" t="s">
        <v>6</v>
      </c>
      <c r="C374" t="s">
        <v>40</v>
      </c>
      <c r="D374" t="s">
        <v>7</v>
      </c>
      <c r="E374" t="s">
        <v>35</v>
      </c>
      <c r="F374" t="s">
        <v>49</v>
      </c>
      <c r="G374">
        <v>73</v>
      </c>
      <c r="H374">
        <v>32</v>
      </c>
      <c r="I374">
        <v>83</v>
      </c>
      <c r="J374">
        <v>105</v>
      </c>
      <c r="K374">
        <v>81</v>
      </c>
      <c r="L374">
        <v>120.14</v>
      </c>
      <c r="M374">
        <v>2023.87</v>
      </c>
      <c r="N374">
        <v>66168</v>
      </c>
      <c r="O374">
        <v>972.91</v>
      </c>
      <c r="P374" s="1">
        <v>0.374</v>
      </c>
      <c r="Q374">
        <f t="shared" si="25"/>
        <v>105</v>
      </c>
      <c r="R374">
        <f t="shared" si="26"/>
        <v>137</v>
      </c>
      <c r="S374" s="1">
        <f t="shared" si="27"/>
        <v>0.20952380952380953</v>
      </c>
      <c r="T374">
        <f t="shared" si="28"/>
        <v>1.05</v>
      </c>
      <c r="U374" t="str">
        <f t="shared" si="29"/>
        <v>Mar</v>
      </c>
    </row>
    <row r="375" spans="1:21">
      <c r="A375" s="2">
        <v>46073</v>
      </c>
      <c r="B375" t="s">
        <v>6</v>
      </c>
      <c r="C375" t="s">
        <v>48</v>
      </c>
      <c r="D375" t="s">
        <v>5</v>
      </c>
      <c r="E375" t="s">
        <v>32</v>
      </c>
      <c r="F375" t="s">
        <v>49</v>
      </c>
      <c r="G375">
        <v>87</v>
      </c>
      <c r="H375">
        <v>18</v>
      </c>
      <c r="I375">
        <v>20</v>
      </c>
      <c r="J375">
        <v>95</v>
      </c>
      <c r="K375">
        <v>361</v>
      </c>
      <c r="L375">
        <v>107.75</v>
      </c>
      <c r="M375">
        <v>1857.89</v>
      </c>
      <c r="N375">
        <v>67129</v>
      </c>
      <c r="O375">
        <v>1241.6300000000001</v>
      </c>
      <c r="P375" s="1">
        <v>0.92600000000000005</v>
      </c>
      <c r="Q375">
        <f t="shared" si="25"/>
        <v>105</v>
      </c>
      <c r="R375">
        <f t="shared" si="26"/>
        <v>113</v>
      </c>
      <c r="S375" s="1">
        <f t="shared" si="27"/>
        <v>0.80952380952380953</v>
      </c>
      <c r="T375">
        <f t="shared" si="28"/>
        <v>1.05</v>
      </c>
      <c r="U375" t="str">
        <f t="shared" si="29"/>
        <v>Feb</v>
      </c>
    </row>
    <row r="376" spans="1:21">
      <c r="A376" s="2">
        <v>46107</v>
      </c>
      <c r="B376" t="s">
        <v>6</v>
      </c>
      <c r="C376" t="s">
        <v>43</v>
      </c>
      <c r="D376" t="s">
        <v>9</v>
      </c>
      <c r="E376" t="s">
        <v>38</v>
      </c>
      <c r="F376" t="s">
        <v>45</v>
      </c>
      <c r="G376">
        <v>92</v>
      </c>
      <c r="H376">
        <v>25</v>
      </c>
      <c r="I376">
        <v>45</v>
      </c>
      <c r="J376">
        <v>74</v>
      </c>
      <c r="K376">
        <v>144</v>
      </c>
      <c r="L376">
        <v>124.1</v>
      </c>
      <c r="M376">
        <v>1887.97</v>
      </c>
      <c r="N376">
        <v>75562</v>
      </c>
      <c r="O376">
        <v>1251.76</v>
      </c>
      <c r="P376" s="1">
        <v>-0.77100000000000002</v>
      </c>
      <c r="Q376">
        <f t="shared" si="25"/>
        <v>117</v>
      </c>
      <c r="R376">
        <f t="shared" si="26"/>
        <v>99</v>
      </c>
      <c r="S376" s="1">
        <f t="shared" si="27"/>
        <v>0.61538461538461542</v>
      </c>
      <c r="T376">
        <f t="shared" si="28"/>
        <v>1.17</v>
      </c>
      <c r="U376" t="str">
        <f t="shared" si="29"/>
        <v>Mar</v>
      </c>
    </row>
    <row r="377" spans="1:21">
      <c r="A377" s="2">
        <v>46123</v>
      </c>
      <c r="B377" t="s">
        <v>6</v>
      </c>
      <c r="C377" t="s">
        <v>40</v>
      </c>
      <c r="D377" t="s">
        <v>9</v>
      </c>
      <c r="E377" t="s">
        <v>37</v>
      </c>
      <c r="F377" t="s">
        <v>49</v>
      </c>
      <c r="G377">
        <v>105</v>
      </c>
      <c r="H377">
        <v>26</v>
      </c>
      <c r="I377">
        <v>57</v>
      </c>
      <c r="J377">
        <v>15</v>
      </c>
      <c r="K377">
        <v>91</v>
      </c>
      <c r="L377">
        <v>128.79</v>
      </c>
      <c r="M377">
        <v>2480.5</v>
      </c>
      <c r="N377">
        <v>75394</v>
      </c>
      <c r="O377">
        <v>1053.71</v>
      </c>
      <c r="P377" s="1">
        <v>-0.23</v>
      </c>
      <c r="Q377">
        <f t="shared" si="25"/>
        <v>131</v>
      </c>
      <c r="R377">
        <f t="shared" si="26"/>
        <v>41</v>
      </c>
      <c r="S377" s="1">
        <f t="shared" si="27"/>
        <v>0.56488549618320616</v>
      </c>
      <c r="T377">
        <f t="shared" si="28"/>
        <v>1.31</v>
      </c>
      <c r="U377" t="str">
        <f t="shared" si="29"/>
        <v>Apr</v>
      </c>
    </row>
    <row r="378" spans="1:21">
      <c r="A378" s="2">
        <v>46073</v>
      </c>
      <c r="B378" t="s">
        <v>6</v>
      </c>
      <c r="C378" t="s">
        <v>46</v>
      </c>
      <c r="D378" t="s">
        <v>9</v>
      </c>
      <c r="E378" t="s">
        <v>32</v>
      </c>
      <c r="F378" t="s">
        <v>49</v>
      </c>
      <c r="G378">
        <v>100</v>
      </c>
      <c r="H378">
        <v>67</v>
      </c>
      <c r="I378">
        <v>3</v>
      </c>
      <c r="J378">
        <v>70</v>
      </c>
      <c r="K378">
        <v>429</v>
      </c>
      <c r="L378">
        <v>121.72</v>
      </c>
      <c r="M378">
        <v>2437.98</v>
      </c>
      <c r="N378">
        <v>64106</v>
      </c>
      <c r="O378">
        <v>1259.58</v>
      </c>
      <c r="P378" s="1">
        <v>-0.76900000000000002</v>
      </c>
      <c r="Q378">
        <f t="shared" si="25"/>
        <v>167</v>
      </c>
      <c r="R378">
        <f t="shared" si="26"/>
        <v>137</v>
      </c>
      <c r="S378" s="1">
        <f t="shared" si="27"/>
        <v>0.98203592814371254</v>
      </c>
      <c r="T378">
        <f t="shared" si="28"/>
        <v>1.67</v>
      </c>
      <c r="U378" t="str">
        <f t="shared" si="29"/>
        <v>Feb</v>
      </c>
    </row>
    <row r="379" spans="1:21">
      <c r="A379" s="2">
        <v>46073</v>
      </c>
      <c r="B379" t="s">
        <v>4</v>
      </c>
      <c r="C379" t="s">
        <v>44</v>
      </c>
      <c r="D379" t="s">
        <v>7</v>
      </c>
      <c r="E379" t="s">
        <v>32</v>
      </c>
      <c r="F379" t="s">
        <v>33</v>
      </c>
      <c r="G379">
        <v>74</v>
      </c>
      <c r="H379">
        <v>23</v>
      </c>
      <c r="I379">
        <v>45</v>
      </c>
      <c r="J379">
        <v>46</v>
      </c>
      <c r="K379">
        <v>296</v>
      </c>
      <c r="L379">
        <v>93.57</v>
      </c>
      <c r="M379">
        <v>2230.44</v>
      </c>
      <c r="N379">
        <v>74766</v>
      </c>
      <c r="O379">
        <v>1075.3499999999999</v>
      </c>
      <c r="P379" s="1">
        <v>-0.54800000000000004</v>
      </c>
      <c r="Q379">
        <f t="shared" si="25"/>
        <v>97</v>
      </c>
      <c r="R379">
        <f t="shared" si="26"/>
        <v>69</v>
      </c>
      <c r="S379" s="1">
        <f t="shared" si="27"/>
        <v>0.53608247422680411</v>
      </c>
      <c r="T379">
        <f t="shared" si="28"/>
        <v>0.97</v>
      </c>
      <c r="U379" t="str">
        <f t="shared" si="29"/>
        <v>Feb</v>
      </c>
    </row>
    <row r="380" spans="1:21">
      <c r="A380" s="2">
        <v>46074</v>
      </c>
      <c r="B380" t="s">
        <v>6</v>
      </c>
      <c r="C380" t="s">
        <v>36</v>
      </c>
      <c r="D380" t="s">
        <v>5</v>
      </c>
      <c r="E380" t="s">
        <v>32</v>
      </c>
      <c r="F380" t="s">
        <v>45</v>
      </c>
      <c r="G380">
        <v>30</v>
      </c>
      <c r="H380">
        <v>15</v>
      </c>
      <c r="I380">
        <v>33</v>
      </c>
      <c r="J380">
        <v>105</v>
      </c>
      <c r="K380">
        <v>290</v>
      </c>
      <c r="L380">
        <v>107.05</v>
      </c>
      <c r="M380">
        <v>2339.4499999999998</v>
      </c>
      <c r="N380">
        <v>65401</v>
      </c>
      <c r="O380">
        <v>1200.1600000000001</v>
      </c>
      <c r="P380" s="1">
        <v>0.51400000000000001</v>
      </c>
      <c r="Q380">
        <f t="shared" si="25"/>
        <v>45</v>
      </c>
      <c r="R380">
        <f t="shared" si="26"/>
        <v>120</v>
      </c>
      <c r="S380" s="1">
        <f t="shared" si="27"/>
        <v>0.26666666666666666</v>
      </c>
      <c r="T380">
        <f t="shared" si="28"/>
        <v>0.45</v>
      </c>
      <c r="U380" t="str">
        <f t="shared" si="29"/>
        <v>Feb</v>
      </c>
    </row>
    <row r="381" spans="1:21">
      <c r="A381" s="2">
        <v>46099</v>
      </c>
      <c r="B381" t="s">
        <v>6</v>
      </c>
      <c r="C381" t="s">
        <v>40</v>
      </c>
      <c r="D381" t="s">
        <v>9</v>
      </c>
      <c r="E381" t="s">
        <v>37</v>
      </c>
      <c r="F381" t="s">
        <v>33</v>
      </c>
      <c r="G381">
        <v>8</v>
      </c>
      <c r="H381">
        <v>76</v>
      </c>
      <c r="I381">
        <v>20</v>
      </c>
      <c r="J381">
        <v>85</v>
      </c>
      <c r="K381">
        <v>428</v>
      </c>
      <c r="L381">
        <v>130.58000000000001</v>
      </c>
      <c r="M381">
        <v>2165.1999999999998</v>
      </c>
      <c r="N381">
        <v>70449</v>
      </c>
      <c r="O381">
        <v>1463.88</v>
      </c>
      <c r="P381" s="1">
        <v>0.33600000000000002</v>
      </c>
      <c r="Q381">
        <f t="shared" si="25"/>
        <v>84</v>
      </c>
      <c r="R381">
        <f t="shared" si="26"/>
        <v>161</v>
      </c>
      <c r="S381" s="1">
        <f t="shared" si="27"/>
        <v>0.76190476190476186</v>
      </c>
      <c r="T381">
        <f t="shared" si="28"/>
        <v>0.84</v>
      </c>
      <c r="U381" t="str">
        <f t="shared" si="29"/>
        <v>Mar</v>
      </c>
    </row>
    <row r="382" spans="1:21">
      <c r="A382" s="2">
        <v>46097</v>
      </c>
      <c r="B382" t="s">
        <v>6</v>
      </c>
      <c r="C382" t="s">
        <v>31</v>
      </c>
      <c r="D382" t="s">
        <v>11</v>
      </c>
      <c r="E382" t="s">
        <v>38</v>
      </c>
      <c r="F382" t="s">
        <v>45</v>
      </c>
      <c r="G382">
        <v>67</v>
      </c>
      <c r="H382">
        <v>46</v>
      </c>
      <c r="I382">
        <v>31</v>
      </c>
      <c r="J382">
        <v>4</v>
      </c>
      <c r="K382">
        <v>231</v>
      </c>
      <c r="L382">
        <v>82.6</v>
      </c>
      <c r="M382">
        <v>2207.14</v>
      </c>
      <c r="N382">
        <v>73255</v>
      </c>
      <c r="O382">
        <v>942.56</v>
      </c>
      <c r="P382" s="1">
        <v>-0.17299999999999999</v>
      </c>
      <c r="Q382">
        <f t="shared" si="25"/>
        <v>113</v>
      </c>
      <c r="R382">
        <f t="shared" si="26"/>
        <v>50</v>
      </c>
      <c r="S382" s="1">
        <f t="shared" si="27"/>
        <v>0.72566371681415931</v>
      </c>
      <c r="T382">
        <f t="shared" si="28"/>
        <v>1.1299999999999999</v>
      </c>
      <c r="U382" t="str">
        <f t="shared" si="29"/>
        <v>Mar</v>
      </c>
    </row>
    <row r="383" spans="1:21">
      <c r="A383" s="2">
        <v>46084</v>
      </c>
      <c r="B383" t="s">
        <v>4</v>
      </c>
      <c r="C383" t="s">
        <v>50</v>
      </c>
      <c r="D383" t="s">
        <v>11</v>
      </c>
      <c r="E383" t="s">
        <v>41</v>
      </c>
      <c r="F383" t="s">
        <v>33</v>
      </c>
      <c r="G383">
        <v>72</v>
      </c>
      <c r="H383">
        <v>6</v>
      </c>
      <c r="I383">
        <v>74</v>
      </c>
      <c r="J383">
        <v>114</v>
      </c>
      <c r="K383">
        <v>308</v>
      </c>
      <c r="L383">
        <v>117.3</v>
      </c>
      <c r="M383">
        <v>2440.63</v>
      </c>
      <c r="N383">
        <v>68077</v>
      </c>
      <c r="O383">
        <v>1700.79</v>
      </c>
      <c r="P383" s="1">
        <v>-8.0000000000000002E-3</v>
      </c>
      <c r="Q383">
        <f t="shared" si="25"/>
        <v>78</v>
      </c>
      <c r="R383">
        <f t="shared" si="26"/>
        <v>120</v>
      </c>
      <c r="S383" s="1">
        <f t="shared" si="27"/>
        <v>5.128205128205128E-2</v>
      </c>
      <c r="T383">
        <f t="shared" si="28"/>
        <v>0.78</v>
      </c>
      <c r="U383" t="str">
        <f t="shared" si="29"/>
        <v>Mar</v>
      </c>
    </row>
    <row r="384" spans="1:21">
      <c r="A384" s="2">
        <v>46110</v>
      </c>
      <c r="B384" t="s">
        <v>4</v>
      </c>
      <c r="C384" t="s">
        <v>40</v>
      </c>
      <c r="D384" t="s">
        <v>9</v>
      </c>
      <c r="E384" t="s">
        <v>38</v>
      </c>
      <c r="F384" t="s">
        <v>49</v>
      </c>
      <c r="G384">
        <v>21</v>
      </c>
      <c r="H384">
        <v>73</v>
      </c>
      <c r="I384">
        <v>30</v>
      </c>
      <c r="J384">
        <v>58</v>
      </c>
      <c r="K384">
        <v>308</v>
      </c>
      <c r="L384">
        <v>85.36</v>
      </c>
      <c r="M384">
        <v>1939.6</v>
      </c>
      <c r="N384">
        <v>66365</v>
      </c>
      <c r="O384">
        <v>941.73</v>
      </c>
      <c r="P384" s="1">
        <v>-1.6E-2</v>
      </c>
      <c r="Q384">
        <f t="shared" si="25"/>
        <v>94</v>
      </c>
      <c r="R384">
        <f t="shared" si="26"/>
        <v>131</v>
      </c>
      <c r="S384" s="1">
        <f t="shared" si="27"/>
        <v>0.68085106382978722</v>
      </c>
      <c r="T384">
        <f t="shared" si="28"/>
        <v>0.94</v>
      </c>
      <c r="U384" t="str">
        <f t="shared" si="29"/>
        <v>Mar</v>
      </c>
    </row>
    <row r="385" spans="1:21">
      <c r="A385" s="2">
        <v>46122</v>
      </c>
      <c r="B385" t="s">
        <v>6</v>
      </c>
      <c r="C385" t="s">
        <v>51</v>
      </c>
      <c r="D385" t="s">
        <v>9</v>
      </c>
      <c r="E385" t="s">
        <v>35</v>
      </c>
      <c r="F385" t="s">
        <v>49</v>
      </c>
      <c r="G385">
        <v>113</v>
      </c>
      <c r="H385">
        <v>16</v>
      </c>
      <c r="I385">
        <v>51</v>
      </c>
      <c r="J385">
        <v>125</v>
      </c>
      <c r="K385">
        <v>351</v>
      </c>
      <c r="L385">
        <v>127.91</v>
      </c>
      <c r="M385">
        <v>2159.6799999999998</v>
      </c>
      <c r="N385">
        <v>69050</v>
      </c>
      <c r="O385">
        <v>1399.97</v>
      </c>
      <c r="P385" s="1">
        <v>-6.8000000000000005E-2</v>
      </c>
      <c r="Q385">
        <f t="shared" si="25"/>
        <v>129</v>
      </c>
      <c r="R385">
        <f t="shared" si="26"/>
        <v>141</v>
      </c>
      <c r="S385" s="1">
        <f t="shared" si="27"/>
        <v>0.60465116279069764</v>
      </c>
      <c r="T385">
        <f t="shared" si="28"/>
        <v>1.29</v>
      </c>
      <c r="U385" t="str">
        <f t="shared" si="29"/>
        <v>Apr</v>
      </c>
    </row>
    <row r="386" spans="1:21">
      <c r="A386" s="2">
        <v>46114</v>
      </c>
      <c r="B386" t="s">
        <v>4</v>
      </c>
      <c r="C386" t="s">
        <v>50</v>
      </c>
      <c r="D386" t="s">
        <v>7</v>
      </c>
      <c r="E386" t="s">
        <v>47</v>
      </c>
      <c r="F386" t="s">
        <v>45</v>
      </c>
      <c r="G386">
        <v>40</v>
      </c>
      <c r="H386">
        <v>52</v>
      </c>
      <c r="I386">
        <v>49</v>
      </c>
      <c r="J386">
        <v>6</v>
      </c>
      <c r="K386">
        <v>362</v>
      </c>
      <c r="L386">
        <v>82.36</v>
      </c>
      <c r="M386">
        <v>1866.98</v>
      </c>
      <c r="N386">
        <v>74294</v>
      </c>
      <c r="O386">
        <v>1682.94</v>
      </c>
      <c r="P386" s="1">
        <v>9.9000000000000005E-2</v>
      </c>
      <c r="Q386">
        <f t="shared" si="25"/>
        <v>92</v>
      </c>
      <c r="R386">
        <f t="shared" si="26"/>
        <v>58</v>
      </c>
      <c r="S386" s="1">
        <f t="shared" si="27"/>
        <v>0.46739130434782611</v>
      </c>
      <c r="T386">
        <f t="shared" si="28"/>
        <v>0.92</v>
      </c>
      <c r="U386" t="str">
        <f t="shared" si="29"/>
        <v>Apr</v>
      </c>
    </row>
    <row r="387" spans="1:21">
      <c r="A387" s="2">
        <v>46072</v>
      </c>
      <c r="B387" t="s">
        <v>4</v>
      </c>
      <c r="C387" t="s">
        <v>51</v>
      </c>
      <c r="D387" t="s">
        <v>5</v>
      </c>
      <c r="E387" t="s">
        <v>37</v>
      </c>
      <c r="F387" t="s">
        <v>49</v>
      </c>
      <c r="G387">
        <v>117</v>
      </c>
      <c r="H387">
        <v>46</v>
      </c>
      <c r="I387">
        <v>17</v>
      </c>
      <c r="J387">
        <v>12</v>
      </c>
      <c r="K387">
        <v>158</v>
      </c>
      <c r="L387">
        <v>122.03</v>
      </c>
      <c r="M387">
        <v>1965</v>
      </c>
      <c r="N387">
        <v>70211</v>
      </c>
      <c r="O387">
        <v>947.74</v>
      </c>
      <c r="P387" s="1">
        <v>0.47599999999999998</v>
      </c>
      <c r="Q387">
        <f t="shared" ref="Q387:Q450" si="30">G387+H387</f>
        <v>163</v>
      </c>
      <c r="R387">
        <f t="shared" ref="R387:R450" si="31">J387+H387</f>
        <v>58</v>
      </c>
      <c r="S387" s="1">
        <f t="shared" ref="S387:S450" si="32">(Q387-I387)/(Q387)</f>
        <v>0.89570552147239269</v>
      </c>
      <c r="T387">
        <f t="shared" ref="T387:T450" si="33">Q387/100</f>
        <v>1.63</v>
      </c>
      <c r="U387" t="str">
        <f t="shared" ref="U387:U450" si="34">TEXT(A387,"mmm")</f>
        <v>Feb</v>
      </c>
    </row>
    <row r="388" spans="1:21">
      <c r="A388" s="2">
        <v>46114</v>
      </c>
      <c r="B388" t="s">
        <v>4</v>
      </c>
      <c r="C388" t="s">
        <v>50</v>
      </c>
      <c r="D388" t="s">
        <v>7</v>
      </c>
      <c r="E388" t="s">
        <v>41</v>
      </c>
      <c r="F388" t="s">
        <v>33</v>
      </c>
      <c r="G388">
        <v>65</v>
      </c>
      <c r="H388">
        <v>53</v>
      </c>
      <c r="I388">
        <v>19</v>
      </c>
      <c r="J388">
        <v>17</v>
      </c>
      <c r="K388">
        <v>95</v>
      </c>
      <c r="L388">
        <v>91.16</v>
      </c>
      <c r="M388">
        <v>2341.29</v>
      </c>
      <c r="N388">
        <v>73789</v>
      </c>
      <c r="O388">
        <v>1089.5</v>
      </c>
      <c r="P388" s="1">
        <v>3.5999999999999997E-2</v>
      </c>
      <c r="Q388">
        <f t="shared" si="30"/>
        <v>118</v>
      </c>
      <c r="R388">
        <f t="shared" si="31"/>
        <v>70</v>
      </c>
      <c r="S388" s="1">
        <f t="shared" si="32"/>
        <v>0.83898305084745761</v>
      </c>
      <c r="T388">
        <f t="shared" si="33"/>
        <v>1.18</v>
      </c>
      <c r="U388" t="str">
        <f t="shared" si="34"/>
        <v>Apr</v>
      </c>
    </row>
    <row r="389" spans="1:21">
      <c r="A389" s="2">
        <v>46106</v>
      </c>
      <c r="B389" t="s">
        <v>6</v>
      </c>
      <c r="C389" t="s">
        <v>44</v>
      </c>
      <c r="D389" t="s">
        <v>5</v>
      </c>
      <c r="E389" t="s">
        <v>38</v>
      </c>
      <c r="F389" t="s">
        <v>33</v>
      </c>
      <c r="G389">
        <v>69</v>
      </c>
      <c r="H389">
        <v>55</v>
      </c>
      <c r="I389">
        <v>3</v>
      </c>
      <c r="J389">
        <v>12</v>
      </c>
      <c r="K389">
        <v>333</v>
      </c>
      <c r="L389">
        <v>88.08</v>
      </c>
      <c r="M389">
        <v>2477.15</v>
      </c>
      <c r="N389">
        <v>65372</v>
      </c>
      <c r="O389">
        <v>1216.23</v>
      </c>
      <c r="P389" s="1">
        <v>-0.35399999999999998</v>
      </c>
      <c r="Q389">
        <f t="shared" si="30"/>
        <v>124</v>
      </c>
      <c r="R389">
        <f t="shared" si="31"/>
        <v>67</v>
      </c>
      <c r="S389" s="1">
        <f t="shared" si="32"/>
        <v>0.97580645161290325</v>
      </c>
      <c r="T389">
        <f t="shared" si="33"/>
        <v>1.24</v>
      </c>
      <c r="U389" t="str">
        <f t="shared" si="34"/>
        <v>Mar</v>
      </c>
    </row>
    <row r="390" spans="1:21">
      <c r="A390" s="2">
        <v>46081</v>
      </c>
      <c r="B390" t="s">
        <v>4</v>
      </c>
      <c r="C390" t="s">
        <v>46</v>
      </c>
      <c r="D390" t="s">
        <v>10</v>
      </c>
      <c r="E390" t="s">
        <v>37</v>
      </c>
      <c r="F390" t="s">
        <v>45</v>
      </c>
      <c r="G390">
        <v>74</v>
      </c>
      <c r="H390">
        <v>77</v>
      </c>
      <c r="I390">
        <v>26</v>
      </c>
      <c r="J390">
        <v>54</v>
      </c>
      <c r="K390">
        <v>133</v>
      </c>
      <c r="L390">
        <v>116.34</v>
      </c>
      <c r="M390">
        <v>2056.39</v>
      </c>
      <c r="N390">
        <v>66872</v>
      </c>
      <c r="O390">
        <v>1269.45</v>
      </c>
      <c r="P390" s="1">
        <v>0.34200000000000003</v>
      </c>
      <c r="Q390">
        <f t="shared" si="30"/>
        <v>151</v>
      </c>
      <c r="R390">
        <f t="shared" si="31"/>
        <v>131</v>
      </c>
      <c r="S390" s="1">
        <f t="shared" si="32"/>
        <v>0.82781456953642385</v>
      </c>
      <c r="T390">
        <f t="shared" si="33"/>
        <v>1.51</v>
      </c>
      <c r="U390" t="str">
        <f t="shared" si="34"/>
        <v>Feb</v>
      </c>
    </row>
    <row r="391" spans="1:21">
      <c r="A391" s="2">
        <v>46070</v>
      </c>
      <c r="B391" t="s">
        <v>6</v>
      </c>
      <c r="C391" t="s">
        <v>40</v>
      </c>
      <c r="D391" t="s">
        <v>5</v>
      </c>
      <c r="E391" t="s">
        <v>42</v>
      </c>
      <c r="F391" t="s">
        <v>33</v>
      </c>
      <c r="G391">
        <v>100</v>
      </c>
      <c r="H391">
        <v>22</v>
      </c>
      <c r="I391">
        <v>12</v>
      </c>
      <c r="J391">
        <v>109</v>
      </c>
      <c r="K391">
        <v>21</v>
      </c>
      <c r="L391">
        <v>119.4</v>
      </c>
      <c r="M391">
        <v>2229.4299999999998</v>
      </c>
      <c r="N391">
        <v>74231</v>
      </c>
      <c r="O391">
        <v>1362.74</v>
      </c>
      <c r="P391" s="1">
        <v>-0.123</v>
      </c>
      <c r="Q391">
        <f t="shared" si="30"/>
        <v>122</v>
      </c>
      <c r="R391">
        <f t="shared" si="31"/>
        <v>131</v>
      </c>
      <c r="S391" s="1">
        <f t="shared" si="32"/>
        <v>0.90163934426229508</v>
      </c>
      <c r="T391">
        <f t="shared" si="33"/>
        <v>1.22</v>
      </c>
      <c r="U391" t="str">
        <f t="shared" si="34"/>
        <v>Feb</v>
      </c>
    </row>
    <row r="392" spans="1:21">
      <c r="A392" s="2">
        <v>46080</v>
      </c>
      <c r="B392" t="s">
        <v>6</v>
      </c>
      <c r="C392" t="s">
        <v>43</v>
      </c>
      <c r="D392" t="s">
        <v>10</v>
      </c>
      <c r="E392" t="s">
        <v>42</v>
      </c>
      <c r="F392" t="s">
        <v>33</v>
      </c>
      <c r="G392">
        <v>111</v>
      </c>
      <c r="H392">
        <v>8</v>
      </c>
      <c r="I392">
        <v>61</v>
      </c>
      <c r="J392">
        <v>150</v>
      </c>
      <c r="K392">
        <v>165</v>
      </c>
      <c r="L392">
        <v>102.38</v>
      </c>
      <c r="M392">
        <v>1996.33</v>
      </c>
      <c r="N392">
        <v>66092</v>
      </c>
      <c r="O392">
        <v>1469.26</v>
      </c>
      <c r="P392" s="1">
        <v>0.16300000000000001</v>
      </c>
      <c r="Q392">
        <f t="shared" si="30"/>
        <v>119</v>
      </c>
      <c r="R392">
        <f t="shared" si="31"/>
        <v>158</v>
      </c>
      <c r="S392" s="1">
        <f t="shared" si="32"/>
        <v>0.48739495798319327</v>
      </c>
      <c r="T392">
        <f t="shared" si="33"/>
        <v>1.19</v>
      </c>
      <c r="U392" t="str">
        <f t="shared" si="34"/>
        <v>Feb</v>
      </c>
    </row>
    <row r="393" spans="1:21">
      <c r="A393" s="2">
        <v>46122</v>
      </c>
      <c r="B393" t="s">
        <v>6</v>
      </c>
      <c r="C393" t="s">
        <v>34</v>
      </c>
      <c r="D393" t="s">
        <v>9</v>
      </c>
      <c r="E393" t="s">
        <v>35</v>
      </c>
      <c r="F393" t="s">
        <v>39</v>
      </c>
      <c r="G393">
        <v>117</v>
      </c>
      <c r="H393">
        <v>49</v>
      </c>
      <c r="I393">
        <v>27</v>
      </c>
      <c r="J393">
        <v>46</v>
      </c>
      <c r="K393">
        <v>300</v>
      </c>
      <c r="L393">
        <v>87.52</v>
      </c>
      <c r="M393">
        <v>2377.3200000000002</v>
      </c>
      <c r="N393">
        <v>70289</v>
      </c>
      <c r="O393">
        <v>1756.26</v>
      </c>
      <c r="P393" s="1">
        <v>-0.02</v>
      </c>
      <c r="Q393">
        <f t="shared" si="30"/>
        <v>166</v>
      </c>
      <c r="R393">
        <f t="shared" si="31"/>
        <v>95</v>
      </c>
      <c r="S393" s="1">
        <f t="shared" si="32"/>
        <v>0.83734939759036142</v>
      </c>
      <c r="T393">
        <f t="shared" si="33"/>
        <v>1.66</v>
      </c>
      <c r="U393" t="str">
        <f t="shared" si="34"/>
        <v>Apr</v>
      </c>
    </row>
    <row r="394" spans="1:21">
      <c r="A394" s="2">
        <v>46092</v>
      </c>
      <c r="B394" t="s">
        <v>6</v>
      </c>
      <c r="C394" t="s">
        <v>34</v>
      </c>
      <c r="D394" t="s">
        <v>11</v>
      </c>
      <c r="E394" t="s">
        <v>42</v>
      </c>
      <c r="F394" t="s">
        <v>49</v>
      </c>
      <c r="G394">
        <v>56</v>
      </c>
      <c r="H394">
        <v>6</v>
      </c>
      <c r="I394">
        <v>16</v>
      </c>
      <c r="J394">
        <v>22</v>
      </c>
      <c r="K394">
        <v>428</v>
      </c>
      <c r="L394">
        <v>101.03</v>
      </c>
      <c r="M394">
        <v>1870.31</v>
      </c>
      <c r="N394">
        <v>75880</v>
      </c>
      <c r="O394">
        <v>1550.05</v>
      </c>
      <c r="P394" s="1">
        <v>0.34599999999999997</v>
      </c>
      <c r="Q394">
        <f t="shared" si="30"/>
        <v>62</v>
      </c>
      <c r="R394">
        <f t="shared" si="31"/>
        <v>28</v>
      </c>
      <c r="S394" s="1">
        <f t="shared" si="32"/>
        <v>0.74193548387096775</v>
      </c>
      <c r="T394">
        <f t="shared" si="33"/>
        <v>0.62</v>
      </c>
      <c r="U394" t="str">
        <f t="shared" si="34"/>
        <v>Mar</v>
      </c>
    </row>
    <row r="395" spans="1:21">
      <c r="A395" s="2">
        <v>46095</v>
      </c>
      <c r="B395" t="s">
        <v>4</v>
      </c>
      <c r="C395" t="s">
        <v>34</v>
      </c>
      <c r="D395" t="s">
        <v>9</v>
      </c>
      <c r="E395" t="s">
        <v>42</v>
      </c>
      <c r="F395" t="s">
        <v>33</v>
      </c>
      <c r="G395">
        <v>79</v>
      </c>
      <c r="H395">
        <v>47</v>
      </c>
      <c r="I395">
        <v>17</v>
      </c>
      <c r="J395">
        <v>0</v>
      </c>
      <c r="K395">
        <v>344</v>
      </c>
      <c r="L395">
        <v>113.28</v>
      </c>
      <c r="M395">
        <v>1945.9</v>
      </c>
      <c r="N395">
        <v>66569</v>
      </c>
      <c r="O395">
        <v>1484.75</v>
      </c>
      <c r="P395" s="1">
        <v>0.52600000000000002</v>
      </c>
      <c r="Q395">
        <f t="shared" si="30"/>
        <v>126</v>
      </c>
      <c r="R395">
        <f t="shared" si="31"/>
        <v>47</v>
      </c>
      <c r="S395" s="1">
        <f t="shared" si="32"/>
        <v>0.86507936507936511</v>
      </c>
      <c r="T395">
        <f t="shared" si="33"/>
        <v>1.26</v>
      </c>
      <c r="U395" t="str">
        <f t="shared" si="34"/>
        <v>Mar</v>
      </c>
    </row>
    <row r="396" spans="1:21">
      <c r="A396" s="2">
        <v>46127</v>
      </c>
      <c r="B396" t="s">
        <v>4</v>
      </c>
      <c r="C396" t="s">
        <v>36</v>
      </c>
      <c r="D396" t="s">
        <v>10</v>
      </c>
      <c r="E396" t="s">
        <v>32</v>
      </c>
      <c r="F396" t="s">
        <v>45</v>
      </c>
      <c r="G396">
        <v>112</v>
      </c>
      <c r="H396">
        <v>40</v>
      </c>
      <c r="I396">
        <v>37</v>
      </c>
      <c r="J396">
        <v>6</v>
      </c>
      <c r="K396">
        <v>86</v>
      </c>
      <c r="L396">
        <v>95.48</v>
      </c>
      <c r="M396">
        <v>1995.52</v>
      </c>
      <c r="N396">
        <v>75176</v>
      </c>
      <c r="O396">
        <v>1470.85</v>
      </c>
      <c r="P396" s="1">
        <v>-0.94299999999999995</v>
      </c>
      <c r="Q396">
        <f t="shared" si="30"/>
        <v>152</v>
      </c>
      <c r="R396">
        <f t="shared" si="31"/>
        <v>46</v>
      </c>
      <c r="S396" s="1">
        <f t="shared" si="32"/>
        <v>0.75657894736842102</v>
      </c>
      <c r="T396">
        <f t="shared" si="33"/>
        <v>1.52</v>
      </c>
      <c r="U396" t="str">
        <f t="shared" si="34"/>
        <v>Apr</v>
      </c>
    </row>
    <row r="397" spans="1:21">
      <c r="A397" s="2">
        <v>46123</v>
      </c>
      <c r="B397" t="s">
        <v>6</v>
      </c>
      <c r="C397" t="s">
        <v>34</v>
      </c>
      <c r="D397" t="s">
        <v>10</v>
      </c>
      <c r="E397" t="s">
        <v>35</v>
      </c>
      <c r="F397" t="s">
        <v>49</v>
      </c>
      <c r="G397">
        <v>96</v>
      </c>
      <c r="H397">
        <v>63</v>
      </c>
      <c r="I397">
        <v>25</v>
      </c>
      <c r="J397">
        <v>66</v>
      </c>
      <c r="K397">
        <v>338</v>
      </c>
      <c r="L397">
        <v>91.96</v>
      </c>
      <c r="M397">
        <v>2427.85</v>
      </c>
      <c r="N397">
        <v>75868</v>
      </c>
      <c r="O397">
        <v>1452.18</v>
      </c>
      <c r="P397" s="1">
        <v>2.1000000000000001E-2</v>
      </c>
      <c r="Q397">
        <f t="shared" si="30"/>
        <v>159</v>
      </c>
      <c r="R397">
        <f t="shared" si="31"/>
        <v>129</v>
      </c>
      <c r="S397" s="1">
        <f t="shared" si="32"/>
        <v>0.84276729559748431</v>
      </c>
      <c r="T397">
        <f t="shared" si="33"/>
        <v>1.59</v>
      </c>
      <c r="U397" t="str">
        <f t="shared" si="34"/>
        <v>Apr</v>
      </c>
    </row>
    <row r="398" spans="1:21">
      <c r="A398" s="2">
        <v>46084</v>
      </c>
      <c r="B398" t="s">
        <v>4</v>
      </c>
      <c r="C398" t="s">
        <v>34</v>
      </c>
      <c r="D398" t="s">
        <v>5</v>
      </c>
      <c r="E398" t="s">
        <v>32</v>
      </c>
      <c r="F398" t="s">
        <v>45</v>
      </c>
      <c r="G398">
        <v>19</v>
      </c>
      <c r="H398">
        <v>28</v>
      </c>
      <c r="I398">
        <v>28</v>
      </c>
      <c r="J398">
        <v>92</v>
      </c>
      <c r="K398">
        <v>429</v>
      </c>
      <c r="L398">
        <v>102.95</v>
      </c>
      <c r="M398">
        <v>2241.71</v>
      </c>
      <c r="N398">
        <v>64808</v>
      </c>
      <c r="O398">
        <v>1560.56</v>
      </c>
      <c r="P398" s="1">
        <v>-0.73199999999999998</v>
      </c>
      <c r="Q398">
        <f t="shared" si="30"/>
        <v>47</v>
      </c>
      <c r="R398">
        <f t="shared" si="31"/>
        <v>120</v>
      </c>
      <c r="S398" s="1">
        <f t="shared" si="32"/>
        <v>0.40425531914893614</v>
      </c>
      <c r="T398">
        <f t="shared" si="33"/>
        <v>0.47</v>
      </c>
      <c r="U398" t="str">
        <f t="shared" si="34"/>
        <v>Mar</v>
      </c>
    </row>
    <row r="399" spans="1:21">
      <c r="A399" s="2">
        <v>46114</v>
      </c>
      <c r="B399" t="s">
        <v>4</v>
      </c>
      <c r="C399" t="s">
        <v>43</v>
      </c>
      <c r="D399" t="s">
        <v>5</v>
      </c>
      <c r="E399" t="s">
        <v>47</v>
      </c>
      <c r="F399" t="s">
        <v>33</v>
      </c>
      <c r="G399">
        <v>46</v>
      </c>
      <c r="H399">
        <v>58</v>
      </c>
      <c r="I399">
        <v>8</v>
      </c>
      <c r="J399">
        <v>89</v>
      </c>
      <c r="K399">
        <v>171</v>
      </c>
      <c r="L399">
        <v>107.09</v>
      </c>
      <c r="M399">
        <v>2007.06</v>
      </c>
      <c r="N399">
        <v>66297</v>
      </c>
      <c r="O399">
        <v>1605.65</v>
      </c>
      <c r="P399" s="1">
        <v>-0.51200000000000001</v>
      </c>
      <c r="Q399">
        <f t="shared" si="30"/>
        <v>104</v>
      </c>
      <c r="R399">
        <f t="shared" si="31"/>
        <v>147</v>
      </c>
      <c r="S399" s="1">
        <f t="shared" si="32"/>
        <v>0.92307692307692313</v>
      </c>
      <c r="T399">
        <f t="shared" si="33"/>
        <v>1.04</v>
      </c>
      <c r="U399" t="str">
        <f t="shared" si="34"/>
        <v>Apr</v>
      </c>
    </row>
    <row r="400" spans="1:21">
      <c r="A400" s="2">
        <v>46073</v>
      </c>
      <c r="B400" t="s">
        <v>4</v>
      </c>
      <c r="C400" t="s">
        <v>48</v>
      </c>
      <c r="D400" t="s">
        <v>7</v>
      </c>
      <c r="E400" t="s">
        <v>32</v>
      </c>
      <c r="F400" t="s">
        <v>45</v>
      </c>
      <c r="G400">
        <v>80</v>
      </c>
      <c r="H400">
        <v>55</v>
      </c>
      <c r="I400">
        <v>1</v>
      </c>
      <c r="J400">
        <v>119</v>
      </c>
      <c r="K400">
        <v>124</v>
      </c>
      <c r="L400">
        <v>134.05000000000001</v>
      </c>
      <c r="M400">
        <v>2394.42</v>
      </c>
      <c r="N400">
        <v>64578</v>
      </c>
      <c r="O400">
        <v>1099.25</v>
      </c>
      <c r="P400" s="1">
        <v>0.89700000000000002</v>
      </c>
      <c r="Q400">
        <f t="shared" si="30"/>
        <v>135</v>
      </c>
      <c r="R400">
        <f t="shared" si="31"/>
        <v>174</v>
      </c>
      <c r="S400" s="1">
        <f t="shared" si="32"/>
        <v>0.99259259259259258</v>
      </c>
      <c r="T400">
        <f t="shared" si="33"/>
        <v>1.35</v>
      </c>
      <c r="U400" t="str">
        <f t="shared" si="34"/>
        <v>Feb</v>
      </c>
    </row>
    <row r="401" spans="1:21">
      <c r="A401" s="2">
        <v>46108</v>
      </c>
      <c r="B401" t="s">
        <v>4</v>
      </c>
      <c r="C401" t="s">
        <v>43</v>
      </c>
      <c r="D401" t="s">
        <v>9</v>
      </c>
      <c r="E401" t="s">
        <v>38</v>
      </c>
      <c r="F401" t="s">
        <v>33</v>
      </c>
      <c r="G401">
        <v>71</v>
      </c>
      <c r="H401">
        <v>71</v>
      </c>
      <c r="I401">
        <v>63</v>
      </c>
      <c r="J401">
        <v>30</v>
      </c>
      <c r="K401">
        <v>231</v>
      </c>
      <c r="L401">
        <v>131.34</v>
      </c>
      <c r="M401">
        <v>1873.52</v>
      </c>
      <c r="N401">
        <v>65988</v>
      </c>
      <c r="O401">
        <v>1393.7</v>
      </c>
      <c r="P401" s="1">
        <v>0.23400000000000001</v>
      </c>
      <c r="Q401">
        <f t="shared" si="30"/>
        <v>142</v>
      </c>
      <c r="R401">
        <f t="shared" si="31"/>
        <v>101</v>
      </c>
      <c r="S401" s="1">
        <f t="shared" si="32"/>
        <v>0.55633802816901412</v>
      </c>
      <c r="T401">
        <f t="shared" si="33"/>
        <v>1.42</v>
      </c>
      <c r="U401" t="str">
        <f t="shared" si="34"/>
        <v>Mar</v>
      </c>
    </row>
    <row r="402" spans="1:21">
      <c r="A402" s="2">
        <v>46097</v>
      </c>
      <c r="B402" t="s">
        <v>6</v>
      </c>
      <c r="C402" t="s">
        <v>40</v>
      </c>
      <c r="D402" t="s">
        <v>11</v>
      </c>
      <c r="E402" t="s">
        <v>32</v>
      </c>
      <c r="F402" t="s">
        <v>39</v>
      </c>
      <c r="G402">
        <v>89</v>
      </c>
      <c r="H402">
        <v>43</v>
      </c>
      <c r="I402">
        <v>74</v>
      </c>
      <c r="J402">
        <v>148</v>
      </c>
      <c r="K402">
        <v>99</v>
      </c>
      <c r="L402">
        <v>87.13</v>
      </c>
      <c r="M402">
        <v>2351.0100000000002</v>
      </c>
      <c r="N402">
        <v>66983</v>
      </c>
      <c r="O402">
        <v>913.73</v>
      </c>
      <c r="P402" s="1">
        <v>-0.497</v>
      </c>
      <c r="Q402">
        <f t="shared" si="30"/>
        <v>132</v>
      </c>
      <c r="R402">
        <f t="shared" si="31"/>
        <v>191</v>
      </c>
      <c r="S402" s="1">
        <f t="shared" si="32"/>
        <v>0.43939393939393939</v>
      </c>
      <c r="T402">
        <f t="shared" si="33"/>
        <v>1.32</v>
      </c>
      <c r="U402" t="str">
        <f t="shared" si="34"/>
        <v>Mar</v>
      </c>
    </row>
    <row r="403" spans="1:21">
      <c r="A403" s="2">
        <v>46077</v>
      </c>
      <c r="B403" t="s">
        <v>4</v>
      </c>
      <c r="C403" t="s">
        <v>34</v>
      </c>
      <c r="D403" t="s">
        <v>5</v>
      </c>
      <c r="E403" t="s">
        <v>32</v>
      </c>
      <c r="F403" t="s">
        <v>39</v>
      </c>
      <c r="G403">
        <v>108</v>
      </c>
      <c r="H403">
        <v>62</v>
      </c>
      <c r="I403">
        <v>59</v>
      </c>
      <c r="J403">
        <v>142</v>
      </c>
      <c r="K403">
        <v>95</v>
      </c>
      <c r="L403">
        <v>112.37</v>
      </c>
      <c r="M403">
        <v>2116.29</v>
      </c>
      <c r="N403">
        <v>66636</v>
      </c>
      <c r="O403">
        <v>995.98</v>
      </c>
      <c r="P403" s="1">
        <v>-0.86799999999999999</v>
      </c>
      <c r="Q403">
        <f t="shared" si="30"/>
        <v>170</v>
      </c>
      <c r="R403">
        <f t="shared" si="31"/>
        <v>204</v>
      </c>
      <c r="S403" s="1">
        <f t="shared" si="32"/>
        <v>0.65294117647058825</v>
      </c>
      <c r="T403">
        <f t="shared" si="33"/>
        <v>1.7</v>
      </c>
      <c r="U403" t="str">
        <f t="shared" si="34"/>
        <v>Feb</v>
      </c>
    </row>
    <row r="404" spans="1:21">
      <c r="A404" s="2">
        <v>46112</v>
      </c>
      <c r="B404" t="s">
        <v>6</v>
      </c>
      <c r="C404" t="s">
        <v>34</v>
      </c>
      <c r="D404" t="s">
        <v>5</v>
      </c>
      <c r="E404" t="s">
        <v>38</v>
      </c>
      <c r="F404" t="s">
        <v>49</v>
      </c>
      <c r="G404">
        <v>78</v>
      </c>
      <c r="H404">
        <v>32</v>
      </c>
      <c r="I404">
        <v>24</v>
      </c>
      <c r="J404">
        <v>35</v>
      </c>
      <c r="K404">
        <v>155</v>
      </c>
      <c r="L404">
        <v>101.54</v>
      </c>
      <c r="M404">
        <v>1890.72</v>
      </c>
      <c r="N404">
        <v>74046</v>
      </c>
      <c r="O404">
        <v>1412.63</v>
      </c>
      <c r="P404" s="1">
        <v>-0.92700000000000005</v>
      </c>
      <c r="Q404">
        <f t="shared" si="30"/>
        <v>110</v>
      </c>
      <c r="R404">
        <f t="shared" si="31"/>
        <v>67</v>
      </c>
      <c r="S404" s="1">
        <f t="shared" si="32"/>
        <v>0.78181818181818186</v>
      </c>
      <c r="T404">
        <f t="shared" si="33"/>
        <v>1.1000000000000001</v>
      </c>
      <c r="U404" t="str">
        <f t="shared" si="34"/>
        <v>Mar</v>
      </c>
    </row>
    <row r="405" spans="1:21">
      <c r="A405" s="2">
        <v>46123</v>
      </c>
      <c r="B405" t="s">
        <v>4</v>
      </c>
      <c r="C405" t="s">
        <v>34</v>
      </c>
      <c r="D405" t="s">
        <v>7</v>
      </c>
      <c r="E405" t="s">
        <v>41</v>
      </c>
      <c r="F405" t="s">
        <v>39</v>
      </c>
      <c r="G405">
        <v>104</v>
      </c>
      <c r="H405">
        <v>17</v>
      </c>
      <c r="I405">
        <v>14</v>
      </c>
      <c r="J405">
        <v>159</v>
      </c>
      <c r="K405">
        <v>130</v>
      </c>
      <c r="L405">
        <v>133.86000000000001</v>
      </c>
      <c r="M405">
        <v>2057.65</v>
      </c>
      <c r="N405">
        <v>64261</v>
      </c>
      <c r="O405">
        <v>1772.8</v>
      </c>
      <c r="P405" s="1">
        <v>0.23899999999999999</v>
      </c>
      <c r="Q405">
        <f t="shared" si="30"/>
        <v>121</v>
      </c>
      <c r="R405">
        <f t="shared" si="31"/>
        <v>176</v>
      </c>
      <c r="S405" s="1">
        <f t="shared" si="32"/>
        <v>0.88429752066115708</v>
      </c>
      <c r="T405">
        <f t="shared" si="33"/>
        <v>1.21</v>
      </c>
      <c r="U405" t="str">
        <f t="shared" si="34"/>
        <v>Apr</v>
      </c>
    </row>
    <row r="406" spans="1:21">
      <c r="A406" s="2">
        <v>46107</v>
      </c>
      <c r="B406" t="s">
        <v>6</v>
      </c>
      <c r="C406" t="s">
        <v>48</v>
      </c>
      <c r="D406" t="s">
        <v>10</v>
      </c>
      <c r="E406" t="s">
        <v>41</v>
      </c>
      <c r="F406" t="s">
        <v>33</v>
      </c>
      <c r="G406">
        <v>12</v>
      </c>
      <c r="H406">
        <v>0</v>
      </c>
      <c r="I406">
        <v>78</v>
      </c>
      <c r="J406">
        <v>53</v>
      </c>
      <c r="K406">
        <v>52</v>
      </c>
      <c r="L406">
        <v>94.75</v>
      </c>
      <c r="M406">
        <v>2120.61</v>
      </c>
      <c r="N406">
        <v>67659</v>
      </c>
      <c r="O406">
        <v>1318.95</v>
      </c>
      <c r="P406" s="1">
        <v>1.7999999999999999E-2</v>
      </c>
      <c r="Q406">
        <f t="shared" si="30"/>
        <v>12</v>
      </c>
      <c r="R406">
        <f t="shared" si="31"/>
        <v>53</v>
      </c>
      <c r="S406" s="1">
        <f t="shared" si="32"/>
        <v>-5.5</v>
      </c>
      <c r="T406">
        <f t="shared" si="33"/>
        <v>0.12</v>
      </c>
      <c r="U406" t="str">
        <f t="shared" si="34"/>
        <v>Mar</v>
      </c>
    </row>
    <row r="407" spans="1:21">
      <c r="A407" s="2">
        <v>46082</v>
      </c>
      <c r="B407" t="s">
        <v>4</v>
      </c>
      <c r="C407" t="s">
        <v>40</v>
      </c>
      <c r="D407" t="s">
        <v>9</v>
      </c>
      <c r="E407" t="s">
        <v>47</v>
      </c>
      <c r="F407" t="s">
        <v>49</v>
      </c>
      <c r="G407">
        <v>102</v>
      </c>
      <c r="H407">
        <v>19</v>
      </c>
      <c r="I407">
        <v>0</v>
      </c>
      <c r="J407">
        <v>56</v>
      </c>
      <c r="K407">
        <v>190</v>
      </c>
      <c r="L407">
        <v>85.17</v>
      </c>
      <c r="M407">
        <v>2460.9</v>
      </c>
      <c r="N407">
        <v>66095</v>
      </c>
      <c r="O407">
        <v>1030.57</v>
      </c>
      <c r="P407" s="1">
        <v>0.17</v>
      </c>
      <c r="Q407">
        <f t="shared" si="30"/>
        <v>121</v>
      </c>
      <c r="R407">
        <f t="shared" si="31"/>
        <v>75</v>
      </c>
      <c r="S407" s="1">
        <f t="shared" si="32"/>
        <v>1</v>
      </c>
      <c r="T407">
        <f t="shared" si="33"/>
        <v>1.21</v>
      </c>
      <c r="U407" t="str">
        <f t="shared" si="34"/>
        <v>Mar</v>
      </c>
    </row>
    <row r="408" spans="1:21">
      <c r="A408" s="2">
        <v>46074</v>
      </c>
      <c r="B408" t="s">
        <v>6</v>
      </c>
      <c r="C408" t="s">
        <v>36</v>
      </c>
      <c r="D408" t="s">
        <v>7</v>
      </c>
      <c r="E408" t="s">
        <v>47</v>
      </c>
      <c r="F408" t="s">
        <v>45</v>
      </c>
      <c r="G408">
        <v>117</v>
      </c>
      <c r="H408">
        <v>56</v>
      </c>
      <c r="I408">
        <v>69</v>
      </c>
      <c r="J408">
        <v>146</v>
      </c>
      <c r="K408">
        <v>431</v>
      </c>
      <c r="L408">
        <v>99.84</v>
      </c>
      <c r="M408">
        <v>1866.47</v>
      </c>
      <c r="N408">
        <v>71159</v>
      </c>
      <c r="O408">
        <v>1056.33</v>
      </c>
      <c r="P408" s="1">
        <v>0.47899999999999998</v>
      </c>
      <c r="Q408">
        <f t="shared" si="30"/>
        <v>173</v>
      </c>
      <c r="R408">
        <f t="shared" si="31"/>
        <v>202</v>
      </c>
      <c r="S408" s="1">
        <f t="shared" si="32"/>
        <v>0.60115606936416188</v>
      </c>
      <c r="T408">
        <f t="shared" si="33"/>
        <v>1.73</v>
      </c>
      <c r="U408" t="str">
        <f t="shared" si="34"/>
        <v>Feb</v>
      </c>
    </row>
    <row r="409" spans="1:21">
      <c r="A409" s="2">
        <v>46070</v>
      </c>
      <c r="B409" t="s">
        <v>6</v>
      </c>
      <c r="C409" t="s">
        <v>48</v>
      </c>
      <c r="D409" t="s">
        <v>7</v>
      </c>
      <c r="E409" t="s">
        <v>41</v>
      </c>
      <c r="F409" t="s">
        <v>33</v>
      </c>
      <c r="G409">
        <v>51</v>
      </c>
      <c r="H409">
        <v>22</v>
      </c>
      <c r="I409">
        <v>36</v>
      </c>
      <c r="J409">
        <v>134</v>
      </c>
      <c r="K409">
        <v>44</v>
      </c>
      <c r="L409">
        <v>130.85</v>
      </c>
      <c r="M409">
        <v>2037.13</v>
      </c>
      <c r="N409">
        <v>71471</v>
      </c>
      <c r="O409">
        <v>1492.42</v>
      </c>
      <c r="P409" s="1">
        <v>-0.58299999999999996</v>
      </c>
      <c r="Q409">
        <f t="shared" si="30"/>
        <v>73</v>
      </c>
      <c r="R409">
        <f t="shared" si="31"/>
        <v>156</v>
      </c>
      <c r="S409" s="1">
        <f t="shared" si="32"/>
        <v>0.50684931506849318</v>
      </c>
      <c r="T409">
        <f t="shared" si="33"/>
        <v>0.73</v>
      </c>
      <c r="U409" t="str">
        <f t="shared" si="34"/>
        <v>Feb</v>
      </c>
    </row>
    <row r="410" spans="1:21">
      <c r="A410" s="2">
        <v>46105</v>
      </c>
      <c r="B410" t="s">
        <v>4</v>
      </c>
      <c r="C410" t="s">
        <v>31</v>
      </c>
      <c r="D410" t="s">
        <v>9</v>
      </c>
      <c r="E410" t="s">
        <v>41</v>
      </c>
      <c r="F410" t="s">
        <v>39</v>
      </c>
      <c r="G410">
        <v>9</v>
      </c>
      <c r="H410">
        <v>72</v>
      </c>
      <c r="I410">
        <v>43</v>
      </c>
      <c r="J410">
        <v>122</v>
      </c>
      <c r="K410">
        <v>99</v>
      </c>
      <c r="L410">
        <v>88.97</v>
      </c>
      <c r="M410">
        <v>1852.24</v>
      </c>
      <c r="N410">
        <v>69251</v>
      </c>
      <c r="O410">
        <v>1041.49</v>
      </c>
      <c r="P410" s="1">
        <v>0.66600000000000004</v>
      </c>
      <c r="Q410">
        <f t="shared" si="30"/>
        <v>81</v>
      </c>
      <c r="R410">
        <f t="shared" si="31"/>
        <v>194</v>
      </c>
      <c r="S410" s="1">
        <f t="shared" si="32"/>
        <v>0.46913580246913578</v>
      </c>
      <c r="T410">
        <f t="shared" si="33"/>
        <v>0.81</v>
      </c>
      <c r="U410" t="str">
        <f t="shared" si="34"/>
        <v>Mar</v>
      </c>
    </row>
    <row r="411" spans="1:21">
      <c r="A411" s="2">
        <v>46090</v>
      </c>
      <c r="B411" t="s">
        <v>4</v>
      </c>
      <c r="C411" t="s">
        <v>50</v>
      </c>
      <c r="D411" t="s">
        <v>7</v>
      </c>
      <c r="E411" t="s">
        <v>37</v>
      </c>
      <c r="F411" t="s">
        <v>39</v>
      </c>
      <c r="G411">
        <v>75</v>
      </c>
      <c r="H411">
        <v>51</v>
      </c>
      <c r="I411">
        <v>47</v>
      </c>
      <c r="J411">
        <v>122</v>
      </c>
      <c r="K411">
        <v>124</v>
      </c>
      <c r="L411">
        <v>82.47</v>
      </c>
      <c r="M411">
        <v>1878.49</v>
      </c>
      <c r="N411">
        <v>71591</v>
      </c>
      <c r="O411">
        <v>1228.8699999999999</v>
      </c>
      <c r="P411" s="1">
        <v>-0.28399999999999997</v>
      </c>
      <c r="Q411">
        <f t="shared" si="30"/>
        <v>126</v>
      </c>
      <c r="R411">
        <f t="shared" si="31"/>
        <v>173</v>
      </c>
      <c r="S411" s="1">
        <f t="shared" si="32"/>
        <v>0.62698412698412698</v>
      </c>
      <c r="T411">
        <f t="shared" si="33"/>
        <v>1.26</v>
      </c>
      <c r="U411" t="str">
        <f t="shared" si="34"/>
        <v>Mar</v>
      </c>
    </row>
    <row r="412" spans="1:21">
      <c r="A412" s="2">
        <v>46117</v>
      </c>
      <c r="B412" t="s">
        <v>4</v>
      </c>
      <c r="C412" t="s">
        <v>51</v>
      </c>
      <c r="D412" t="s">
        <v>7</v>
      </c>
      <c r="E412" t="s">
        <v>47</v>
      </c>
      <c r="F412" t="s">
        <v>49</v>
      </c>
      <c r="G412">
        <v>34</v>
      </c>
      <c r="H412">
        <v>64</v>
      </c>
      <c r="I412">
        <v>21</v>
      </c>
      <c r="J412">
        <v>136</v>
      </c>
      <c r="K412">
        <v>191</v>
      </c>
      <c r="L412">
        <v>139.07</v>
      </c>
      <c r="M412">
        <v>1931.77</v>
      </c>
      <c r="N412">
        <v>74068</v>
      </c>
      <c r="O412">
        <v>1658.07</v>
      </c>
      <c r="P412" s="1">
        <v>0.56699999999999995</v>
      </c>
      <c r="Q412">
        <f t="shared" si="30"/>
        <v>98</v>
      </c>
      <c r="R412">
        <f t="shared" si="31"/>
        <v>200</v>
      </c>
      <c r="S412" s="1">
        <f t="shared" si="32"/>
        <v>0.7857142857142857</v>
      </c>
      <c r="T412">
        <f t="shared" si="33"/>
        <v>0.98</v>
      </c>
      <c r="U412" t="str">
        <f t="shared" si="34"/>
        <v>Apr</v>
      </c>
    </row>
    <row r="413" spans="1:21">
      <c r="A413" s="2">
        <v>46114</v>
      </c>
      <c r="B413" t="s">
        <v>6</v>
      </c>
      <c r="C413" t="s">
        <v>40</v>
      </c>
      <c r="D413" t="s">
        <v>7</v>
      </c>
      <c r="E413" t="s">
        <v>32</v>
      </c>
      <c r="F413" t="s">
        <v>49</v>
      </c>
      <c r="G413">
        <v>85</v>
      </c>
      <c r="H413">
        <v>60</v>
      </c>
      <c r="I413">
        <v>19</v>
      </c>
      <c r="J413">
        <v>44</v>
      </c>
      <c r="K413">
        <v>405</v>
      </c>
      <c r="L413">
        <v>131.87</v>
      </c>
      <c r="M413">
        <v>2151.2199999999998</v>
      </c>
      <c r="N413">
        <v>75788</v>
      </c>
      <c r="O413">
        <v>1403.56</v>
      </c>
      <c r="P413" s="1">
        <v>0.436</v>
      </c>
      <c r="Q413">
        <f t="shared" si="30"/>
        <v>145</v>
      </c>
      <c r="R413">
        <f t="shared" si="31"/>
        <v>104</v>
      </c>
      <c r="S413" s="1">
        <f t="shared" si="32"/>
        <v>0.86896551724137927</v>
      </c>
      <c r="T413">
        <f t="shared" si="33"/>
        <v>1.45</v>
      </c>
      <c r="U413" t="str">
        <f t="shared" si="34"/>
        <v>Apr</v>
      </c>
    </row>
    <row r="414" spans="1:21">
      <c r="A414" s="2">
        <v>46077</v>
      </c>
      <c r="B414" t="s">
        <v>6</v>
      </c>
      <c r="C414" t="s">
        <v>50</v>
      </c>
      <c r="D414" t="s">
        <v>5</v>
      </c>
      <c r="E414" t="s">
        <v>35</v>
      </c>
      <c r="F414" t="s">
        <v>39</v>
      </c>
      <c r="G414">
        <v>29</v>
      </c>
      <c r="H414">
        <v>11</v>
      </c>
      <c r="I414">
        <v>38</v>
      </c>
      <c r="J414">
        <v>66</v>
      </c>
      <c r="K414">
        <v>82</v>
      </c>
      <c r="L414">
        <v>121.33</v>
      </c>
      <c r="M414">
        <v>1935.27</v>
      </c>
      <c r="N414">
        <v>67705</v>
      </c>
      <c r="O414">
        <v>977.32</v>
      </c>
      <c r="P414" s="1">
        <v>0.317</v>
      </c>
      <c r="Q414">
        <f t="shared" si="30"/>
        <v>40</v>
      </c>
      <c r="R414">
        <f t="shared" si="31"/>
        <v>77</v>
      </c>
      <c r="S414" s="1">
        <f t="shared" si="32"/>
        <v>0.05</v>
      </c>
      <c r="T414">
        <f t="shared" si="33"/>
        <v>0.4</v>
      </c>
      <c r="U414" t="str">
        <f t="shared" si="34"/>
        <v>Feb</v>
      </c>
    </row>
    <row r="415" spans="1:21">
      <c r="A415" s="2">
        <v>46103</v>
      </c>
      <c r="B415" t="s">
        <v>6</v>
      </c>
      <c r="C415" t="s">
        <v>43</v>
      </c>
      <c r="D415" t="s">
        <v>5</v>
      </c>
      <c r="E415" t="s">
        <v>41</v>
      </c>
      <c r="F415" t="s">
        <v>39</v>
      </c>
      <c r="G415">
        <v>86</v>
      </c>
      <c r="H415">
        <v>5</v>
      </c>
      <c r="I415">
        <v>54</v>
      </c>
      <c r="J415">
        <v>144</v>
      </c>
      <c r="K415">
        <v>213</v>
      </c>
      <c r="L415">
        <v>120.35</v>
      </c>
      <c r="M415">
        <v>2153.41</v>
      </c>
      <c r="N415">
        <v>66292</v>
      </c>
      <c r="O415">
        <v>1693.6</v>
      </c>
      <c r="P415" s="1">
        <v>0.65100000000000002</v>
      </c>
      <c r="Q415">
        <f t="shared" si="30"/>
        <v>91</v>
      </c>
      <c r="R415">
        <f t="shared" si="31"/>
        <v>149</v>
      </c>
      <c r="S415" s="1">
        <f t="shared" si="32"/>
        <v>0.40659340659340659</v>
      </c>
      <c r="T415">
        <f t="shared" si="33"/>
        <v>0.91</v>
      </c>
      <c r="U415" t="str">
        <f t="shared" si="34"/>
        <v>Mar</v>
      </c>
    </row>
    <row r="416" spans="1:21">
      <c r="A416" s="2">
        <v>46083</v>
      </c>
      <c r="B416" t="s">
        <v>4</v>
      </c>
      <c r="C416" t="s">
        <v>50</v>
      </c>
      <c r="D416" t="s">
        <v>10</v>
      </c>
      <c r="E416" t="s">
        <v>41</v>
      </c>
      <c r="F416" t="s">
        <v>33</v>
      </c>
      <c r="G416">
        <v>42</v>
      </c>
      <c r="H416">
        <v>63</v>
      </c>
      <c r="I416">
        <v>10</v>
      </c>
      <c r="J416">
        <v>49</v>
      </c>
      <c r="K416">
        <v>20</v>
      </c>
      <c r="L416">
        <v>133.01</v>
      </c>
      <c r="M416">
        <v>2171.8200000000002</v>
      </c>
      <c r="N416">
        <v>67156</v>
      </c>
      <c r="O416">
        <v>1728.41</v>
      </c>
      <c r="P416" s="1">
        <v>-0.94099999999999995</v>
      </c>
      <c r="Q416">
        <f t="shared" si="30"/>
        <v>105</v>
      </c>
      <c r="R416">
        <f t="shared" si="31"/>
        <v>112</v>
      </c>
      <c r="S416" s="1">
        <f t="shared" si="32"/>
        <v>0.90476190476190477</v>
      </c>
      <c r="T416">
        <f t="shared" si="33"/>
        <v>1.05</v>
      </c>
      <c r="U416" t="str">
        <f t="shared" si="34"/>
        <v>Mar</v>
      </c>
    </row>
    <row r="417" spans="1:21">
      <c r="A417" s="2">
        <v>46088</v>
      </c>
      <c r="B417" t="s">
        <v>4</v>
      </c>
      <c r="C417" t="s">
        <v>44</v>
      </c>
      <c r="D417" t="s">
        <v>7</v>
      </c>
      <c r="E417" t="s">
        <v>32</v>
      </c>
      <c r="F417" t="s">
        <v>33</v>
      </c>
      <c r="G417">
        <v>28</v>
      </c>
      <c r="H417">
        <v>52</v>
      </c>
      <c r="I417">
        <v>53</v>
      </c>
      <c r="J417">
        <v>37</v>
      </c>
      <c r="K417">
        <v>277</v>
      </c>
      <c r="L417">
        <v>137.62</v>
      </c>
      <c r="M417">
        <v>1967.27</v>
      </c>
      <c r="N417">
        <v>67554</v>
      </c>
      <c r="O417">
        <v>1431.97</v>
      </c>
      <c r="P417" s="1">
        <v>-0.215</v>
      </c>
      <c r="Q417">
        <f t="shared" si="30"/>
        <v>80</v>
      </c>
      <c r="R417">
        <f t="shared" si="31"/>
        <v>89</v>
      </c>
      <c r="S417" s="1">
        <f t="shared" si="32"/>
        <v>0.33750000000000002</v>
      </c>
      <c r="T417">
        <f t="shared" si="33"/>
        <v>0.8</v>
      </c>
      <c r="U417" t="str">
        <f t="shared" si="34"/>
        <v>Mar</v>
      </c>
    </row>
    <row r="418" spans="1:21">
      <c r="A418" s="2">
        <v>46100</v>
      </c>
      <c r="B418" t="s">
        <v>6</v>
      </c>
      <c r="C418" t="s">
        <v>51</v>
      </c>
      <c r="D418" t="s">
        <v>9</v>
      </c>
      <c r="E418" t="s">
        <v>47</v>
      </c>
      <c r="F418" t="s">
        <v>33</v>
      </c>
      <c r="G418">
        <v>53</v>
      </c>
      <c r="H418">
        <v>22</v>
      </c>
      <c r="I418">
        <v>32</v>
      </c>
      <c r="J418">
        <v>91</v>
      </c>
      <c r="K418">
        <v>147</v>
      </c>
      <c r="L418">
        <v>102.21</v>
      </c>
      <c r="M418">
        <v>1840.15</v>
      </c>
      <c r="N418">
        <v>71861</v>
      </c>
      <c r="O418">
        <v>1679.39</v>
      </c>
      <c r="P418" s="1">
        <v>-0.85499999999999998</v>
      </c>
      <c r="Q418">
        <f t="shared" si="30"/>
        <v>75</v>
      </c>
      <c r="R418">
        <f t="shared" si="31"/>
        <v>113</v>
      </c>
      <c r="S418" s="1">
        <f t="shared" si="32"/>
        <v>0.57333333333333336</v>
      </c>
      <c r="T418">
        <f t="shared" si="33"/>
        <v>0.75</v>
      </c>
      <c r="U418" t="str">
        <f t="shared" si="34"/>
        <v>Mar</v>
      </c>
    </row>
    <row r="419" spans="1:21">
      <c r="A419" s="2">
        <v>46103</v>
      </c>
      <c r="B419" t="s">
        <v>4</v>
      </c>
      <c r="C419" t="s">
        <v>44</v>
      </c>
      <c r="D419" t="s">
        <v>9</v>
      </c>
      <c r="E419" t="s">
        <v>41</v>
      </c>
      <c r="F419" t="s">
        <v>49</v>
      </c>
      <c r="G419">
        <v>6</v>
      </c>
      <c r="H419">
        <v>65</v>
      </c>
      <c r="I419">
        <v>60</v>
      </c>
      <c r="J419">
        <v>26</v>
      </c>
      <c r="K419">
        <v>68</v>
      </c>
      <c r="L419">
        <v>113.92</v>
      </c>
      <c r="M419">
        <v>1951.06</v>
      </c>
      <c r="N419">
        <v>68829</v>
      </c>
      <c r="O419">
        <v>1613.85</v>
      </c>
      <c r="P419" s="1">
        <v>-0.33800000000000002</v>
      </c>
      <c r="Q419">
        <f t="shared" si="30"/>
        <v>71</v>
      </c>
      <c r="R419">
        <f t="shared" si="31"/>
        <v>91</v>
      </c>
      <c r="S419" s="1">
        <f t="shared" si="32"/>
        <v>0.15492957746478872</v>
      </c>
      <c r="T419">
        <f t="shared" si="33"/>
        <v>0.71</v>
      </c>
      <c r="U419" t="str">
        <f t="shared" si="34"/>
        <v>Mar</v>
      </c>
    </row>
    <row r="420" spans="1:21">
      <c r="A420" s="2">
        <v>46089</v>
      </c>
      <c r="B420" t="s">
        <v>4</v>
      </c>
      <c r="C420" t="s">
        <v>48</v>
      </c>
      <c r="D420" t="s">
        <v>7</v>
      </c>
      <c r="E420" t="s">
        <v>32</v>
      </c>
      <c r="F420" t="s">
        <v>33</v>
      </c>
      <c r="G420">
        <v>81</v>
      </c>
      <c r="H420">
        <v>31</v>
      </c>
      <c r="I420">
        <v>62</v>
      </c>
      <c r="J420">
        <v>122</v>
      </c>
      <c r="K420">
        <v>291</v>
      </c>
      <c r="L420">
        <v>113</v>
      </c>
      <c r="M420">
        <v>2105.9299999999998</v>
      </c>
      <c r="N420">
        <v>67147</v>
      </c>
      <c r="O420">
        <v>1271.4000000000001</v>
      </c>
      <c r="P420" s="1">
        <v>0.439</v>
      </c>
      <c r="Q420">
        <f t="shared" si="30"/>
        <v>112</v>
      </c>
      <c r="R420">
        <f t="shared" si="31"/>
        <v>153</v>
      </c>
      <c r="S420" s="1">
        <f t="shared" si="32"/>
        <v>0.44642857142857145</v>
      </c>
      <c r="T420">
        <f t="shared" si="33"/>
        <v>1.1200000000000001</v>
      </c>
      <c r="U420" t="str">
        <f t="shared" si="34"/>
        <v>Mar</v>
      </c>
    </row>
    <row r="421" spans="1:21">
      <c r="A421" s="2">
        <v>46074</v>
      </c>
      <c r="B421" t="s">
        <v>6</v>
      </c>
      <c r="C421" t="s">
        <v>50</v>
      </c>
      <c r="D421" t="s">
        <v>10</v>
      </c>
      <c r="E421" t="s">
        <v>32</v>
      </c>
      <c r="F421" t="s">
        <v>33</v>
      </c>
      <c r="G421">
        <v>71</v>
      </c>
      <c r="H421">
        <v>6</v>
      </c>
      <c r="I421">
        <v>32</v>
      </c>
      <c r="J421">
        <v>116</v>
      </c>
      <c r="K421">
        <v>262</v>
      </c>
      <c r="L421">
        <v>114.14</v>
      </c>
      <c r="M421">
        <v>2103.61</v>
      </c>
      <c r="N421">
        <v>72103</v>
      </c>
      <c r="O421">
        <v>1631.9</v>
      </c>
      <c r="P421" s="1">
        <v>-0.89400000000000002</v>
      </c>
      <c r="Q421">
        <f t="shared" si="30"/>
        <v>77</v>
      </c>
      <c r="R421">
        <f t="shared" si="31"/>
        <v>122</v>
      </c>
      <c r="S421" s="1">
        <f t="shared" si="32"/>
        <v>0.58441558441558439</v>
      </c>
      <c r="T421">
        <f t="shared" si="33"/>
        <v>0.77</v>
      </c>
      <c r="U421" t="str">
        <f t="shared" si="34"/>
        <v>Feb</v>
      </c>
    </row>
    <row r="422" spans="1:21">
      <c r="A422" s="2">
        <v>46088</v>
      </c>
      <c r="B422" t="s">
        <v>4</v>
      </c>
      <c r="C422" t="s">
        <v>40</v>
      </c>
      <c r="D422" t="s">
        <v>10</v>
      </c>
      <c r="E422" t="s">
        <v>42</v>
      </c>
      <c r="F422" t="s">
        <v>49</v>
      </c>
      <c r="G422">
        <v>4</v>
      </c>
      <c r="H422">
        <v>27</v>
      </c>
      <c r="I422">
        <v>53</v>
      </c>
      <c r="J422">
        <v>78</v>
      </c>
      <c r="K422">
        <v>428</v>
      </c>
      <c r="L422">
        <v>130.18</v>
      </c>
      <c r="M422">
        <v>2352.34</v>
      </c>
      <c r="N422">
        <v>65115</v>
      </c>
      <c r="O422">
        <v>1686.11</v>
      </c>
      <c r="P422" s="1">
        <v>-0.80500000000000005</v>
      </c>
      <c r="Q422">
        <f t="shared" si="30"/>
        <v>31</v>
      </c>
      <c r="R422">
        <f t="shared" si="31"/>
        <v>105</v>
      </c>
      <c r="S422" s="1">
        <f t="shared" si="32"/>
        <v>-0.70967741935483875</v>
      </c>
      <c r="T422">
        <f t="shared" si="33"/>
        <v>0.31</v>
      </c>
      <c r="U422" t="str">
        <f t="shared" si="34"/>
        <v>Mar</v>
      </c>
    </row>
    <row r="423" spans="1:21">
      <c r="A423" s="2">
        <v>46068</v>
      </c>
      <c r="B423" t="s">
        <v>4</v>
      </c>
      <c r="C423" t="s">
        <v>48</v>
      </c>
      <c r="D423" t="s">
        <v>7</v>
      </c>
      <c r="E423" t="s">
        <v>37</v>
      </c>
      <c r="F423" t="s">
        <v>33</v>
      </c>
      <c r="G423">
        <v>4</v>
      </c>
      <c r="H423">
        <v>12</v>
      </c>
      <c r="I423">
        <v>64</v>
      </c>
      <c r="J423">
        <v>78</v>
      </c>
      <c r="K423">
        <v>351</v>
      </c>
      <c r="L423">
        <v>124.38</v>
      </c>
      <c r="M423">
        <v>2389.7800000000002</v>
      </c>
      <c r="N423">
        <v>72271</v>
      </c>
      <c r="O423">
        <v>1233.58</v>
      </c>
      <c r="P423" s="1">
        <v>-0.57899999999999996</v>
      </c>
      <c r="Q423">
        <f t="shared" si="30"/>
        <v>16</v>
      </c>
      <c r="R423">
        <f t="shared" si="31"/>
        <v>90</v>
      </c>
      <c r="S423" s="1">
        <f t="shared" si="32"/>
        <v>-3</v>
      </c>
      <c r="T423">
        <f t="shared" si="33"/>
        <v>0.16</v>
      </c>
      <c r="U423" t="str">
        <f t="shared" si="34"/>
        <v>Feb</v>
      </c>
    </row>
    <row r="424" spans="1:21">
      <c r="A424" s="2">
        <v>46088</v>
      </c>
      <c r="B424" t="s">
        <v>6</v>
      </c>
      <c r="C424" t="s">
        <v>43</v>
      </c>
      <c r="D424" t="s">
        <v>10</v>
      </c>
      <c r="E424" t="s">
        <v>38</v>
      </c>
      <c r="F424" t="s">
        <v>33</v>
      </c>
      <c r="G424">
        <v>76</v>
      </c>
      <c r="H424">
        <v>42</v>
      </c>
      <c r="I424">
        <v>39</v>
      </c>
      <c r="J424">
        <v>0</v>
      </c>
      <c r="K424">
        <v>54</v>
      </c>
      <c r="L424">
        <v>96.08</v>
      </c>
      <c r="M424">
        <v>2148.19</v>
      </c>
      <c r="N424">
        <v>69837</v>
      </c>
      <c r="O424">
        <v>1130.9100000000001</v>
      </c>
      <c r="P424" s="1">
        <v>0.78700000000000003</v>
      </c>
      <c r="Q424">
        <f t="shared" si="30"/>
        <v>118</v>
      </c>
      <c r="R424">
        <f t="shared" si="31"/>
        <v>42</v>
      </c>
      <c r="S424" s="1">
        <f t="shared" si="32"/>
        <v>0.66949152542372881</v>
      </c>
      <c r="T424">
        <f t="shared" si="33"/>
        <v>1.18</v>
      </c>
      <c r="U424" t="str">
        <f t="shared" si="34"/>
        <v>Mar</v>
      </c>
    </row>
    <row r="425" spans="1:21">
      <c r="A425" s="2">
        <v>46101</v>
      </c>
      <c r="B425" t="s">
        <v>4</v>
      </c>
      <c r="C425" t="s">
        <v>50</v>
      </c>
      <c r="D425" t="s">
        <v>7</v>
      </c>
      <c r="E425" t="s">
        <v>37</v>
      </c>
      <c r="F425" t="s">
        <v>39</v>
      </c>
      <c r="G425">
        <v>18</v>
      </c>
      <c r="H425">
        <v>33</v>
      </c>
      <c r="I425">
        <v>74</v>
      </c>
      <c r="J425">
        <v>123</v>
      </c>
      <c r="K425">
        <v>282</v>
      </c>
      <c r="L425">
        <v>114.02</v>
      </c>
      <c r="M425">
        <v>1949.84</v>
      </c>
      <c r="N425">
        <v>74471</v>
      </c>
      <c r="O425">
        <v>1268.24</v>
      </c>
      <c r="P425" s="1">
        <v>-6.6000000000000003E-2</v>
      </c>
      <c r="Q425">
        <f t="shared" si="30"/>
        <v>51</v>
      </c>
      <c r="R425">
        <f t="shared" si="31"/>
        <v>156</v>
      </c>
      <c r="S425" s="1">
        <f t="shared" si="32"/>
        <v>-0.45098039215686275</v>
      </c>
      <c r="T425">
        <f t="shared" si="33"/>
        <v>0.51</v>
      </c>
      <c r="U425" t="str">
        <f t="shared" si="34"/>
        <v>Mar</v>
      </c>
    </row>
    <row r="426" spans="1:21">
      <c r="A426" s="2">
        <v>46089</v>
      </c>
      <c r="B426" t="s">
        <v>6</v>
      </c>
      <c r="C426" t="s">
        <v>36</v>
      </c>
      <c r="D426" t="s">
        <v>10</v>
      </c>
      <c r="E426" t="s">
        <v>41</v>
      </c>
      <c r="F426" t="s">
        <v>39</v>
      </c>
      <c r="G426">
        <v>69</v>
      </c>
      <c r="H426">
        <v>38</v>
      </c>
      <c r="I426">
        <v>11</v>
      </c>
      <c r="J426">
        <v>109</v>
      </c>
      <c r="K426">
        <v>142</v>
      </c>
      <c r="L426">
        <v>82.34</v>
      </c>
      <c r="M426">
        <v>2205.3200000000002</v>
      </c>
      <c r="N426">
        <v>69148</v>
      </c>
      <c r="O426">
        <v>1066.27</v>
      </c>
      <c r="P426" s="1">
        <v>-7.0000000000000001E-3</v>
      </c>
      <c r="Q426">
        <f t="shared" si="30"/>
        <v>107</v>
      </c>
      <c r="R426">
        <f t="shared" si="31"/>
        <v>147</v>
      </c>
      <c r="S426" s="1">
        <f t="shared" si="32"/>
        <v>0.89719626168224298</v>
      </c>
      <c r="T426">
        <f t="shared" si="33"/>
        <v>1.07</v>
      </c>
      <c r="U426" t="str">
        <f t="shared" si="34"/>
        <v>Mar</v>
      </c>
    </row>
    <row r="427" spans="1:21">
      <c r="A427" s="2">
        <v>46070</v>
      </c>
      <c r="B427" t="s">
        <v>6</v>
      </c>
      <c r="C427" t="s">
        <v>31</v>
      </c>
      <c r="D427" t="s">
        <v>7</v>
      </c>
      <c r="E427" t="s">
        <v>32</v>
      </c>
      <c r="F427" t="s">
        <v>39</v>
      </c>
      <c r="G427">
        <v>102</v>
      </c>
      <c r="H427">
        <v>58</v>
      </c>
      <c r="I427">
        <v>14</v>
      </c>
      <c r="J427">
        <v>81</v>
      </c>
      <c r="K427">
        <v>80</v>
      </c>
      <c r="L427">
        <v>94.23</v>
      </c>
      <c r="M427">
        <v>2182.69</v>
      </c>
      <c r="N427">
        <v>68644</v>
      </c>
      <c r="O427">
        <v>1563.39</v>
      </c>
      <c r="P427" s="1">
        <v>-0.17399999999999999</v>
      </c>
      <c r="Q427">
        <f t="shared" si="30"/>
        <v>160</v>
      </c>
      <c r="R427">
        <f t="shared" si="31"/>
        <v>139</v>
      </c>
      <c r="S427" s="1">
        <f t="shared" si="32"/>
        <v>0.91249999999999998</v>
      </c>
      <c r="T427">
        <f t="shared" si="33"/>
        <v>1.6</v>
      </c>
      <c r="U427" t="str">
        <f t="shared" si="34"/>
        <v>Feb</v>
      </c>
    </row>
    <row r="428" spans="1:21">
      <c r="A428" s="2">
        <v>46079</v>
      </c>
      <c r="B428" t="s">
        <v>6</v>
      </c>
      <c r="C428" t="s">
        <v>34</v>
      </c>
      <c r="D428" t="s">
        <v>5</v>
      </c>
      <c r="E428" t="s">
        <v>37</v>
      </c>
      <c r="F428" t="s">
        <v>33</v>
      </c>
      <c r="G428">
        <v>118</v>
      </c>
      <c r="H428">
        <v>76</v>
      </c>
      <c r="I428">
        <v>0</v>
      </c>
      <c r="J428">
        <v>36</v>
      </c>
      <c r="K428">
        <v>162</v>
      </c>
      <c r="L428">
        <v>135.22</v>
      </c>
      <c r="M428">
        <v>1837.82</v>
      </c>
      <c r="N428">
        <v>67040</v>
      </c>
      <c r="O428">
        <v>1442.26</v>
      </c>
      <c r="P428" s="1">
        <v>-0.12</v>
      </c>
      <c r="Q428">
        <f t="shared" si="30"/>
        <v>194</v>
      </c>
      <c r="R428">
        <f t="shared" si="31"/>
        <v>112</v>
      </c>
      <c r="S428" s="1">
        <f t="shared" si="32"/>
        <v>1</v>
      </c>
      <c r="T428">
        <f t="shared" si="33"/>
        <v>1.94</v>
      </c>
      <c r="U428" t="str">
        <f t="shared" si="34"/>
        <v>Feb</v>
      </c>
    </row>
    <row r="429" spans="1:21">
      <c r="A429" s="2">
        <v>46115</v>
      </c>
      <c r="B429" t="s">
        <v>4</v>
      </c>
      <c r="C429" t="s">
        <v>36</v>
      </c>
      <c r="D429" t="s">
        <v>5</v>
      </c>
      <c r="E429" t="s">
        <v>38</v>
      </c>
      <c r="F429" t="s">
        <v>49</v>
      </c>
      <c r="G429">
        <v>89</v>
      </c>
      <c r="H429">
        <v>18</v>
      </c>
      <c r="I429">
        <v>57</v>
      </c>
      <c r="J429">
        <v>64</v>
      </c>
      <c r="K429">
        <v>15</v>
      </c>
      <c r="L429">
        <v>99.95</v>
      </c>
      <c r="M429">
        <v>2352.91</v>
      </c>
      <c r="N429">
        <v>74086</v>
      </c>
      <c r="O429">
        <v>1122.45</v>
      </c>
      <c r="P429" s="1">
        <v>-0.42199999999999999</v>
      </c>
      <c r="Q429">
        <f t="shared" si="30"/>
        <v>107</v>
      </c>
      <c r="R429">
        <f t="shared" si="31"/>
        <v>82</v>
      </c>
      <c r="S429" s="1">
        <f t="shared" si="32"/>
        <v>0.46728971962616822</v>
      </c>
      <c r="T429">
        <f t="shared" si="33"/>
        <v>1.07</v>
      </c>
      <c r="U429" t="str">
        <f t="shared" si="34"/>
        <v>Apr</v>
      </c>
    </row>
    <row r="430" spans="1:21">
      <c r="A430" s="2">
        <v>46079</v>
      </c>
      <c r="B430" t="s">
        <v>4</v>
      </c>
      <c r="C430" t="s">
        <v>51</v>
      </c>
      <c r="D430" t="s">
        <v>10</v>
      </c>
      <c r="E430" t="s">
        <v>32</v>
      </c>
      <c r="F430" t="s">
        <v>49</v>
      </c>
      <c r="G430">
        <v>97</v>
      </c>
      <c r="H430">
        <v>61</v>
      </c>
      <c r="I430">
        <v>33</v>
      </c>
      <c r="J430">
        <v>9</v>
      </c>
      <c r="K430">
        <v>409</v>
      </c>
      <c r="L430">
        <v>113.88</v>
      </c>
      <c r="M430">
        <v>1974.16</v>
      </c>
      <c r="N430">
        <v>74418</v>
      </c>
      <c r="O430">
        <v>1673.03</v>
      </c>
      <c r="P430" s="1">
        <v>-0.622</v>
      </c>
      <c r="Q430">
        <f t="shared" si="30"/>
        <v>158</v>
      </c>
      <c r="R430">
        <f t="shared" si="31"/>
        <v>70</v>
      </c>
      <c r="S430" s="1">
        <f t="shared" si="32"/>
        <v>0.79113924050632911</v>
      </c>
      <c r="T430">
        <f t="shared" si="33"/>
        <v>1.58</v>
      </c>
      <c r="U430" t="str">
        <f t="shared" si="34"/>
        <v>Feb</v>
      </c>
    </row>
    <row r="431" spans="1:21">
      <c r="A431" s="2">
        <v>46104</v>
      </c>
      <c r="B431" t="s">
        <v>6</v>
      </c>
      <c r="C431" t="s">
        <v>48</v>
      </c>
      <c r="D431" t="s">
        <v>9</v>
      </c>
      <c r="E431" t="s">
        <v>35</v>
      </c>
      <c r="F431" t="s">
        <v>45</v>
      </c>
      <c r="G431">
        <v>47</v>
      </c>
      <c r="H431">
        <v>69</v>
      </c>
      <c r="I431">
        <v>10</v>
      </c>
      <c r="J431">
        <v>76</v>
      </c>
      <c r="K431">
        <v>1</v>
      </c>
      <c r="L431">
        <v>111.26</v>
      </c>
      <c r="M431">
        <v>1972.86</v>
      </c>
      <c r="N431">
        <v>74646</v>
      </c>
      <c r="O431">
        <v>1234.42</v>
      </c>
      <c r="P431" s="1">
        <v>0.68700000000000006</v>
      </c>
      <c r="Q431">
        <f t="shared" si="30"/>
        <v>116</v>
      </c>
      <c r="R431">
        <f t="shared" si="31"/>
        <v>145</v>
      </c>
      <c r="S431" s="1">
        <f t="shared" si="32"/>
        <v>0.91379310344827591</v>
      </c>
      <c r="T431">
        <f t="shared" si="33"/>
        <v>1.1599999999999999</v>
      </c>
      <c r="U431" t="str">
        <f t="shared" si="34"/>
        <v>Mar</v>
      </c>
    </row>
    <row r="432" spans="1:21">
      <c r="A432" s="2">
        <v>46076</v>
      </c>
      <c r="B432" t="s">
        <v>4</v>
      </c>
      <c r="C432" t="s">
        <v>50</v>
      </c>
      <c r="D432" t="s">
        <v>10</v>
      </c>
      <c r="E432" t="s">
        <v>41</v>
      </c>
      <c r="F432" t="s">
        <v>45</v>
      </c>
      <c r="G432">
        <v>115</v>
      </c>
      <c r="H432">
        <v>34</v>
      </c>
      <c r="I432">
        <v>21</v>
      </c>
      <c r="J432">
        <v>121</v>
      </c>
      <c r="K432">
        <v>41</v>
      </c>
      <c r="L432">
        <v>135.19</v>
      </c>
      <c r="M432">
        <v>2412.11</v>
      </c>
      <c r="N432">
        <v>75938</v>
      </c>
      <c r="O432">
        <v>1409.06</v>
      </c>
      <c r="P432" s="1">
        <v>0.93400000000000005</v>
      </c>
      <c r="Q432">
        <f t="shared" si="30"/>
        <v>149</v>
      </c>
      <c r="R432">
        <f t="shared" si="31"/>
        <v>155</v>
      </c>
      <c r="S432" s="1">
        <f t="shared" si="32"/>
        <v>0.85906040268456374</v>
      </c>
      <c r="T432">
        <f t="shared" si="33"/>
        <v>1.49</v>
      </c>
      <c r="U432" t="str">
        <f t="shared" si="34"/>
        <v>Feb</v>
      </c>
    </row>
    <row r="433" spans="1:21">
      <c r="A433" s="2">
        <v>46113</v>
      </c>
      <c r="B433" t="s">
        <v>6</v>
      </c>
      <c r="C433" t="s">
        <v>44</v>
      </c>
      <c r="D433" t="s">
        <v>10</v>
      </c>
      <c r="E433" t="s">
        <v>42</v>
      </c>
      <c r="F433" t="s">
        <v>39</v>
      </c>
      <c r="G433">
        <v>82</v>
      </c>
      <c r="H433">
        <v>78</v>
      </c>
      <c r="I433">
        <v>62</v>
      </c>
      <c r="J433">
        <v>16</v>
      </c>
      <c r="K433">
        <v>206</v>
      </c>
      <c r="L433">
        <v>139.4</v>
      </c>
      <c r="M433">
        <v>2041.93</v>
      </c>
      <c r="N433">
        <v>67170</v>
      </c>
      <c r="O433">
        <v>1740.95</v>
      </c>
      <c r="P433" s="1">
        <v>-0.41799999999999998</v>
      </c>
      <c r="Q433">
        <f t="shared" si="30"/>
        <v>160</v>
      </c>
      <c r="R433">
        <f t="shared" si="31"/>
        <v>94</v>
      </c>
      <c r="S433" s="1">
        <f t="shared" si="32"/>
        <v>0.61250000000000004</v>
      </c>
      <c r="T433">
        <f t="shared" si="33"/>
        <v>1.6</v>
      </c>
      <c r="U433" t="str">
        <f t="shared" si="34"/>
        <v>Apr</v>
      </c>
    </row>
    <row r="434" spans="1:21">
      <c r="A434" s="2">
        <v>46111</v>
      </c>
      <c r="B434" t="s">
        <v>4</v>
      </c>
      <c r="C434" t="s">
        <v>46</v>
      </c>
      <c r="D434" t="s">
        <v>9</v>
      </c>
      <c r="E434" t="s">
        <v>47</v>
      </c>
      <c r="F434" t="s">
        <v>33</v>
      </c>
      <c r="G434">
        <v>53</v>
      </c>
      <c r="H434">
        <v>73</v>
      </c>
      <c r="I434">
        <v>29</v>
      </c>
      <c r="J434">
        <v>25</v>
      </c>
      <c r="K434">
        <v>62</v>
      </c>
      <c r="L434">
        <v>97.44</v>
      </c>
      <c r="M434">
        <v>1836.79</v>
      </c>
      <c r="N434">
        <v>66330</v>
      </c>
      <c r="O434">
        <v>1217.1500000000001</v>
      </c>
      <c r="P434" s="1">
        <v>-0.129</v>
      </c>
      <c r="Q434">
        <f t="shared" si="30"/>
        <v>126</v>
      </c>
      <c r="R434">
        <f t="shared" si="31"/>
        <v>98</v>
      </c>
      <c r="S434" s="1">
        <f t="shared" si="32"/>
        <v>0.76984126984126988</v>
      </c>
      <c r="T434">
        <f t="shared" si="33"/>
        <v>1.26</v>
      </c>
      <c r="U434" t="str">
        <f t="shared" si="34"/>
        <v>Mar</v>
      </c>
    </row>
    <row r="435" spans="1:21">
      <c r="A435" s="2">
        <v>46075</v>
      </c>
      <c r="B435" t="s">
        <v>6</v>
      </c>
      <c r="C435" t="s">
        <v>50</v>
      </c>
      <c r="D435" t="s">
        <v>10</v>
      </c>
      <c r="E435" t="s">
        <v>47</v>
      </c>
      <c r="F435" t="s">
        <v>33</v>
      </c>
      <c r="G435">
        <v>80</v>
      </c>
      <c r="H435">
        <v>14</v>
      </c>
      <c r="I435">
        <v>38</v>
      </c>
      <c r="J435">
        <v>11</v>
      </c>
      <c r="K435">
        <v>261</v>
      </c>
      <c r="L435">
        <v>86.27</v>
      </c>
      <c r="M435">
        <v>1865.88</v>
      </c>
      <c r="N435">
        <v>75546</v>
      </c>
      <c r="O435">
        <v>1430.44</v>
      </c>
      <c r="P435" s="1">
        <v>-7.0999999999999994E-2</v>
      </c>
      <c r="Q435">
        <f t="shared" si="30"/>
        <v>94</v>
      </c>
      <c r="R435">
        <f t="shared" si="31"/>
        <v>25</v>
      </c>
      <c r="S435" s="1">
        <f t="shared" si="32"/>
        <v>0.5957446808510638</v>
      </c>
      <c r="T435">
        <f t="shared" si="33"/>
        <v>0.94</v>
      </c>
      <c r="U435" t="str">
        <f t="shared" si="34"/>
        <v>Feb</v>
      </c>
    </row>
    <row r="436" spans="1:21">
      <c r="A436" s="2">
        <v>46121</v>
      </c>
      <c r="B436" t="s">
        <v>4</v>
      </c>
      <c r="C436" t="s">
        <v>51</v>
      </c>
      <c r="D436" t="s">
        <v>7</v>
      </c>
      <c r="E436" t="s">
        <v>35</v>
      </c>
      <c r="F436" t="s">
        <v>49</v>
      </c>
      <c r="G436">
        <v>92</v>
      </c>
      <c r="H436">
        <v>31</v>
      </c>
      <c r="I436">
        <v>45</v>
      </c>
      <c r="J436">
        <v>32</v>
      </c>
      <c r="K436">
        <v>145</v>
      </c>
      <c r="L436">
        <v>124.89</v>
      </c>
      <c r="M436">
        <v>2234.06</v>
      </c>
      <c r="N436">
        <v>72755</v>
      </c>
      <c r="O436">
        <v>1031.6099999999999</v>
      </c>
      <c r="P436" s="1">
        <v>0.33900000000000002</v>
      </c>
      <c r="Q436">
        <f t="shared" si="30"/>
        <v>123</v>
      </c>
      <c r="R436">
        <f t="shared" si="31"/>
        <v>63</v>
      </c>
      <c r="S436" s="1">
        <f t="shared" si="32"/>
        <v>0.63414634146341464</v>
      </c>
      <c r="T436">
        <f t="shared" si="33"/>
        <v>1.23</v>
      </c>
      <c r="U436" t="str">
        <f t="shared" si="34"/>
        <v>Apr</v>
      </c>
    </row>
    <row r="437" spans="1:21">
      <c r="A437" s="2">
        <v>46075</v>
      </c>
      <c r="B437" t="s">
        <v>4</v>
      </c>
      <c r="C437" t="s">
        <v>43</v>
      </c>
      <c r="D437" t="s">
        <v>10</v>
      </c>
      <c r="E437" t="s">
        <v>32</v>
      </c>
      <c r="F437" t="s">
        <v>49</v>
      </c>
      <c r="G437">
        <v>46</v>
      </c>
      <c r="H437">
        <v>2</v>
      </c>
      <c r="I437">
        <v>78</v>
      </c>
      <c r="J437">
        <v>94</v>
      </c>
      <c r="K437">
        <v>185</v>
      </c>
      <c r="L437">
        <v>119.41</v>
      </c>
      <c r="M437">
        <v>2064.64</v>
      </c>
      <c r="N437">
        <v>70546</v>
      </c>
      <c r="O437">
        <v>1573.45</v>
      </c>
      <c r="P437" s="1">
        <v>-0.48699999999999999</v>
      </c>
      <c r="Q437">
        <f t="shared" si="30"/>
        <v>48</v>
      </c>
      <c r="R437">
        <f t="shared" si="31"/>
        <v>96</v>
      </c>
      <c r="S437" s="1">
        <f t="shared" si="32"/>
        <v>-0.625</v>
      </c>
      <c r="T437">
        <f t="shared" si="33"/>
        <v>0.48</v>
      </c>
      <c r="U437" t="str">
        <f t="shared" si="34"/>
        <v>Feb</v>
      </c>
    </row>
    <row r="438" spans="1:21">
      <c r="A438" s="2">
        <v>46089</v>
      </c>
      <c r="B438" t="s">
        <v>6</v>
      </c>
      <c r="C438" t="s">
        <v>48</v>
      </c>
      <c r="D438" t="s">
        <v>5</v>
      </c>
      <c r="E438" t="s">
        <v>35</v>
      </c>
      <c r="F438" t="s">
        <v>45</v>
      </c>
      <c r="G438">
        <v>82</v>
      </c>
      <c r="H438">
        <v>44</v>
      </c>
      <c r="I438">
        <v>59</v>
      </c>
      <c r="J438">
        <v>12</v>
      </c>
      <c r="K438">
        <v>56</v>
      </c>
      <c r="L438">
        <v>91.74</v>
      </c>
      <c r="M438">
        <v>2162.9499999999998</v>
      </c>
      <c r="N438">
        <v>75582</v>
      </c>
      <c r="O438">
        <v>1547.12</v>
      </c>
      <c r="P438" s="1">
        <v>0.309</v>
      </c>
      <c r="Q438">
        <f t="shared" si="30"/>
        <v>126</v>
      </c>
      <c r="R438">
        <f t="shared" si="31"/>
        <v>56</v>
      </c>
      <c r="S438" s="1">
        <f t="shared" si="32"/>
        <v>0.53174603174603174</v>
      </c>
      <c r="T438">
        <f t="shared" si="33"/>
        <v>1.26</v>
      </c>
      <c r="U438" t="str">
        <f t="shared" si="34"/>
        <v>Mar</v>
      </c>
    </row>
    <row r="439" spans="1:21">
      <c r="A439" s="2">
        <v>46087</v>
      </c>
      <c r="B439" t="s">
        <v>4</v>
      </c>
      <c r="C439" t="s">
        <v>36</v>
      </c>
      <c r="D439" t="s">
        <v>9</v>
      </c>
      <c r="E439" t="s">
        <v>47</v>
      </c>
      <c r="F439" t="s">
        <v>49</v>
      </c>
      <c r="G439">
        <v>79</v>
      </c>
      <c r="H439">
        <v>74</v>
      </c>
      <c r="I439">
        <v>64</v>
      </c>
      <c r="J439">
        <v>97</v>
      </c>
      <c r="K439">
        <v>69</v>
      </c>
      <c r="L439">
        <v>97.73</v>
      </c>
      <c r="M439">
        <v>1840.26</v>
      </c>
      <c r="N439">
        <v>73931</v>
      </c>
      <c r="O439">
        <v>1505.46</v>
      </c>
      <c r="P439" s="1">
        <v>0.61699999999999999</v>
      </c>
      <c r="Q439">
        <f t="shared" si="30"/>
        <v>153</v>
      </c>
      <c r="R439">
        <f t="shared" si="31"/>
        <v>171</v>
      </c>
      <c r="S439" s="1">
        <f t="shared" si="32"/>
        <v>0.5816993464052288</v>
      </c>
      <c r="T439">
        <f t="shared" si="33"/>
        <v>1.53</v>
      </c>
      <c r="U439" t="str">
        <f t="shared" si="34"/>
        <v>Mar</v>
      </c>
    </row>
    <row r="440" spans="1:21">
      <c r="A440" s="2">
        <v>46107</v>
      </c>
      <c r="B440" t="s">
        <v>4</v>
      </c>
      <c r="C440" t="s">
        <v>44</v>
      </c>
      <c r="D440" t="s">
        <v>5</v>
      </c>
      <c r="E440" t="s">
        <v>42</v>
      </c>
      <c r="F440" t="s">
        <v>45</v>
      </c>
      <c r="G440">
        <v>61</v>
      </c>
      <c r="H440">
        <v>66</v>
      </c>
      <c r="I440">
        <v>79</v>
      </c>
      <c r="J440">
        <v>54</v>
      </c>
      <c r="K440">
        <v>233</v>
      </c>
      <c r="L440">
        <v>135.65</v>
      </c>
      <c r="M440">
        <v>2016.96</v>
      </c>
      <c r="N440">
        <v>75618</v>
      </c>
      <c r="O440">
        <v>1358.46</v>
      </c>
      <c r="P440" s="1">
        <v>0.95599999999999996</v>
      </c>
      <c r="Q440">
        <f t="shared" si="30"/>
        <v>127</v>
      </c>
      <c r="R440">
        <f t="shared" si="31"/>
        <v>120</v>
      </c>
      <c r="S440" s="1">
        <f t="shared" si="32"/>
        <v>0.37795275590551181</v>
      </c>
      <c r="T440">
        <f t="shared" si="33"/>
        <v>1.27</v>
      </c>
      <c r="U440" t="str">
        <f t="shared" si="34"/>
        <v>Mar</v>
      </c>
    </row>
    <row r="441" spans="1:21">
      <c r="A441" s="2">
        <v>46090</v>
      </c>
      <c r="B441" t="s">
        <v>6</v>
      </c>
      <c r="C441" t="s">
        <v>36</v>
      </c>
      <c r="D441" t="s">
        <v>10</v>
      </c>
      <c r="E441" t="s">
        <v>35</v>
      </c>
      <c r="F441" t="s">
        <v>39</v>
      </c>
      <c r="G441">
        <v>47</v>
      </c>
      <c r="H441">
        <v>44</v>
      </c>
      <c r="I441">
        <v>58</v>
      </c>
      <c r="J441">
        <v>143</v>
      </c>
      <c r="K441">
        <v>390</v>
      </c>
      <c r="L441">
        <v>130.36000000000001</v>
      </c>
      <c r="M441">
        <v>1960.35</v>
      </c>
      <c r="N441">
        <v>73433</v>
      </c>
      <c r="O441">
        <v>1554.97</v>
      </c>
      <c r="P441" s="1">
        <v>0.28799999999999998</v>
      </c>
      <c r="Q441">
        <f t="shared" si="30"/>
        <v>91</v>
      </c>
      <c r="R441">
        <f t="shared" si="31"/>
        <v>187</v>
      </c>
      <c r="S441" s="1">
        <f t="shared" si="32"/>
        <v>0.36263736263736263</v>
      </c>
      <c r="T441">
        <f t="shared" si="33"/>
        <v>0.91</v>
      </c>
      <c r="U441" t="str">
        <f t="shared" si="34"/>
        <v>Mar</v>
      </c>
    </row>
    <row r="442" spans="1:21">
      <c r="A442" s="2">
        <v>46113</v>
      </c>
      <c r="B442" t="s">
        <v>6</v>
      </c>
      <c r="C442" t="s">
        <v>44</v>
      </c>
      <c r="D442" t="s">
        <v>10</v>
      </c>
      <c r="E442" t="s">
        <v>37</v>
      </c>
      <c r="F442" t="s">
        <v>45</v>
      </c>
      <c r="G442">
        <v>38</v>
      </c>
      <c r="H442">
        <v>20</v>
      </c>
      <c r="I442">
        <v>9</v>
      </c>
      <c r="J442">
        <v>53</v>
      </c>
      <c r="K442">
        <v>99</v>
      </c>
      <c r="L442">
        <v>84.91</v>
      </c>
      <c r="M442">
        <v>2182.35</v>
      </c>
      <c r="N442">
        <v>75886</v>
      </c>
      <c r="O442">
        <v>1417.21</v>
      </c>
      <c r="P442" s="1">
        <v>-0.33300000000000002</v>
      </c>
      <c r="Q442">
        <f t="shared" si="30"/>
        <v>58</v>
      </c>
      <c r="R442">
        <f t="shared" si="31"/>
        <v>73</v>
      </c>
      <c r="S442" s="1">
        <f t="shared" si="32"/>
        <v>0.84482758620689657</v>
      </c>
      <c r="T442">
        <f t="shared" si="33"/>
        <v>0.57999999999999996</v>
      </c>
      <c r="U442" t="str">
        <f t="shared" si="34"/>
        <v>Apr</v>
      </c>
    </row>
    <row r="443" spans="1:21">
      <c r="A443" s="2">
        <v>46118</v>
      </c>
      <c r="B443" t="s">
        <v>6</v>
      </c>
      <c r="C443" t="s">
        <v>48</v>
      </c>
      <c r="D443" t="s">
        <v>5</v>
      </c>
      <c r="E443" t="s">
        <v>42</v>
      </c>
      <c r="F443" t="s">
        <v>33</v>
      </c>
      <c r="G443">
        <v>115</v>
      </c>
      <c r="H443">
        <v>22</v>
      </c>
      <c r="I443">
        <v>63</v>
      </c>
      <c r="J443">
        <v>131</v>
      </c>
      <c r="K443">
        <v>175</v>
      </c>
      <c r="L443">
        <v>133.63999999999999</v>
      </c>
      <c r="M443">
        <v>2271.23</v>
      </c>
      <c r="N443">
        <v>71213</v>
      </c>
      <c r="O443">
        <v>1786.84</v>
      </c>
      <c r="P443" s="1">
        <v>-0.84199999999999997</v>
      </c>
      <c r="Q443">
        <f t="shared" si="30"/>
        <v>137</v>
      </c>
      <c r="R443">
        <f t="shared" si="31"/>
        <v>153</v>
      </c>
      <c r="S443" s="1">
        <f t="shared" si="32"/>
        <v>0.54014598540145986</v>
      </c>
      <c r="T443">
        <f t="shared" si="33"/>
        <v>1.37</v>
      </c>
      <c r="U443" t="str">
        <f t="shared" si="34"/>
        <v>Apr</v>
      </c>
    </row>
    <row r="444" spans="1:21">
      <c r="A444" s="2">
        <v>46103</v>
      </c>
      <c r="B444" t="s">
        <v>4</v>
      </c>
      <c r="C444" t="s">
        <v>51</v>
      </c>
      <c r="D444" t="s">
        <v>11</v>
      </c>
      <c r="E444" t="s">
        <v>37</v>
      </c>
      <c r="F444" t="s">
        <v>39</v>
      </c>
      <c r="G444">
        <v>112</v>
      </c>
      <c r="H444">
        <v>46</v>
      </c>
      <c r="I444">
        <v>50</v>
      </c>
      <c r="J444">
        <v>105</v>
      </c>
      <c r="K444">
        <v>269</v>
      </c>
      <c r="L444">
        <v>133.16999999999999</v>
      </c>
      <c r="M444">
        <v>2469.62</v>
      </c>
      <c r="N444">
        <v>71639</v>
      </c>
      <c r="O444">
        <v>1022.14</v>
      </c>
      <c r="P444" s="1">
        <v>9.9000000000000005E-2</v>
      </c>
      <c r="Q444">
        <f t="shared" si="30"/>
        <v>158</v>
      </c>
      <c r="R444">
        <f t="shared" si="31"/>
        <v>151</v>
      </c>
      <c r="S444" s="1">
        <f t="shared" si="32"/>
        <v>0.68354430379746833</v>
      </c>
      <c r="T444">
        <f t="shared" si="33"/>
        <v>1.58</v>
      </c>
      <c r="U444" t="str">
        <f t="shared" si="34"/>
        <v>Mar</v>
      </c>
    </row>
    <row r="445" spans="1:21">
      <c r="A445" s="2">
        <v>46085</v>
      </c>
      <c r="B445" t="s">
        <v>6</v>
      </c>
      <c r="C445" t="s">
        <v>43</v>
      </c>
      <c r="D445" t="s">
        <v>9</v>
      </c>
      <c r="E445" t="s">
        <v>38</v>
      </c>
      <c r="F445" t="s">
        <v>33</v>
      </c>
      <c r="G445">
        <v>115</v>
      </c>
      <c r="H445">
        <v>33</v>
      </c>
      <c r="I445">
        <v>0</v>
      </c>
      <c r="J445">
        <v>143</v>
      </c>
      <c r="K445">
        <v>446</v>
      </c>
      <c r="L445">
        <v>109.23</v>
      </c>
      <c r="M445">
        <v>2123.96</v>
      </c>
      <c r="N445">
        <v>69124</v>
      </c>
      <c r="O445">
        <v>907.66</v>
      </c>
      <c r="P445" s="1">
        <v>9.6000000000000002E-2</v>
      </c>
      <c r="Q445">
        <f t="shared" si="30"/>
        <v>148</v>
      </c>
      <c r="R445">
        <f t="shared" si="31"/>
        <v>176</v>
      </c>
      <c r="S445" s="1">
        <f t="shared" si="32"/>
        <v>1</v>
      </c>
      <c r="T445">
        <f t="shared" si="33"/>
        <v>1.48</v>
      </c>
      <c r="U445" t="str">
        <f t="shared" si="34"/>
        <v>Mar</v>
      </c>
    </row>
    <row r="446" spans="1:21">
      <c r="A446" s="2">
        <v>46101</v>
      </c>
      <c r="B446" t="s">
        <v>6</v>
      </c>
      <c r="C446" t="s">
        <v>50</v>
      </c>
      <c r="D446" t="s">
        <v>11</v>
      </c>
      <c r="E446" t="s">
        <v>38</v>
      </c>
      <c r="F446" t="s">
        <v>33</v>
      </c>
      <c r="G446">
        <v>82</v>
      </c>
      <c r="H446">
        <v>53</v>
      </c>
      <c r="I446">
        <v>49</v>
      </c>
      <c r="J446">
        <v>13</v>
      </c>
      <c r="K446">
        <v>269</v>
      </c>
      <c r="L446">
        <v>89.96</v>
      </c>
      <c r="M446">
        <v>2095.87</v>
      </c>
      <c r="N446">
        <v>71054</v>
      </c>
      <c r="O446">
        <v>1184.73</v>
      </c>
      <c r="P446" s="1">
        <v>-0.23899999999999999</v>
      </c>
      <c r="Q446">
        <f t="shared" si="30"/>
        <v>135</v>
      </c>
      <c r="R446">
        <f t="shared" si="31"/>
        <v>66</v>
      </c>
      <c r="S446" s="1">
        <f t="shared" si="32"/>
        <v>0.63703703703703707</v>
      </c>
      <c r="T446">
        <f t="shared" si="33"/>
        <v>1.35</v>
      </c>
      <c r="U446" t="str">
        <f t="shared" si="34"/>
        <v>Mar</v>
      </c>
    </row>
    <row r="447" spans="1:21">
      <c r="A447" s="2">
        <v>46076</v>
      </c>
      <c r="B447" t="s">
        <v>6</v>
      </c>
      <c r="C447" t="s">
        <v>44</v>
      </c>
      <c r="D447" t="s">
        <v>9</v>
      </c>
      <c r="E447" t="s">
        <v>47</v>
      </c>
      <c r="F447" t="s">
        <v>49</v>
      </c>
      <c r="G447">
        <v>80</v>
      </c>
      <c r="H447">
        <v>51</v>
      </c>
      <c r="I447">
        <v>30</v>
      </c>
      <c r="J447">
        <v>82</v>
      </c>
      <c r="K447">
        <v>399</v>
      </c>
      <c r="L447">
        <v>87.89</v>
      </c>
      <c r="M447">
        <v>2276.2600000000002</v>
      </c>
      <c r="N447">
        <v>73478</v>
      </c>
      <c r="O447">
        <v>1713.77</v>
      </c>
      <c r="P447" s="1">
        <v>0.42699999999999999</v>
      </c>
      <c r="Q447">
        <f t="shared" si="30"/>
        <v>131</v>
      </c>
      <c r="R447">
        <f t="shared" si="31"/>
        <v>133</v>
      </c>
      <c r="S447" s="1">
        <f t="shared" si="32"/>
        <v>0.77099236641221369</v>
      </c>
      <c r="T447">
        <f t="shared" si="33"/>
        <v>1.31</v>
      </c>
      <c r="U447" t="str">
        <f t="shared" si="34"/>
        <v>Feb</v>
      </c>
    </row>
    <row r="448" spans="1:21">
      <c r="A448" s="2">
        <v>46120</v>
      </c>
      <c r="B448" t="s">
        <v>6</v>
      </c>
      <c r="C448" t="s">
        <v>50</v>
      </c>
      <c r="D448" t="s">
        <v>11</v>
      </c>
      <c r="E448" t="s">
        <v>41</v>
      </c>
      <c r="F448" t="s">
        <v>45</v>
      </c>
      <c r="G448">
        <v>107</v>
      </c>
      <c r="H448">
        <v>67</v>
      </c>
      <c r="I448">
        <v>3</v>
      </c>
      <c r="J448">
        <v>36</v>
      </c>
      <c r="K448">
        <v>254</v>
      </c>
      <c r="L448">
        <v>84.68</v>
      </c>
      <c r="M448">
        <v>2280.2800000000002</v>
      </c>
      <c r="N448">
        <v>66385</v>
      </c>
      <c r="O448">
        <v>1610.78</v>
      </c>
      <c r="P448" s="1">
        <v>-1.4999999999999999E-2</v>
      </c>
      <c r="Q448">
        <f t="shared" si="30"/>
        <v>174</v>
      </c>
      <c r="R448">
        <f t="shared" si="31"/>
        <v>103</v>
      </c>
      <c r="S448" s="1">
        <f t="shared" si="32"/>
        <v>0.98275862068965514</v>
      </c>
      <c r="T448">
        <f t="shared" si="33"/>
        <v>1.74</v>
      </c>
      <c r="U448" t="str">
        <f t="shared" si="34"/>
        <v>Apr</v>
      </c>
    </row>
    <row r="449" spans="1:21">
      <c r="A449" s="2">
        <v>46083</v>
      </c>
      <c r="B449" t="s">
        <v>4</v>
      </c>
      <c r="C449" t="s">
        <v>34</v>
      </c>
      <c r="D449" t="s">
        <v>9</v>
      </c>
      <c r="E449" t="s">
        <v>32</v>
      </c>
      <c r="F449" t="s">
        <v>45</v>
      </c>
      <c r="G449">
        <v>77</v>
      </c>
      <c r="H449">
        <v>77</v>
      </c>
      <c r="I449">
        <v>34</v>
      </c>
      <c r="J449">
        <v>24</v>
      </c>
      <c r="K449">
        <v>277</v>
      </c>
      <c r="L449">
        <v>112.09</v>
      </c>
      <c r="M449">
        <v>1806.77</v>
      </c>
      <c r="N449">
        <v>72310</v>
      </c>
      <c r="O449">
        <v>1391.65</v>
      </c>
      <c r="P449" s="1">
        <v>0.80900000000000005</v>
      </c>
      <c r="Q449">
        <f t="shared" si="30"/>
        <v>154</v>
      </c>
      <c r="R449">
        <f t="shared" si="31"/>
        <v>101</v>
      </c>
      <c r="S449" s="1">
        <f t="shared" si="32"/>
        <v>0.77922077922077926</v>
      </c>
      <c r="T449">
        <f t="shared" si="33"/>
        <v>1.54</v>
      </c>
      <c r="U449" t="str">
        <f t="shared" si="34"/>
        <v>Mar</v>
      </c>
    </row>
    <row r="450" spans="1:21">
      <c r="A450" s="2">
        <v>46078</v>
      </c>
      <c r="B450" t="s">
        <v>4</v>
      </c>
      <c r="C450" t="s">
        <v>43</v>
      </c>
      <c r="D450" t="s">
        <v>7</v>
      </c>
      <c r="E450" t="s">
        <v>42</v>
      </c>
      <c r="F450" t="s">
        <v>49</v>
      </c>
      <c r="G450">
        <v>42</v>
      </c>
      <c r="H450">
        <v>70</v>
      </c>
      <c r="I450">
        <v>20</v>
      </c>
      <c r="J450">
        <v>136</v>
      </c>
      <c r="K450">
        <v>156</v>
      </c>
      <c r="L450">
        <v>138.77000000000001</v>
      </c>
      <c r="M450">
        <v>2322.0100000000002</v>
      </c>
      <c r="N450">
        <v>73424</v>
      </c>
      <c r="O450">
        <v>1111.5</v>
      </c>
      <c r="P450" s="1">
        <v>-0.58899999999999997</v>
      </c>
      <c r="Q450">
        <f t="shared" si="30"/>
        <v>112</v>
      </c>
      <c r="R450">
        <f t="shared" si="31"/>
        <v>206</v>
      </c>
      <c r="S450" s="1">
        <f t="shared" si="32"/>
        <v>0.8214285714285714</v>
      </c>
      <c r="T450">
        <f t="shared" si="33"/>
        <v>1.1200000000000001</v>
      </c>
      <c r="U450" t="str">
        <f t="shared" si="34"/>
        <v>Feb</v>
      </c>
    </row>
    <row r="451" spans="1:21">
      <c r="A451" s="2">
        <v>46086</v>
      </c>
      <c r="B451" t="s">
        <v>4</v>
      </c>
      <c r="C451" t="s">
        <v>51</v>
      </c>
      <c r="D451" t="s">
        <v>7</v>
      </c>
      <c r="E451" t="s">
        <v>38</v>
      </c>
      <c r="F451" t="s">
        <v>45</v>
      </c>
      <c r="G451">
        <v>27</v>
      </c>
      <c r="H451">
        <v>47</v>
      </c>
      <c r="I451">
        <v>16</v>
      </c>
      <c r="J451">
        <v>37</v>
      </c>
      <c r="K451">
        <v>331</v>
      </c>
      <c r="L451">
        <v>95.7</v>
      </c>
      <c r="M451">
        <v>2340.42</v>
      </c>
      <c r="N451">
        <v>71355</v>
      </c>
      <c r="O451">
        <v>1610.67</v>
      </c>
      <c r="P451" s="1">
        <v>-0.441</v>
      </c>
      <c r="Q451">
        <f t="shared" ref="Q451:Q514" si="35">G451+H451</f>
        <v>74</v>
      </c>
      <c r="R451">
        <f t="shared" ref="R451:R514" si="36">J451+H451</f>
        <v>84</v>
      </c>
      <c r="S451" s="1">
        <f t="shared" ref="S451:S514" si="37">(Q451-I451)/(Q451)</f>
        <v>0.78378378378378377</v>
      </c>
      <c r="T451">
        <f t="shared" ref="T451:T514" si="38">Q451/100</f>
        <v>0.74</v>
      </c>
      <c r="U451" t="str">
        <f t="shared" ref="U451:U514" si="39">TEXT(A451,"mmm")</f>
        <v>Mar</v>
      </c>
    </row>
    <row r="452" spans="1:21">
      <c r="A452" s="2">
        <v>46095</v>
      </c>
      <c r="B452" t="s">
        <v>6</v>
      </c>
      <c r="C452" t="s">
        <v>51</v>
      </c>
      <c r="D452" t="s">
        <v>5</v>
      </c>
      <c r="E452" t="s">
        <v>38</v>
      </c>
      <c r="F452" t="s">
        <v>49</v>
      </c>
      <c r="G452">
        <v>96</v>
      </c>
      <c r="H452">
        <v>56</v>
      </c>
      <c r="I452">
        <v>49</v>
      </c>
      <c r="J452">
        <v>122</v>
      </c>
      <c r="K452">
        <v>252</v>
      </c>
      <c r="L452">
        <v>107.03</v>
      </c>
      <c r="M452">
        <v>1841.46</v>
      </c>
      <c r="N452">
        <v>64995</v>
      </c>
      <c r="O452">
        <v>1519.87</v>
      </c>
      <c r="P452" s="1">
        <v>-0.95099999999999996</v>
      </c>
      <c r="Q452">
        <f t="shared" si="35"/>
        <v>152</v>
      </c>
      <c r="R452">
        <f t="shared" si="36"/>
        <v>178</v>
      </c>
      <c r="S452" s="1">
        <f t="shared" si="37"/>
        <v>0.67763157894736847</v>
      </c>
      <c r="T452">
        <f t="shared" si="38"/>
        <v>1.52</v>
      </c>
      <c r="U452" t="str">
        <f t="shared" si="39"/>
        <v>Mar</v>
      </c>
    </row>
    <row r="453" spans="1:21">
      <c r="A453" s="2">
        <v>46127</v>
      </c>
      <c r="B453" t="s">
        <v>6</v>
      </c>
      <c r="C453" t="s">
        <v>31</v>
      </c>
      <c r="D453" t="s">
        <v>9</v>
      </c>
      <c r="E453" t="s">
        <v>37</v>
      </c>
      <c r="F453" t="s">
        <v>33</v>
      </c>
      <c r="G453">
        <v>56</v>
      </c>
      <c r="H453">
        <v>19</v>
      </c>
      <c r="I453">
        <v>16</v>
      </c>
      <c r="J453">
        <v>36</v>
      </c>
      <c r="K453">
        <v>111</v>
      </c>
      <c r="L453">
        <v>88.68</v>
      </c>
      <c r="M453">
        <v>2471.21</v>
      </c>
      <c r="N453">
        <v>66254</v>
      </c>
      <c r="O453">
        <v>1752.6</v>
      </c>
      <c r="P453" s="1">
        <v>0.61599999999999999</v>
      </c>
      <c r="Q453">
        <f t="shared" si="35"/>
        <v>75</v>
      </c>
      <c r="R453">
        <f t="shared" si="36"/>
        <v>55</v>
      </c>
      <c r="S453" s="1">
        <f t="shared" si="37"/>
        <v>0.78666666666666663</v>
      </c>
      <c r="T453">
        <f t="shared" si="38"/>
        <v>0.75</v>
      </c>
      <c r="U453" t="str">
        <f t="shared" si="39"/>
        <v>Apr</v>
      </c>
    </row>
    <row r="454" spans="1:21">
      <c r="A454" s="2">
        <v>46085</v>
      </c>
      <c r="B454" t="s">
        <v>4</v>
      </c>
      <c r="C454" t="s">
        <v>34</v>
      </c>
      <c r="D454" t="s">
        <v>7</v>
      </c>
      <c r="E454" t="s">
        <v>32</v>
      </c>
      <c r="F454" t="s">
        <v>33</v>
      </c>
      <c r="G454">
        <v>32</v>
      </c>
      <c r="H454">
        <v>42</v>
      </c>
      <c r="I454">
        <v>62</v>
      </c>
      <c r="J454">
        <v>91</v>
      </c>
      <c r="K454">
        <v>313</v>
      </c>
      <c r="L454">
        <v>104.58</v>
      </c>
      <c r="M454">
        <v>2359.2199999999998</v>
      </c>
      <c r="N454">
        <v>72242</v>
      </c>
      <c r="O454">
        <v>981.84</v>
      </c>
      <c r="P454" s="1">
        <v>-3.2000000000000001E-2</v>
      </c>
      <c r="Q454">
        <f t="shared" si="35"/>
        <v>74</v>
      </c>
      <c r="R454">
        <f t="shared" si="36"/>
        <v>133</v>
      </c>
      <c r="S454" s="1">
        <f t="shared" si="37"/>
        <v>0.16216216216216217</v>
      </c>
      <c r="T454">
        <f t="shared" si="38"/>
        <v>0.74</v>
      </c>
      <c r="U454" t="str">
        <f t="shared" si="39"/>
        <v>Mar</v>
      </c>
    </row>
    <row r="455" spans="1:21">
      <c r="A455" s="2">
        <v>46094</v>
      </c>
      <c r="B455" t="s">
        <v>4</v>
      </c>
      <c r="C455" t="s">
        <v>36</v>
      </c>
      <c r="D455" t="s">
        <v>5</v>
      </c>
      <c r="E455" t="s">
        <v>38</v>
      </c>
      <c r="F455" t="s">
        <v>33</v>
      </c>
      <c r="G455">
        <v>18</v>
      </c>
      <c r="H455">
        <v>47</v>
      </c>
      <c r="I455">
        <v>75</v>
      </c>
      <c r="J455">
        <v>83</v>
      </c>
      <c r="K455">
        <v>299</v>
      </c>
      <c r="L455">
        <v>88.47</v>
      </c>
      <c r="M455">
        <v>1870.44</v>
      </c>
      <c r="N455">
        <v>69836</v>
      </c>
      <c r="O455">
        <v>1153.48</v>
      </c>
      <c r="P455" s="1">
        <v>0.43099999999999999</v>
      </c>
      <c r="Q455">
        <f t="shared" si="35"/>
        <v>65</v>
      </c>
      <c r="R455">
        <f t="shared" si="36"/>
        <v>130</v>
      </c>
      <c r="S455" s="1">
        <f t="shared" si="37"/>
        <v>-0.15384615384615385</v>
      </c>
      <c r="T455">
        <f t="shared" si="38"/>
        <v>0.65</v>
      </c>
      <c r="U455" t="str">
        <f t="shared" si="39"/>
        <v>Mar</v>
      </c>
    </row>
    <row r="456" spans="1:21">
      <c r="A456" s="2">
        <v>46107</v>
      </c>
      <c r="B456" t="s">
        <v>4</v>
      </c>
      <c r="C456" t="s">
        <v>31</v>
      </c>
      <c r="D456" t="s">
        <v>10</v>
      </c>
      <c r="E456" t="s">
        <v>35</v>
      </c>
      <c r="F456" t="s">
        <v>45</v>
      </c>
      <c r="G456">
        <v>21</v>
      </c>
      <c r="H456">
        <v>74</v>
      </c>
      <c r="I456">
        <v>6</v>
      </c>
      <c r="J456">
        <v>62</v>
      </c>
      <c r="K456">
        <v>229</v>
      </c>
      <c r="L456">
        <v>109.24</v>
      </c>
      <c r="M456">
        <v>2455.7600000000002</v>
      </c>
      <c r="N456">
        <v>70625</v>
      </c>
      <c r="O456">
        <v>1109.28</v>
      </c>
      <c r="P456" s="1">
        <v>0.105</v>
      </c>
      <c r="Q456">
        <f t="shared" si="35"/>
        <v>95</v>
      </c>
      <c r="R456">
        <f t="shared" si="36"/>
        <v>136</v>
      </c>
      <c r="S456" s="1">
        <f t="shared" si="37"/>
        <v>0.93684210526315792</v>
      </c>
      <c r="T456">
        <f t="shared" si="38"/>
        <v>0.95</v>
      </c>
      <c r="U456" t="str">
        <f t="shared" si="39"/>
        <v>Mar</v>
      </c>
    </row>
    <row r="457" spans="1:21">
      <c r="A457" s="2">
        <v>46068</v>
      </c>
      <c r="B457" t="s">
        <v>6</v>
      </c>
      <c r="C457" t="s">
        <v>43</v>
      </c>
      <c r="D457" t="s">
        <v>5</v>
      </c>
      <c r="E457" t="s">
        <v>38</v>
      </c>
      <c r="F457" t="s">
        <v>33</v>
      </c>
      <c r="G457">
        <v>54</v>
      </c>
      <c r="H457">
        <v>74</v>
      </c>
      <c r="I457">
        <v>47</v>
      </c>
      <c r="J457">
        <v>98</v>
      </c>
      <c r="K457">
        <v>64</v>
      </c>
      <c r="L457">
        <v>102.65</v>
      </c>
      <c r="M457">
        <v>2017.08</v>
      </c>
      <c r="N457">
        <v>67805</v>
      </c>
      <c r="O457">
        <v>1727.85</v>
      </c>
      <c r="P457" s="1">
        <v>-0.92900000000000005</v>
      </c>
      <c r="Q457">
        <f t="shared" si="35"/>
        <v>128</v>
      </c>
      <c r="R457">
        <f t="shared" si="36"/>
        <v>172</v>
      </c>
      <c r="S457" s="1">
        <f t="shared" si="37"/>
        <v>0.6328125</v>
      </c>
      <c r="T457">
        <f t="shared" si="38"/>
        <v>1.28</v>
      </c>
      <c r="U457" t="str">
        <f t="shared" si="39"/>
        <v>Feb</v>
      </c>
    </row>
    <row r="458" spans="1:21">
      <c r="A458" s="2">
        <v>46076</v>
      </c>
      <c r="B458" t="s">
        <v>6</v>
      </c>
      <c r="C458" t="s">
        <v>51</v>
      </c>
      <c r="D458" t="s">
        <v>10</v>
      </c>
      <c r="E458" t="s">
        <v>42</v>
      </c>
      <c r="F458" t="s">
        <v>39</v>
      </c>
      <c r="G458">
        <v>111</v>
      </c>
      <c r="H458">
        <v>78</v>
      </c>
      <c r="I458">
        <v>67</v>
      </c>
      <c r="J458">
        <v>152</v>
      </c>
      <c r="K458">
        <v>15</v>
      </c>
      <c r="L458">
        <v>137.1</v>
      </c>
      <c r="M458">
        <v>1817.44</v>
      </c>
      <c r="N458">
        <v>73943</v>
      </c>
      <c r="O458">
        <v>1669.57</v>
      </c>
      <c r="P458" s="1">
        <v>0.88400000000000001</v>
      </c>
      <c r="Q458">
        <f t="shared" si="35"/>
        <v>189</v>
      </c>
      <c r="R458">
        <f t="shared" si="36"/>
        <v>230</v>
      </c>
      <c r="S458" s="1">
        <f t="shared" si="37"/>
        <v>0.64550264550264547</v>
      </c>
      <c r="T458">
        <f t="shared" si="38"/>
        <v>1.89</v>
      </c>
      <c r="U458" t="str">
        <f t="shared" si="39"/>
        <v>Feb</v>
      </c>
    </row>
    <row r="459" spans="1:21">
      <c r="A459" s="2">
        <v>46081</v>
      </c>
      <c r="B459" t="s">
        <v>4</v>
      </c>
      <c r="C459" t="s">
        <v>48</v>
      </c>
      <c r="D459" t="s">
        <v>7</v>
      </c>
      <c r="E459" t="s">
        <v>41</v>
      </c>
      <c r="F459" t="s">
        <v>49</v>
      </c>
      <c r="G459">
        <v>4</v>
      </c>
      <c r="H459">
        <v>40</v>
      </c>
      <c r="I459">
        <v>75</v>
      </c>
      <c r="J459">
        <v>19</v>
      </c>
      <c r="K459">
        <v>354</v>
      </c>
      <c r="L459">
        <v>100.8</v>
      </c>
      <c r="M459">
        <v>2264.29</v>
      </c>
      <c r="N459">
        <v>75436</v>
      </c>
      <c r="O459">
        <v>1178.79</v>
      </c>
      <c r="P459" s="1">
        <v>-0.48899999999999999</v>
      </c>
      <c r="Q459">
        <f t="shared" si="35"/>
        <v>44</v>
      </c>
      <c r="R459">
        <f t="shared" si="36"/>
        <v>59</v>
      </c>
      <c r="S459" s="1">
        <f t="shared" si="37"/>
        <v>-0.70454545454545459</v>
      </c>
      <c r="T459">
        <f t="shared" si="38"/>
        <v>0.44</v>
      </c>
      <c r="U459" t="str">
        <f t="shared" si="39"/>
        <v>Feb</v>
      </c>
    </row>
    <row r="460" spans="1:21">
      <c r="A460" s="2">
        <v>46092</v>
      </c>
      <c r="B460" t="s">
        <v>4</v>
      </c>
      <c r="C460" t="s">
        <v>51</v>
      </c>
      <c r="D460" t="s">
        <v>7</v>
      </c>
      <c r="E460" t="s">
        <v>35</v>
      </c>
      <c r="F460" t="s">
        <v>45</v>
      </c>
      <c r="G460">
        <v>73</v>
      </c>
      <c r="H460">
        <v>54</v>
      </c>
      <c r="I460">
        <v>45</v>
      </c>
      <c r="J460">
        <v>3</v>
      </c>
      <c r="K460">
        <v>131</v>
      </c>
      <c r="L460">
        <v>114.21</v>
      </c>
      <c r="M460">
        <v>2157.1799999999998</v>
      </c>
      <c r="N460">
        <v>65058</v>
      </c>
      <c r="O460">
        <v>1282.44</v>
      </c>
      <c r="P460" s="1">
        <v>-0.99099999999999999</v>
      </c>
      <c r="Q460">
        <f t="shared" si="35"/>
        <v>127</v>
      </c>
      <c r="R460">
        <f t="shared" si="36"/>
        <v>57</v>
      </c>
      <c r="S460" s="1">
        <f t="shared" si="37"/>
        <v>0.64566929133858264</v>
      </c>
      <c r="T460">
        <f t="shared" si="38"/>
        <v>1.27</v>
      </c>
      <c r="U460" t="str">
        <f t="shared" si="39"/>
        <v>Mar</v>
      </c>
    </row>
    <row r="461" spans="1:21">
      <c r="A461" s="2">
        <v>46080</v>
      </c>
      <c r="B461" t="s">
        <v>6</v>
      </c>
      <c r="C461" t="s">
        <v>51</v>
      </c>
      <c r="D461" t="s">
        <v>7</v>
      </c>
      <c r="E461" t="s">
        <v>38</v>
      </c>
      <c r="F461" t="s">
        <v>33</v>
      </c>
      <c r="G461">
        <v>114</v>
      </c>
      <c r="H461">
        <v>46</v>
      </c>
      <c r="I461">
        <v>4</v>
      </c>
      <c r="J461">
        <v>113</v>
      </c>
      <c r="K461">
        <v>147</v>
      </c>
      <c r="L461">
        <v>111.11</v>
      </c>
      <c r="M461">
        <v>1852.57</v>
      </c>
      <c r="N461">
        <v>65840</v>
      </c>
      <c r="O461">
        <v>1387.74</v>
      </c>
      <c r="P461" s="1">
        <v>0.39</v>
      </c>
      <c r="Q461">
        <f t="shared" si="35"/>
        <v>160</v>
      </c>
      <c r="R461">
        <f t="shared" si="36"/>
        <v>159</v>
      </c>
      <c r="S461" s="1">
        <f t="shared" si="37"/>
        <v>0.97499999999999998</v>
      </c>
      <c r="T461">
        <f t="shared" si="38"/>
        <v>1.6</v>
      </c>
      <c r="U461" t="str">
        <f t="shared" si="39"/>
        <v>Feb</v>
      </c>
    </row>
    <row r="462" spans="1:21">
      <c r="A462" s="2">
        <v>46117</v>
      </c>
      <c r="B462" t="s">
        <v>6</v>
      </c>
      <c r="C462" t="s">
        <v>40</v>
      </c>
      <c r="D462" t="s">
        <v>11</v>
      </c>
      <c r="E462" t="s">
        <v>42</v>
      </c>
      <c r="F462" t="s">
        <v>45</v>
      </c>
      <c r="G462">
        <v>32</v>
      </c>
      <c r="H462">
        <v>3</v>
      </c>
      <c r="I462">
        <v>63</v>
      </c>
      <c r="J462">
        <v>148</v>
      </c>
      <c r="K462">
        <v>342</v>
      </c>
      <c r="L462">
        <v>83.07</v>
      </c>
      <c r="M462">
        <v>2169.11</v>
      </c>
      <c r="N462">
        <v>65383</v>
      </c>
      <c r="O462">
        <v>1302.42</v>
      </c>
      <c r="P462" s="1">
        <v>-0.876</v>
      </c>
      <c r="Q462">
        <f t="shared" si="35"/>
        <v>35</v>
      </c>
      <c r="R462">
        <f t="shared" si="36"/>
        <v>151</v>
      </c>
      <c r="S462" s="1">
        <f t="shared" si="37"/>
        <v>-0.8</v>
      </c>
      <c r="T462">
        <f t="shared" si="38"/>
        <v>0.35</v>
      </c>
      <c r="U462" t="str">
        <f t="shared" si="39"/>
        <v>Apr</v>
      </c>
    </row>
    <row r="463" spans="1:21">
      <c r="A463" s="2">
        <v>46102</v>
      </c>
      <c r="B463" t="s">
        <v>6</v>
      </c>
      <c r="C463" t="s">
        <v>31</v>
      </c>
      <c r="D463" t="s">
        <v>5</v>
      </c>
      <c r="E463" t="s">
        <v>32</v>
      </c>
      <c r="F463" t="s">
        <v>45</v>
      </c>
      <c r="G463">
        <v>14</v>
      </c>
      <c r="H463">
        <v>34</v>
      </c>
      <c r="I463">
        <v>69</v>
      </c>
      <c r="J463">
        <v>85</v>
      </c>
      <c r="K463">
        <v>96</v>
      </c>
      <c r="L463">
        <v>123.47</v>
      </c>
      <c r="M463">
        <v>2291.06</v>
      </c>
      <c r="N463">
        <v>68990</v>
      </c>
      <c r="O463">
        <v>1121.1600000000001</v>
      </c>
      <c r="P463" s="1">
        <v>0.16200000000000001</v>
      </c>
      <c r="Q463">
        <f t="shared" si="35"/>
        <v>48</v>
      </c>
      <c r="R463">
        <f t="shared" si="36"/>
        <v>119</v>
      </c>
      <c r="S463" s="1">
        <f t="shared" si="37"/>
        <v>-0.4375</v>
      </c>
      <c r="T463">
        <f t="shared" si="38"/>
        <v>0.48</v>
      </c>
      <c r="U463" t="str">
        <f t="shared" si="39"/>
        <v>Mar</v>
      </c>
    </row>
    <row r="464" spans="1:21">
      <c r="A464" s="2">
        <v>46071</v>
      </c>
      <c r="B464" t="s">
        <v>6</v>
      </c>
      <c r="C464" t="s">
        <v>40</v>
      </c>
      <c r="D464" t="s">
        <v>11</v>
      </c>
      <c r="E464" t="s">
        <v>35</v>
      </c>
      <c r="F464" t="s">
        <v>45</v>
      </c>
      <c r="G464">
        <v>78</v>
      </c>
      <c r="H464">
        <v>20</v>
      </c>
      <c r="I464">
        <v>71</v>
      </c>
      <c r="J464">
        <v>69</v>
      </c>
      <c r="K464">
        <v>404</v>
      </c>
      <c r="L464">
        <v>127</v>
      </c>
      <c r="M464">
        <v>2172.39</v>
      </c>
      <c r="N464">
        <v>68133</v>
      </c>
      <c r="O464">
        <v>1796.54</v>
      </c>
      <c r="P464" s="1">
        <v>-0.59799999999999998</v>
      </c>
      <c r="Q464">
        <f t="shared" si="35"/>
        <v>98</v>
      </c>
      <c r="R464">
        <f t="shared" si="36"/>
        <v>89</v>
      </c>
      <c r="S464" s="1">
        <f t="shared" si="37"/>
        <v>0.27551020408163263</v>
      </c>
      <c r="T464">
        <f t="shared" si="38"/>
        <v>0.98</v>
      </c>
      <c r="U464" t="str">
        <f t="shared" si="39"/>
        <v>Feb</v>
      </c>
    </row>
    <row r="465" spans="1:21">
      <c r="A465" s="2">
        <v>46100</v>
      </c>
      <c r="B465" t="s">
        <v>4</v>
      </c>
      <c r="C465" t="s">
        <v>43</v>
      </c>
      <c r="D465" t="s">
        <v>9</v>
      </c>
      <c r="E465" t="s">
        <v>41</v>
      </c>
      <c r="F465" t="s">
        <v>39</v>
      </c>
      <c r="G465">
        <v>97</v>
      </c>
      <c r="H465">
        <v>16</v>
      </c>
      <c r="I465">
        <v>66</v>
      </c>
      <c r="J465">
        <v>9</v>
      </c>
      <c r="K465">
        <v>22</v>
      </c>
      <c r="L465">
        <v>99.24</v>
      </c>
      <c r="M465">
        <v>2368.17</v>
      </c>
      <c r="N465">
        <v>70077</v>
      </c>
      <c r="O465">
        <v>1095.05</v>
      </c>
      <c r="P465" s="1">
        <v>0.253</v>
      </c>
      <c r="Q465">
        <f t="shared" si="35"/>
        <v>113</v>
      </c>
      <c r="R465">
        <f t="shared" si="36"/>
        <v>25</v>
      </c>
      <c r="S465" s="1">
        <f t="shared" si="37"/>
        <v>0.41592920353982299</v>
      </c>
      <c r="T465">
        <f t="shared" si="38"/>
        <v>1.1299999999999999</v>
      </c>
      <c r="U465" t="str">
        <f t="shared" si="39"/>
        <v>Mar</v>
      </c>
    </row>
    <row r="466" spans="1:21">
      <c r="A466" s="2">
        <v>46094</v>
      </c>
      <c r="B466" t="s">
        <v>4</v>
      </c>
      <c r="C466" t="s">
        <v>40</v>
      </c>
      <c r="D466" t="s">
        <v>7</v>
      </c>
      <c r="E466" t="s">
        <v>32</v>
      </c>
      <c r="F466" t="s">
        <v>33</v>
      </c>
      <c r="G466">
        <v>71</v>
      </c>
      <c r="H466">
        <v>22</v>
      </c>
      <c r="I466">
        <v>43</v>
      </c>
      <c r="J466">
        <v>15</v>
      </c>
      <c r="K466">
        <v>410</v>
      </c>
      <c r="L466">
        <v>103.32</v>
      </c>
      <c r="M466">
        <v>2271.2800000000002</v>
      </c>
      <c r="N466">
        <v>70898</v>
      </c>
      <c r="O466">
        <v>1659.88</v>
      </c>
      <c r="P466" s="1">
        <v>-0.76200000000000001</v>
      </c>
      <c r="Q466">
        <f t="shared" si="35"/>
        <v>93</v>
      </c>
      <c r="R466">
        <f t="shared" si="36"/>
        <v>37</v>
      </c>
      <c r="S466" s="1">
        <f t="shared" si="37"/>
        <v>0.5376344086021505</v>
      </c>
      <c r="T466">
        <f t="shared" si="38"/>
        <v>0.93</v>
      </c>
      <c r="U466" t="str">
        <f t="shared" si="39"/>
        <v>Mar</v>
      </c>
    </row>
    <row r="467" spans="1:21">
      <c r="A467" s="2">
        <v>46085</v>
      </c>
      <c r="B467" t="s">
        <v>6</v>
      </c>
      <c r="C467" t="s">
        <v>36</v>
      </c>
      <c r="D467" t="s">
        <v>9</v>
      </c>
      <c r="E467" t="s">
        <v>37</v>
      </c>
      <c r="F467" t="s">
        <v>49</v>
      </c>
      <c r="G467">
        <v>13</v>
      </c>
      <c r="H467">
        <v>68</v>
      </c>
      <c r="I467">
        <v>7</v>
      </c>
      <c r="J467">
        <v>93</v>
      </c>
      <c r="K467">
        <v>313</v>
      </c>
      <c r="L467">
        <v>136.59</v>
      </c>
      <c r="M467">
        <v>2022.2</v>
      </c>
      <c r="N467">
        <v>73326</v>
      </c>
      <c r="O467">
        <v>997.97</v>
      </c>
      <c r="P467" s="1">
        <v>3.5000000000000003E-2</v>
      </c>
      <c r="Q467">
        <f t="shared" si="35"/>
        <v>81</v>
      </c>
      <c r="R467">
        <f t="shared" si="36"/>
        <v>161</v>
      </c>
      <c r="S467" s="1">
        <f t="shared" si="37"/>
        <v>0.9135802469135802</v>
      </c>
      <c r="T467">
        <f t="shared" si="38"/>
        <v>0.81</v>
      </c>
      <c r="U467" t="str">
        <f t="shared" si="39"/>
        <v>Mar</v>
      </c>
    </row>
    <row r="468" spans="1:21">
      <c r="A468" s="2">
        <v>46079</v>
      </c>
      <c r="B468" t="s">
        <v>6</v>
      </c>
      <c r="C468" t="s">
        <v>48</v>
      </c>
      <c r="D468" t="s">
        <v>7</v>
      </c>
      <c r="E468" t="s">
        <v>47</v>
      </c>
      <c r="F468" t="s">
        <v>33</v>
      </c>
      <c r="G468">
        <v>11</v>
      </c>
      <c r="H468">
        <v>17</v>
      </c>
      <c r="I468">
        <v>85</v>
      </c>
      <c r="J468">
        <v>27</v>
      </c>
      <c r="K468">
        <v>294</v>
      </c>
      <c r="L468">
        <v>105.31</v>
      </c>
      <c r="M468">
        <v>2416.9499999999998</v>
      </c>
      <c r="N468">
        <v>66230</v>
      </c>
      <c r="O468">
        <v>1125.97</v>
      </c>
      <c r="P468" s="1">
        <v>0.59299999999999997</v>
      </c>
      <c r="Q468">
        <f t="shared" si="35"/>
        <v>28</v>
      </c>
      <c r="R468">
        <f t="shared" si="36"/>
        <v>44</v>
      </c>
      <c r="S468" s="1">
        <f t="shared" si="37"/>
        <v>-2.0357142857142856</v>
      </c>
      <c r="T468">
        <f t="shared" si="38"/>
        <v>0.28000000000000003</v>
      </c>
      <c r="U468" t="str">
        <f t="shared" si="39"/>
        <v>Feb</v>
      </c>
    </row>
    <row r="469" spans="1:21">
      <c r="A469" s="2">
        <v>46069</v>
      </c>
      <c r="B469" t="s">
        <v>6</v>
      </c>
      <c r="C469" t="s">
        <v>48</v>
      </c>
      <c r="D469" t="s">
        <v>7</v>
      </c>
      <c r="E469" t="s">
        <v>38</v>
      </c>
      <c r="F469" t="s">
        <v>39</v>
      </c>
      <c r="G469">
        <v>15</v>
      </c>
      <c r="H469">
        <v>27</v>
      </c>
      <c r="I469">
        <v>13</v>
      </c>
      <c r="J469">
        <v>46</v>
      </c>
      <c r="K469">
        <v>198</v>
      </c>
      <c r="L469">
        <v>81.849999999999994</v>
      </c>
      <c r="M469">
        <v>2077.0300000000002</v>
      </c>
      <c r="N469">
        <v>72009</v>
      </c>
      <c r="O469">
        <v>962.68</v>
      </c>
      <c r="P469" s="1">
        <v>-0.97699999999999998</v>
      </c>
      <c r="Q469">
        <f t="shared" si="35"/>
        <v>42</v>
      </c>
      <c r="R469">
        <f t="shared" si="36"/>
        <v>73</v>
      </c>
      <c r="S469" s="1">
        <f t="shared" si="37"/>
        <v>0.69047619047619047</v>
      </c>
      <c r="T469">
        <f t="shared" si="38"/>
        <v>0.42</v>
      </c>
      <c r="U469" t="str">
        <f t="shared" si="39"/>
        <v>Feb</v>
      </c>
    </row>
    <row r="470" spans="1:21">
      <c r="A470" s="2">
        <v>46105</v>
      </c>
      <c r="B470" t="s">
        <v>4</v>
      </c>
      <c r="C470" t="s">
        <v>34</v>
      </c>
      <c r="D470" t="s">
        <v>5</v>
      </c>
      <c r="E470" t="s">
        <v>32</v>
      </c>
      <c r="F470" t="s">
        <v>45</v>
      </c>
      <c r="G470">
        <v>16</v>
      </c>
      <c r="H470">
        <v>31</v>
      </c>
      <c r="I470">
        <v>60</v>
      </c>
      <c r="J470">
        <v>104</v>
      </c>
      <c r="K470">
        <v>210</v>
      </c>
      <c r="L470">
        <v>81.12</v>
      </c>
      <c r="M470">
        <v>2212.35</v>
      </c>
      <c r="N470">
        <v>65360</v>
      </c>
      <c r="O470">
        <v>1799.37</v>
      </c>
      <c r="P470" s="1">
        <v>0.7</v>
      </c>
      <c r="Q470">
        <f t="shared" si="35"/>
        <v>47</v>
      </c>
      <c r="R470">
        <f t="shared" si="36"/>
        <v>135</v>
      </c>
      <c r="S470" s="1">
        <f t="shared" si="37"/>
        <v>-0.27659574468085107</v>
      </c>
      <c r="T470">
        <f t="shared" si="38"/>
        <v>0.47</v>
      </c>
      <c r="U470" t="str">
        <f t="shared" si="39"/>
        <v>Mar</v>
      </c>
    </row>
    <row r="471" spans="1:21">
      <c r="A471" s="2">
        <v>46105</v>
      </c>
      <c r="B471" t="s">
        <v>4</v>
      </c>
      <c r="C471" t="s">
        <v>31</v>
      </c>
      <c r="D471" t="s">
        <v>5</v>
      </c>
      <c r="E471" t="s">
        <v>37</v>
      </c>
      <c r="F471" t="s">
        <v>49</v>
      </c>
      <c r="G471">
        <v>4</v>
      </c>
      <c r="H471">
        <v>79</v>
      </c>
      <c r="I471">
        <v>19</v>
      </c>
      <c r="J471">
        <v>146</v>
      </c>
      <c r="K471">
        <v>386</v>
      </c>
      <c r="L471">
        <v>117.4</v>
      </c>
      <c r="M471">
        <v>2300.9899999999998</v>
      </c>
      <c r="N471">
        <v>72774</v>
      </c>
      <c r="O471">
        <v>1247.5899999999999</v>
      </c>
      <c r="P471" s="1">
        <v>0.53900000000000003</v>
      </c>
      <c r="Q471">
        <f t="shared" si="35"/>
        <v>83</v>
      </c>
      <c r="R471">
        <f t="shared" si="36"/>
        <v>225</v>
      </c>
      <c r="S471" s="1">
        <f t="shared" si="37"/>
        <v>0.77108433734939763</v>
      </c>
      <c r="T471">
        <f t="shared" si="38"/>
        <v>0.83</v>
      </c>
      <c r="U471" t="str">
        <f t="shared" si="39"/>
        <v>Mar</v>
      </c>
    </row>
    <row r="472" spans="1:21">
      <c r="A472" s="2">
        <v>46122</v>
      </c>
      <c r="B472" t="s">
        <v>4</v>
      </c>
      <c r="C472" t="s">
        <v>36</v>
      </c>
      <c r="D472" t="s">
        <v>9</v>
      </c>
      <c r="E472" t="s">
        <v>38</v>
      </c>
      <c r="F472" t="s">
        <v>49</v>
      </c>
      <c r="G472">
        <v>52</v>
      </c>
      <c r="H472">
        <v>50</v>
      </c>
      <c r="I472">
        <v>46</v>
      </c>
      <c r="J472">
        <v>74</v>
      </c>
      <c r="K472">
        <v>208</v>
      </c>
      <c r="L472">
        <v>101.77</v>
      </c>
      <c r="M472">
        <v>2476.85</v>
      </c>
      <c r="N472">
        <v>75675</v>
      </c>
      <c r="O472">
        <v>999.98</v>
      </c>
      <c r="P472" s="1">
        <v>0.27600000000000002</v>
      </c>
      <c r="Q472">
        <f t="shared" si="35"/>
        <v>102</v>
      </c>
      <c r="R472">
        <f t="shared" si="36"/>
        <v>124</v>
      </c>
      <c r="S472" s="1">
        <f t="shared" si="37"/>
        <v>0.5490196078431373</v>
      </c>
      <c r="T472">
        <f t="shared" si="38"/>
        <v>1.02</v>
      </c>
      <c r="U472" t="str">
        <f t="shared" si="39"/>
        <v>Apr</v>
      </c>
    </row>
    <row r="473" spans="1:21">
      <c r="A473" s="2">
        <v>46116</v>
      </c>
      <c r="B473" t="s">
        <v>4</v>
      </c>
      <c r="C473" t="s">
        <v>46</v>
      </c>
      <c r="D473" t="s">
        <v>5</v>
      </c>
      <c r="E473" t="s">
        <v>37</v>
      </c>
      <c r="F473" t="s">
        <v>45</v>
      </c>
      <c r="G473">
        <v>2</v>
      </c>
      <c r="H473">
        <v>40</v>
      </c>
      <c r="I473">
        <v>4</v>
      </c>
      <c r="J473">
        <v>61</v>
      </c>
      <c r="K473">
        <v>25</v>
      </c>
      <c r="L473">
        <v>118.57</v>
      </c>
      <c r="M473">
        <v>1958.61</v>
      </c>
      <c r="N473">
        <v>75594</v>
      </c>
      <c r="O473">
        <v>1428.84</v>
      </c>
      <c r="P473" s="1">
        <v>-0.71599999999999997</v>
      </c>
      <c r="Q473">
        <f t="shared" si="35"/>
        <v>42</v>
      </c>
      <c r="R473">
        <f t="shared" si="36"/>
        <v>101</v>
      </c>
      <c r="S473" s="1">
        <f t="shared" si="37"/>
        <v>0.90476190476190477</v>
      </c>
      <c r="T473">
        <f t="shared" si="38"/>
        <v>0.42</v>
      </c>
      <c r="U473" t="str">
        <f t="shared" si="39"/>
        <v>Apr</v>
      </c>
    </row>
    <row r="474" spans="1:21">
      <c r="A474" s="2">
        <v>46077</v>
      </c>
      <c r="B474" t="s">
        <v>6</v>
      </c>
      <c r="C474" t="s">
        <v>48</v>
      </c>
      <c r="D474" t="s">
        <v>5</v>
      </c>
      <c r="E474" t="s">
        <v>37</v>
      </c>
      <c r="F474" t="s">
        <v>49</v>
      </c>
      <c r="G474">
        <v>48</v>
      </c>
      <c r="H474">
        <v>19</v>
      </c>
      <c r="I474">
        <v>82</v>
      </c>
      <c r="J474">
        <v>94</v>
      </c>
      <c r="K474">
        <v>313</v>
      </c>
      <c r="L474">
        <v>84.81</v>
      </c>
      <c r="M474">
        <v>2249.89</v>
      </c>
      <c r="N474">
        <v>64666</v>
      </c>
      <c r="O474">
        <v>1188.78</v>
      </c>
      <c r="P474" s="1">
        <v>-0.36399999999999999</v>
      </c>
      <c r="Q474">
        <f t="shared" si="35"/>
        <v>67</v>
      </c>
      <c r="R474">
        <f t="shared" si="36"/>
        <v>113</v>
      </c>
      <c r="S474" s="1">
        <f t="shared" si="37"/>
        <v>-0.22388059701492538</v>
      </c>
      <c r="T474">
        <f t="shared" si="38"/>
        <v>0.67</v>
      </c>
      <c r="U474" t="str">
        <f t="shared" si="39"/>
        <v>Feb</v>
      </c>
    </row>
    <row r="475" spans="1:21">
      <c r="A475" s="2">
        <v>46095</v>
      </c>
      <c r="B475" t="s">
        <v>6</v>
      </c>
      <c r="C475" t="s">
        <v>46</v>
      </c>
      <c r="D475" t="s">
        <v>5</v>
      </c>
      <c r="E475" t="s">
        <v>37</v>
      </c>
      <c r="F475" t="s">
        <v>39</v>
      </c>
      <c r="G475">
        <v>76</v>
      </c>
      <c r="H475">
        <v>9</v>
      </c>
      <c r="I475">
        <v>5</v>
      </c>
      <c r="J475">
        <v>135</v>
      </c>
      <c r="K475">
        <v>323</v>
      </c>
      <c r="L475">
        <v>135.61000000000001</v>
      </c>
      <c r="M475">
        <v>2214.19</v>
      </c>
      <c r="N475">
        <v>65495</v>
      </c>
      <c r="O475">
        <v>984.2</v>
      </c>
      <c r="P475" s="1">
        <v>-0.74199999999999999</v>
      </c>
      <c r="Q475">
        <f t="shared" si="35"/>
        <v>85</v>
      </c>
      <c r="R475">
        <f t="shared" si="36"/>
        <v>144</v>
      </c>
      <c r="S475" s="1">
        <f t="shared" si="37"/>
        <v>0.94117647058823528</v>
      </c>
      <c r="T475">
        <f t="shared" si="38"/>
        <v>0.85</v>
      </c>
      <c r="U475" t="str">
        <f t="shared" si="39"/>
        <v>Mar</v>
      </c>
    </row>
    <row r="476" spans="1:21">
      <c r="A476" s="2">
        <v>46087</v>
      </c>
      <c r="B476" t="s">
        <v>6</v>
      </c>
      <c r="C476" t="s">
        <v>43</v>
      </c>
      <c r="D476" t="s">
        <v>5</v>
      </c>
      <c r="E476" t="s">
        <v>37</v>
      </c>
      <c r="F476" t="s">
        <v>49</v>
      </c>
      <c r="G476">
        <v>22</v>
      </c>
      <c r="H476">
        <v>78</v>
      </c>
      <c r="I476">
        <v>53</v>
      </c>
      <c r="J476">
        <v>50</v>
      </c>
      <c r="K476">
        <v>43</v>
      </c>
      <c r="L476">
        <v>112.45</v>
      </c>
      <c r="M476">
        <v>1821.88</v>
      </c>
      <c r="N476">
        <v>70261</v>
      </c>
      <c r="O476">
        <v>1360.56</v>
      </c>
      <c r="P476" s="1">
        <v>-0.34100000000000003</v>
      </c>
      <c r="Q476">
        <f t="shared" si="35"/>
        <v>100</v>
      </c>
      <c r="R476">
        <f t="shared" si="36"/>
        <v>128</v>
      </c>
      <c r="S476" s="1">
        <f t="shared" si="37"/>
        <v>0.47</v>
      </c>
      <c r="T476">
        <f t="shared" si="38"/>
        <v>1</v>
      </c>
      <c r="U476" t="str">
        <f t="shared" si="39"/>
        <v>Mar</v>
      </c>
    </row>
    <row r="477" spans="1:21">
      <c r="A477" s="2">
        <v>46111</v>
      </c>
      <c r="B477" t="s">
        <v>4</v>
      </c>
      <c r="C477" t="s">
        <v>50</v>
      </c>
      <c r="D477" t="s">
        <v>11</v>
      </c>
      <c r="E477" t="s">
        <v>37</v>
      </c>
      <c r="F477" t="s">
        <v>45</v>
      </c>
      <c r="G477">
        <v>73</v>
      </c>
      <c r="H477">
        <v>59</v>
      </c>
      <c r="I477">
        <v>2</v>
      </c>
      <c r="J477">
        <v>38</v>
      </c>
      <c r="K477">
        <v>429</v>
      </c>
      <c r="L477">
        <v>111.42</v>
      </c>
      <c r="M477">
        <v>2428.81</v>
      </c>
      <c r="N477">
        <v>72116</v>
      </c>
      <c r="O477">
        <v>1344.4</v>
      </c>
      <c r="P477" s="1">
        <v>0.55600000000000005</v>
      </c>
      <c r="Q477">
        <f t="shared" si="35"/>
        <v>132</v>
      </c>
      <c r="R477">
        <f t="shared" si="36"/>
        <v>97</v>
      </c>
      <c r="S477" s="1">
        <f t="shared" si="37"/>
        <v>0.98484848484848486</v>
      </c>
      <c r="T477">
        <f t="shared" si="38"/>
        <v>1.32</v>
      </c>
      <c r="U477" t="str">
        <f t="shared" si="39"/>
        <v>Mar</v>
      </c>
    </row>
    <row r="478" spans="1:21">
      <c r="A478" s="2">
        <v>46118</v>
      </c>
      <c r="B478" t="s">
        <v>6</v>
      </c>
      <c r="C478" t="s">
        <v>34</v>
      </c>
      <c r="D478" t="s">
        <v>9</v>
      </c>
      <c r="E478" t="s">
        <v>32</v>
      </c>
      <c r="F478" t="s">
        <v>45</v>
      </c>
      <c r="G478">
        <v>2</v>
      </c>
      <c r="H478">
        <v>34</v>
      </c>
      <c r="I478">
        <v>69</v>
      </c>
      <c r="J478">
        <v>60</v>
      </c>
      <c r="K478">
        <v>173</v>
      </c>
      <c r="L478">
        <v>132.76</v>
      </c>
      <c r="M478">
        <v>2147.2399999999998</v>
      </c>
      <c r="N478">
        <v>65473</v>
      </c>
      <c r="O478">
        <v>1660.71</v>
      </c>
      <c r="P478" s="1">
        <v>0.63</v>
      </c>
      <c r="Q478">
        <f t="shared" si="35"/>
        <v>36</v>
      </c>
      <c r="R478">
        <f t="shared" si="36"/>
        <v>94</v>
      </c>
      <c r="S478" s="1">
        <f t="shared" si="37"/>
        <v>-0.91666666666666663</v>
      </c>
      <c r="T478">
        <f t="shared" si="38"/>
        <v>0.36</v>
      </c>
      <c r="U478" t="str">
        <f t="shared" si="39"/>
        <v>Apr</v>
      </c>
    </row>
    <row r="479" spans="1:21">
      <c r="A479" s="2">
        <v>46088</v>
      </c>
      <c r="B479" t="s">
        <v>6</v>
      </c>
      <c r="C479" t="s">
        <v>36</v>
      </c>
      <c r="D479" t="s">
        <v>9</v>
      </c>
      <c r="E479" t="s">
        <v>37</v>
      </c>
      <c r="F479" t="s">
        <v>49</v>
      </c>
      <c r="G479">
        <v>17</v>
      </c>
      <c r="H479">
        <v>30</v>
      </c>
      <c r="I479">
        <v>22</v>
      </c>
      <c r="J479">
        <v>86</v>
      </c>
      <c r="K479">
        <v>406</v>
      </c>
      <c r="L479">
        <v>131.9</v>
      </c>
      <c r="M479">
        <v>2493.0700000000002</v>
      </c>
      <c r="N479">
        <v>70206</v>
      </c>
      <c r="O479">
        <v>944.7</v>
      </c>
      <c r="P479" s="1">
        <v>0.96699999999999997</v>
      </c>
      <c r="Q479">
        <f t="shared" si="35"/>
        <v>47</v>
      </c>
      <c r="R479">
        <f t="shared" si="36"/>
        <v>116</v>
      </c>
      <c r="S479" s="1">
        <f t="shared" si="37"/>
        <v>0.53191489361702127</v>
      </c>
      <c r="T479">
        <f t="shared" si="38"/>
        <v>0.47</v>
      </c>
      <c r="U479" t="str">
        <f t="shared" si="39"/>
        <v>Mar</v>
      </c>
    </row>
    <row r="480" spans="1:21">
      <c r="A480" s="2">
        <v>46070</v>
      </c>
      <c r="B480" t="s">
        <v>6</v>
      </c>
      <c r="C480" t="s">
        <v>44</v>
      </c>
      <c r="D480" t="s">
        <v>7</v>
      </c>
      <c r="E480" t="s">
        <v>41</v>
      </c>
      <c r="F480" t="s">
        <v>33</v>
      </c>
      <c r="G480">
        <v>70</v>
      </c>
      <c r="H480">
        <v>29</v>
      </c>
      <c r="I480">
        <v>57</v>
      </c>
      <c r="J480">
        <v>91</v>
      </c>
      <c r="K480">
        <v>105</v>
      </c>
      <c r="L480">
        <v>124.61</v>
      </c>
      <c r="M480">
        <v>2466.09</v>
      </c>
      <c r="N480">
        <v>73101</v>
      </c>
      <c r="O480">
        <v>1046.76</v>
      </c>
      <c r="P480" s="1">
        <v>-0.96299999999999997</v>
      </c>
      <c r="Q480">
        <f t="shared" si="35"/>
        <v>99</v>
      </c>
      <c r="R480">
        <f t="shared" si="36"/>
        <v>120</v>
      </c>
      <c r="S480" s="1">
        <f t="shared" si="37"/>
        <v>0.42424242424242425</v>
      </c>
      <c r="T480">
        <f t="shared" si="38"/>
        <v>0.99</v>
      </c>
      <c r="U480" t="str">
        <f t="shared" si="39"/>
        <v>Feb</v>
      </c>
    </row>
    <row r="481" spans="1:21">
      <c r="A481" s="2">
        <v>46115</v>
      </c>
      <c r="B481" t="s">
        <v>6</v>
      </c>
      <c r="C481" t="s">
        <v>50</v>
      </c>
      <c r="D481" t="s">
        <v>5</v>
      </c>
      <c r="E481" t="s">
        <v>38</v>
      </c>
      <c r="F481" t="s">
        <v>45</v>
      </c>
      <c r="G481">
        <v>98</v>
      </c>
      <c r="H481">
        <v>43</v>
      </c>
      <c r="I481">
        <v>9</v>
      </c>
      <c r="J481">
        <v>38</v>
      </c>
      <c r="K481">
        <v>230</v>
      </c>
      <c r="L481">
        <v>104.55</v>
      </c>
      <c r="M481">
        <v>2037.91</v>
      </c>
      <c r="N481">
        <v>68779</v>
      </c>
      <c r="O481">
        <v>1744.32</v>
      </c>
      <c r="P481" s="1">
        <v>-0.47099999999999997</v>
      </c>
      <c r="Q481">
        <f t="shared" si="35"/>
        <v>141</v>
      </c>
      <c r="R481">
        <f t="shared" si="36"/>
        <v>81</v>
      </c>
      <c r="S481" s="1">
        <f t="shared" si="37"/>
        <v>0.93617021276595747</v>
      </c>
      <c r="T481">
        <f t="shared" si="38"/>
        <v>1.41</v>
      </c>
      <c r="U481" t="str">
        <f t="shared" si="39"/>
        <v>Apr</v>
      </c>
    </row>
    <row r="482" spans="1:21">
      <c r="A482" s="2">
        <v>46076</v>
      </c>
      <c r="B482" t="s">
        <v>6</v>
      </c>
      <c r="C482" t="s">
        <v>51</v>
      </c>
      <c r="D482" t="s">
        <v>7</v>
      </c>
      <c r="E482" t="s">
        <v>38</v>
      </c>
      <c r="F482" t="s">
        <v>33</v>
      </c>
      <c r="G482">
        <v>55</v>
      </c>
      <c r="H482">
        <v>76</v>
      </c>
      <c r="I482">
        <v>75</v>
      </c>
      <c r="J482">
        <v>63</v>
      </c>
      <c r="K482">
        <v>43</v>
      </c>
      <c r="L482">
        <v>102.11</v>
      </c>
      <c r="M482">
        <v>2076.14</v>
      </c>
      <c r="N482">
        <v>64363</v>
      </c>
      <c r="O482">
        <v>955.19</v>
      </c>
      <c r="P482" s="1">
        <v>-0.91600000000000004</v>
      </c>
      <c r="Q482">
        <f t="shared" si="35"/>
        <v>131</v>
      </c>
      <c r="R482">
        <f t="shared" si="36"/>
        <v>139</v>
      </c>
      <c r="S482" s="1">
        <f t="shared" si="37"/>
        <v>0.42748091603053434</v>
      </c>
      <c r="T482">
        <f t="shared" si="38"/>
        <v>1.31</v>
      </c>
      <c r="U482" t="str">
        <f t="shared" si="39"/>
        <v>Feb</v>
      </c>
    </row>
    <row r="483" spans="1:21">
      <c r="A483" s="2">
        <v>46126</v>
      </c>
      <c r="B483" t="s">
        <v>4</v>
      </c>
      <c r="C483" t="s">
        <v>51</v>
      </c>
      <c r="D483" t="s">
        <v>5</v>
      </c>
      <c r="E483" t="s">
        <v>35</v>
      </c>
      <c r="F483" t="s">
        <v>39</v>
      </c>
      <c r="G483">
        <v>90</v>
      </c>
      <c r="H483">
        <v>75</v>
      </c>
      <c r="I483">
        <v>56</v>
      </c>
      <c r="J483">
        <v>96</v>
      </c>
      <c r="K483">
        <v>360</v>
      </c>
      <c r="L483">
        <v>139.15</v>
      </c>
      <c r="M483">
        <v>2123.3200000000002</v>
      </c>
      <c r="N483">
        <v>71722</v>
      </c>
      <c r="O483">
        <v>1621.51</v>
      </c>
      <c r="P483" s="1">
        <v>-0.71299999999999997</v>
      </c>
      <c r="Q483">
        <f t="shared" si="35"/>
        <v>165</v>
      </c>
      <c r="R483">
        <f t="shared" si="36"/>
        <v>171</v>
      </c>
      <c r="S483" s="1">
        <f t="shared" si="37"/>
        <v>0.66060606060606064</v>
      </c>
      <c r="T483">
        <f t="shared" si="38"/>
        <v>1.65</v>
      </c>
      <c r="U483" t="str">
        <f t="shared" si="39"/>
        <v>Apr</v>
      </c>
    </row>
    <row r="484" spans="1:21">
      <c r="A484" s="2">
        <v>46088</v>
      </c>
      <c r="B484" t="s">
        <v>4</v>
      </c>
      <c r="C484" t="s">
        <v>46</v>
      </c>
      <c r="D484" t="s">
        <v>9</v>
      </c>
      <c r="E484" t="s">
        <v>32</v>
      </c>
      <c r="F484" t="s">
        <v>39</v>
      </c>
      <c r="G484">
        <v>26</v>
      </c>
      <c r="H484">
        <v>35</v>
      </c>
      <c r="I484">
        <v>63</v>
      </c>
      <c r="J484">
        <v>70</v>
      </c>
      <c r="K484">
        <v>19</v>
      </c>
      <c r="L484">
        <v>127.69</v>
      </c>
      <c r="M484">
        <v>2203.7399999999998</v>
      </c>
      <c r="N484">
        <v>75238</v>
      </c>
      <c r="O484">
        <v>990.22</v>
      </c>
      <c r="P484" s="1">
        <v>0.92400000000000004</v>
      </c>
      <c r="Q484">
        <f t="shared" si="35"/>
        <v>61</v>
      </c>
      <c r="R484">
        <f t="shared" si="36"/>
        <v>105</v>
      </c>
      <c r="S484" s="1">
        <f t="shared" si="37"/>
        <v>-3.2786885245901641E-2</v>
      </c>
      <c r="T484">
        <f t="shared" si="38"/>
        <v>0.61</v>
      </c>
      <c r="U484" t="str">
        <f t="shared" si="39"/>
        <v>Mar</v>
      </c>
    </row>
    <row r="485" spans="1:21">
      <c r="A485" s="2">
        <v>46125</v>
      </c>
      <c r="B485" t="s">
        <v>4</v>
      </c>
      <c r="C485" t="s">
        <v>48</v>
      </c>
      <c r="D485" t="s">
        <v>11</v>
      </c>
      <c r="E485" t="s">
        <v>35</v>
      </c>
      <c r="F485" t="s">
        <v>49</v>
      </c>
      <c r="G485">
        <v>10</v>
      </c>
      <c r="H485">
        <v>5</v>
      </c>
      <c r="I485">
        <v>32</v>
      </c>
      <c r="J485">
        <v>81</v>
      </c>
      <c r="K485">
        <v>72</v>
      </c>
      <c r="L485">
        <v>101.68</v>
      </c>
      <c r="M485">
        <v>2032.51</v>
      </c>
      <c r="N485">
        <v>71320</v>
      </c>
      <c r="O485">
        <v>1758.36</v>
      </c>
      <c r="P485" s="1">
        <v>0.124</v>
      </c>
      <c r="Q485">
        <f t="shared" si="35"/>
        <v>15</v>
      </c>
      <c r="R485">
        <f t="shared" si="36"/>
        <v>86</v>
      </c>
      <c r="S485" s="1">
        <f t="shared" si="37"/>
        <v>-1.1333333333333333</v>
      </c>
      <c r="T485">
        <f t="shared" si="38"/>
        <v>0.15</v>
      </c>
      <c r="U485" t="str">
        <f t="shared" si="39"/>
        <v>Apr</v>
      </c>
    </row>
    <row r="486" spans="1:21">
      <c r="A486" s="2">
        <v>46116</v>
      </c>
      <c r="B486" t="s">
        <v>4</v>
      </c>
      <c r="C486" t="s">
        <v>51</v>
      </c>
      <c r="D486" t="s">
        <v>7</v>
      </c>
      <c r="E486" t="s">
        <v>35</v>
      </c>
      <c r="F486" t="s">
        <v>33</v>
      </c>
      <c r="G486">
        <v>98</v>
      </c>
      <c r="H486">
        <v>45</v>
      </c>
      <c r="I486">
        <v>16</v>
      </c>
      <c r="J486">
        <v>2</v>
      </c>
      <c r="K486">
        <v>147</v>
      </c>
      <c r="L486">
        <v>132.91</v>
      </c>
      <c r="M486">
        <v>1915.44</v>
      </c>
      <c r="N486">
        <v>72080</v>
      </c>
      <c r="O486">
        <v>908.96</v>
      </c>
      <c r="P486" s="1">
        <v>-0.42</v>
      </c>
      <c r="Q486">
        <f t="shared" si="35"/>
        <v>143</v>
      </c>
      <c r="R486">
        <f t="shared" si="36"/>
        <v>47</v>
      </c>
      <c r="S486" s="1">
        <f t="shared" si="37"/>
        <v>0.88811188811188813</v>
      </c>
      <c r="T486">
        <f t="shared" si="38"/>
        <v>1.43</v>
      </c>
      <c r="U486" t="str">
        <f t="shared" si="39"/>
        <v>Apr</v>
      </c>
    </row>
    <row r="487" spans="1:21">
      <c r="A487" s="2">
        <v>46078</v>
      </c>
      <c r="B487" t="s">
        <v>4</v>
      </c>
      <c r="C487" t="s">
        <v>51</v>
      </c>
      <c r="D487" t="s">
        <v>11</v>
      </c>
      <c r="E487" t="s">
        <v>41</v>
      </c>
      <c r="F487" t="s">
        <v>49</v>
      </c>
      <c r="G487">
        <v>110</v>
      </c>
      <c r="H487">
        <v>49</v>
      </c>
      <c r="I487">
        <v>5</v>
      </c>
      <c r="J487">
        <v>35</v>
      </c>
      <c r="K487">
        <v>165</v>
      </c>
      <c r="L487">
        <v>106.68</v>
      </c>
      <c r="M487">
        <v>2207.96</v>
      </c>
      <c r="N487">
        <v>66451</v>
      </c>
      <c r="O487">
        <v>1215.3800000000001</v>
      </c>
      <c r="P487" s="1">
        <v>0.34599999999999997</v>
      </c>
      <c r="Q487">
        <f t="shared" si="35"/>
        <v>159</v>
      </c>
      <c r="R487">
        <f t="shared" si="36"/>
        <v>84</v>
      </c>
      <c r="S487" s="1">
        <f t="shared" si="37"/>
        <v>0.96855345911949686</v>
      </c>
      <c r="T487">
        <f t="shared" si="38"/>
        <v>1.59</v>
      </c>
      <c r="U487" t="str">
        <f t="shared" si="39"/>
        <v>Feb</v>
      </c>
    </row>
    <row r="488" spans="1:21">
      <c r="A488" s="2">
        <v>46100</v>
      </c>
      <c r="B488" t="s">
        <v>6</v>
      </c>
      <c r="C488" t="s">
        <v>31</v>
      </c>
      <c r="D488" t="s">
        <v>11</v>
      </c>
      <c r="E488" t="s">
        <v>47</v>
      </c>
      <c r="F488" t="s">
        <v>45</v>
      </c>
      <c r="G488">
        <v>83</v>
      </c>
      <c r="H488">
        <v>22</v>
      </c>
      <c r="I488">
        <v>27</v>
      </c>
      <c r="J488">
        <v>101</v>
      </c>
      <c r="K488">
        <v>255</v>
      </c>
      <c r="L488">
        <v>88.79</v>
      </c>
      <c r="M488">
        <v>2083.88</v>
      </c>
      <c r="N488">
        <v>64772</v>
      </c>
      <c r="O488">
        <v>1030.8599999999999</v>
      </c>
      <c r="P488" s="1">
        <v>-0.82599999999999996</v>
      </c>
      <c r="Q488">
        <f t="shared" si="35"/>
        <v>105</v>
      </c>
      <c r="R488">
        <f t="shared" si="36"/>
        <v>123</v>
      </c>
      <c r="S488" s="1">
        <f t="shared" si="37"/>
        <v>0.74285714285714288</v>
      </c>
      <c r="T488">
        <f t="shared" si="38"/>
        <v>1.05</v>
      </c>
      <c r="U488" t="str">
        <f t="shared" si="39"/>
        <v>Mar</v>
      </c>
    </row>
    <row r="489" spans="1:21">
      <c r="A489" s="2">
        <v>46126</v>
      </c>
      <c r="B489" t="s">
        <v>4</v>
      </c>
      <c r="C489" t="s">
        <v>46</v>
      </c>
      <c r="D489" t="s">
        <v>9</v>
      </c>
      <c r="E489" t="s">
        <v>35</v>
      </c>
      <c r="F489" t="s">
        <v>33</v>
      </c>
      <c r="G489">
        <v>114</v>
      </c>
      <c r="H489">
        <v>66</v>
      </c>
      <c r="I489">
        <v>41</v>
      </c>
      <c r="J489">
        <v>8</v>
      </c>
      <c r="K489">
        <v>174</v>
      </c>
      <c r="L489">
        <v>80.08</v>
      </c>
      <c r="M489">
        <v>2497.02</v>
      </c>
      <c r="N489">
        <v>64849</v>
      </c>
      <c r="O489">
        <v>1640.89</v>
      </c>
      <c r="P489" s="1">
        <v>-0.97599999999999998</v>
      </c>
      <c r="Q489">
        <f t="shared" si="35"/>
        <v>180</v>
      </c>
      <c r="R489">
        <f t="shared" si="36"/>
        <v>74</v>
      </c>
      <c r="S489" s="1">
        <f t="shared" si="37"/>
        <v>0.77222222222222225</v>
      </c>
      <c r="T489">
        <f t="shared" si="38"/>
        <v>1.8</v>
      </c>
      <c r="U489" t="str">
        <f t="shared" si="39"/>
        <v>Apr</v>
      </c>
    </row>
    <row r="490" spans="1:21">
      <c r="A490" s="2">
        <v>46113</v>
      </c>
      <c r="B490" t="s">
        <v>4</v>
      </c>
      <c r="C490" t="s">
        <v>44</v>
      </c>
      <c r="D490" t="s">
        <v>10</v>
      </c>
      <c r="E490" t="s">
        <v>37</v>
      </c>
      <c r="F490" t="s">
        <v>33</v>
      </c>
      <c r="G490">
        <v>20</v>
      </c>
      <c r="H490">
        <v>64</v>
      </c>
      <c r="I490">
        <v>20</v>
      </c>
      <c r="J490">
        <v>104</v>
      </c>
      <c r="K490">
        <v>241</v>
      </c>
      <c r="L490">
        <v>123.27</v>
      </c>
      <c r="M490">
        <v>2428.0500000000002</v>
      </c>
      <c r="N490">
        <v>68172</v>
      </c>
      <c r="O490">
        <v>1164.19</v>
      </c>
      <c r="P490" s="1">
        <v>-0.80200000000000005</v>
      </c>
      <c r="Q490">
        <f t="shared" si="35"/>
        <v>84</v>
      </c>
      <c r="R490">
        <f t="shared" si="36"/>
        <v>168</v>
      </c>
      <c r="S490" s="1">
        <f t="shared" si="37"/>
        <v>0.76190476190476186</v>
      </c>
      <c r="T490">
        <f t="shared" si="38"/>
        <v>0.84</v>
      </c>
      <c r="U490" t="str">
        <f t="shared" si="39"/>
        <v>Apr</v>
      </c>
    </row>
    <row r="491" spans="1:21">
      <c r="A491" s="2">
        <v>46070</v>
      </c>
      <c r="B491" t="s">
        <v>6</v>
      </c>
      <c r="C491" t="s">
        <v>44</v>
      </c>
      <c r="D491" t="s">
        <v>5</v>
      </c>
      <c r="E491" t="s">
        <v>37</v>
      </c>
      <c r="F491" t="s">
        <v>49</v>
      </c>
      <c r="G491">
        <v>66</v>
      </c>
      <c r="H491">
        <v>46</v>
      </c>
      <c r="I491">
        <v>67</v>
      </c>
      <c r="J491">
        <v>95</v>
      </c>
      <c r="K491">
        <v>441</v>
      </c>
      <c r="L491">
        <v>126.99</v>
      </c>
      <c r="M491">
        <v>2108.67</v>
      </c>
      <c r="N491">
        <v>70062</v>
      </c>
      <c r="O491">
        <v>924.26</v>
      </c>
      <c r="P491" s="1">
        <v>8.4000000000000005E-2</v>
      </c>
      <c r="Q491">
        <f t="shared" si="35"/>
        <v>112</v>
      </c>
      <c r="R491">
        <f t="shared" si="36"/>
        <v>141</v>
      </c>
      <c r="S491" s="1">
        <f t="shared" si="37"/>
        <v>0.4017857142857143</v>
      </c>
      <c r="T491">
        <f t="shared" si="38"/>
        <v>1.1200000000000001</v>
      </c>
      <c r="U491" t="str">
        <f t="shared" si="39"/>
        <v>Feb</v>
      </c>
    </row>
    <row r="492" spans="1:21">
      <c r="A492" s="2">
        <v>46090</v>
      </c>
      <c r="B492" t="s">
        <v>6</v>
      </c>
      <c r="C492" t="s">
        <v>43</v>
      </c>
      <c r="D492" t="s">
        <v>10</v>
      </c>
      <c r="E492" t="s">
        <v>42</v>
      </c>
      <c r="F492" t="s">
        <v>49</v>
      </c>
      <c r="G492">
        <v>32</v>
      </c>
      <c r="H492">
        <v>53</v>
      </c>
      <c r="I492">
        <v>57</v>
      </c>
      <c r="J492">
        <v>21</v>
      </c>
      <c r="K492">
        <v>136</v>
      </c>
      <c r="L492">
        <v>116.66</v>
      </c>
      <c r="M492">
        <v>2377.1</v>
      </c>
      <c r="N492">
        <v>70368</v>
      </c>
      <c r="O492">
        <v>1596.01</v>
      </c>
      <c r="P492" s="1">
        <v>-0.76</v>
      </c>
      <c r="Q492">
        <f t="shared" si="35"/>
        <v>85</v>
      </c>
      <c r="R492">
        <f t="shared" si="36"/>
        <v>74</v>
      </c>
      <c r="S492" s="1">
        <f t="shared" si="37"/>
        <v>0.32941176470588235</v>
      </c>
      <c r="T492">
        <f t="shared" si="38"/>
        <v>0.85</v>
      </c>
      <c r="U492" t="str">
        <f t="shared" si="39"/>
        <v>Mar</v>
      </c>
    </row>
    <row r="493" spans="1:21">
      <c r="A493" s="2">
        <v>46071</v>
      </c>
      <c r="B493" t="s">
        <v>6</v>
      </c>
      <c r="C493" t="s">
        <v>51</v>
      </c>
      <c r="D493" t="s">
        <v>10</v>
      </c>
      <c r="E493" t="s">
        <v>37</v>
      </c>
      <c r="F493" t="s">
        <v>49</v>
      </c>
      <c r="G493">
        <v>108</v>
      </c>
      <c r="H493">
        <v>53</v>
      </c>
      <c r="I493">
        <v>25</v>
      </c>
      <c r="J493">
        <v>156</v>
      </c>
      <c r="K493">
        <v>349</v>
      </c>
      <c r="L493">
        <v>115.55</v>
      </c>
      <c r="M493">
        <v>2245.6</v>
      </c>
      <c r="N493">
        <v>74553</v>
      </c>
      <c r="O493">
        <v>1604.69</v>
      </c>
      <c r="P493" s="1">
        <v>-0.91500000000000004</v>
      </c>
      <c r="Q493">
        <f t="shared" si="35"/>
        <v>161</v>
      </c>
      <c r="R493">
        <f t="shared" si="36"/>
        <v>209</v>
      </c>
      <c r="S493" s="1">
        <f t="shared" si="37"/>
        <v>0.84472049689440998</v>
      </c>
      <c r="T493">
        <f t="shared" si="38"/>
        <v>1.61</v>
      </c>
      <c r="U493" t="str">
        <f t="shared" si="39"/>
        <v>Feb</v>
      </c>
    </row>
    <row r="494" spans="1:21">
      <c r="A494" s="2">
        <v>46109</v>
      </c>
      <c r="B494" t="s">
        <v>4</v>
      </c>
      <c r="C494" t="s">
        <v>50</v>
      </c>
      <c r="D494" t="s">
        <v>11</v>
      </c>
      <c r="E494" t="s">
        <v>47</v>
      </c>
      <c r="F494" t="s">
        <v>45</v>
      </c>
      <c r="G494">
        <v>6</v>
      </c>
      <c r="H494">
        <v>38</v>
      </c>
      <c r="I494">
        <v>8</v>
      </c>
      <c r="J494">
        <v>44</v>
      </c>
      <c r="K494">
        <v>249</v>
      </c>
      <c r="L494">
        <v>80.69</v>
      </c>
      <c r="M494">
        <v>2482.88</v>
      </c>
      <c r="N494">
        <v>73010</v>
      </c>
      <c r="O494">
        <v>1506.3</v>
      </c>
      <c r="P494" s="1">
        <v>0.63900000000000001</v>
      </c>
      <c r="Q494">
        <f t="shared" si="35"/>
        <v>44</v>
      </c>
      <c r="R494">
        <f t="shared" si="36"/>
        <v>82</v>
      </c>
      <c r="S494" s="1">
        <f t="shared" si="37"/>
        <v>0.81818181818181823</v>
      </c>
      <c r="T494">
        <f t="shared" si="38"/>
        <v>0.44</v>
      </c>
      <c r="U494" t="str">
        <f t="shared" si="39"/>
        <v>Mar</v>
      </c>
    </row>
    <row r="495" spans="1:21">
      <c r="A495" s="2">
        <v>46096</v>
      </c>
      <c r="B495" t="s">
        <v>6</v>
      </c>
      <c r="C495" t="s">
        <v>40</v>
      </c>
      <c r="D495" t="s">
        <v>10</v>
      </c>
      <c r="E495" t="s">
        <v>42</v>
      </c>
      <c r="F495" t="s">
        <v>49</v>
      </c>
      <c r="G495">
        <v>103</v>
      </c>
      <c r="H495">
        <v>44</v>
      </c>
      <c r="I495">
        <v>30</v>
      </c>
      <c r="J495">
        <v>24</v>
      </c>
      <c r="K495">
        <v>190</v>
      </c>
      <c r="L495">
        <v>105.05</v>
      </c>
      <c r="M495">
        <v>1820.5</v>
      </c>
      <c r="N495">
        <v>69915</v>
      </c>
      <c r="O495">
        <v>1231.73</v>
      </c>
      <c r="P495" s="1">
        <v>0.36399999999999999</v>
      </c>
      <c r="Q495">
        <f t="shared" si="35"/>
        <v>147</v>
      </c>
      <c r="R495">
        <f t="shared" si="36"/>
        <v>68</v>
      </c>
      <c r="S495" s="1">
        <f t="shared" si="37"/>
        <v>0.79591836734693877</v>
      </c>
      <c r="T495">
        <f t="shared" si="38"/>
        <v>1.47</v>
      </c>
      <c r="U495" t="str">
        <f t="shared" si="39"/>
        <v>Mar</v>
      </c>
    </row>
    <row r="496" spans="1:21">
      <c r="A496" s="2">
        <v>46121</v>
      </c>
      <c r="B496" t="s">
        <v>6</v>
      </c>
      <c r="C496" t="s">
        <v>43</v>
      </c>
      <c r="D496" t="s">
        <v>10</v>
      </c>
      <c r="E496" t="s">
        <v>38</v>
      </c>
      <c r="F496" t="s">
        <v>33</v>
      </c>
      <c r="G496">
        <v>79</v>
      </c>
      <c r="H496">
        <v>21</v>
      </c>
      <c r="I496">
        <v>53</v>
      </c>
      <c r="J496">
        <v>123</v>
      </c>
      <c r="K496">
        <v>401</v>
      </c>
      <c r="L496">
        <v>81.790000000000006</v>
      </c>
      <c r="M496">
        <v>2267.33</v>
      </c>
      <c r="N496">
        <v>74599</v>
      </c>
      <c r="O496">
        <v>1684.14</v>
      </c>
      <c r="P496" s="1">
        <v>0.5</v>
      </c>
      <c r="Q496">
        <f t="shared" si="35"/>
        <v>100</v>
      </c>
      <c r="R496">
        <f t="shared" si="36"/>
        <v>144</v>
      </c>
      <c r="S496" s="1">
        <f t="shared" si="37"/>
        <v>0.47</v>
      </c>
      <c r="T496">
        <f t="shared" si="38"/>
        <v>1</v>
      </c>
      <c r="U496" t="str">
        <f t="shared" si="39"/>
        <v>Apr</v>
      </c>
    </row>
    <row r="497" spans="1:21">
      <c r="A497" s="2">
        <v>46083</v>
      </c>
      <c r="B497" t="s">
        <v>6</v>
      </c>
      <c r="C497" t="s">
        <v>43</v>
      </c>
      <c r="D497" t="s">
        <v>10</v>
      </c>
      <c r="E497" t="s">
        <v>42</v>
      </c>
      <c r="F497" t="s">
        <v>39</v>
      </c>
      <c r="G497">
        <v>108</v>
      </c>
      <c r="H497">
        <v>56</v>
      </c>
      <c r="I497">
        <v>45</v>
      </c>
      <c r="J497">
        <v>109</v>
      </c>
      <c r="K497">
        <v>224</v>
      </c>
      <c r="L497">
        <v>81.23</v>
      </c>
      <c r="M497">
        <v>2102.13</v>
      </c>
      <c r="N497">
        <v>66640</v>
      </c>
      <c r="O497">
        <v>1763.03</v>
      </c>
      <c r="P497" s="1">
        <v>-8.1000000000000003E-2</v>
      </c>
      <c r="Q497">
        <f t="shared" si="35"/>
        <v>164</v>
      </c>
      <c r="R497">
        <f t="shared" si="36"/>
        <v>165</v>
      </c>
      <c r="S497" s="1">
        <f t="shared" si="37"/>
        <v>0.72560975609756095</v>
      </c>
      <c r="T497">
        <f t="shared" si="38"/>
        <v>1.64</v>
      </c>
      <c r="U497" t="str">
        <f t="shared" si="39"/>
        <v>Mar</v>
      </c>
    </row>
    <row r="498" spans="1:21">
      <c r="A498" s="2">
        <v>46120</v>
      </c>
      <c r="B498" t="s">
        <v>6</v>
      </c>
      <c r="C498" t="s">
        <v>51</v>
      </c>
      <c r="D498" t="s">
        <v>5</v>
      </c>
      <c r="E498" t="s">
        <v>47</v>
      </c>
      <c r="F498" t="s">
        <v>33</v>
      </c>
      <c r="G498">
        <v>16</v>
      </c>
      <c r="H498">
        <v>43</v>
      </c>
      <c r="I498">
        <v>67</v>
      </c>
      <c r="J498">
        <v>151</v>
      </c>
      <c r="K498">
        <v>427</v>
      </c>
      <c r="L498">
        <v>125.69</v>
      </c>
      <c r="M498">
        <v>2461</v>
      </c>
      <c r="N498">
        <v>64077</v>
      </c>
      <c r="O498">
        <v>1726.72</v>
      </c>
      <c r="P498" s="1">
        <v>0.86899999999999999</v>
      </c>
      <c r="Q498">
        <f t="shared" si="35"/>
        <v>59</v>
      </c>
      <c r="R498">
        <f t="shared" si="36"/>
        <v>194</v>
      </c>
      <c r="S498" s="1">
        <f t="shared" si="37"/>
        <v>-0.13559322033898305</v>
      </c>
      <c r="T498">
        <f t="shared" si="38"/>
        <v>0.59</v>
      </c>
      <c r="U498" t="str">
        <f t="shared" si="39"/>
        <v>Apr</v>
      </c>
    </row>
    <row r="499" spans="1:21">
      <c r="A499" s="2">
        <v>46113</v>
      </c>
      <c r="B499" t="s">
        <v>4</v>
      </c>
      <c r="C499" t="s">
        <v>46</v>
      </c>
      <c r="D499" t="s">
        <v>7</v>
      </c>
      <c r="E499" t="s">
        <v>37</v>
      </c>
      <c r="F499" t="s">
        <v>39</v>
      </c>
      <c r="G499">
        <v>14</v>
      </c>
      <c r="H499">
        <v>39</v>
      </c>
      <c r="I499">
        <v>11</v>
      </c>
      <c r="J499">
        <v>78</v>
      </c>
      <c r="K499">
        <v>165</v>
      </c>
      <c r="L499">
        <v>87.6</v>
      </c>
      <c r="M499">
        <v>2187.5500000000002</v>
      </c>
      <c r="N499">
        <v>73511</v>
      </c>
      <c r="O499">
        <v>1793.59</v>
      </c>
      <c r="P499" s="1">
        <v>0.91800000000000004</v>
      </c>
      <c r="Q499">
        <f t="shared" si="35"/>
        <v>53</v>
      </c>
      <c r="R499">
        <f t="shared" si="36"/>
        <v>117</v>
      </c>
      <c r="S499" s="1">
        <f t="shared" si="37"/>
        <v>0.79245283018867929</v>
      </c>
      <c r="T499">
        <f t="shared" si="38"/>
        <v>0.53</v>
      </c>
      <c r="U499" t="str">
        <f t="shared" si="39"/>
        <v>Apr</v>
      </c>
    </row>
    <row r="500" spans="1:21">
      <c r="A500" s="2">
        <v>46106</v>
      </c>
      <c r="B500" t="s">
        <v>6</v>
      </c>
      <c r="C500" t="s">
        <v>40</v>
      </c>
      <c r="D500" t="s">
        <v>7</v>
      </c>
      <c r="E500" t="s">
        <v>42</v>
      </c>
      <c r="F500" t="s">
        <v>39</v>
      </c>
      <c r="G500">
        <v>114</v>
      </c>
      <c r="H500">
        <v>53</v>
      </c>
      <c r="I500">
        <v>69</v>
      </c>
      <c r="J500">
        <v>122</v>
      </c>
      <c r="K500">
        <v>237</v>
      </c>
      <c r="L500">
        <v>87.25</v>
      </c>
      <c r="M500">
        <v>1973.83</v>
      </c>
      <c r="N500">
        <v>75720</v>
      </c>
      <c r="O500">
        <v>1691.33</v>
      </c>
      <c r="P500" s="1">
        <v>-0.46300000000000002</v>
      </c>
      <c r="Q500">
        <f t="shared" si="35"/>
        <v>167</v>
      </c>
      <c r="R500">
        <f t="shared" si="36"/>
        <v>175</v>
      </c>
      <c r="S500" s="1">
        <f t="shared" si="37"/>
        <v>0.58682634730538918</v>
      </c>
      <c r="T500">
        <f t="shared" si="38"/>
        <v>1.67</v>
      </c>
      <c r="U500" t="str">
        <f t="shared" si="39"/>
        <v>Mar</v>
      </c>
    </row>
    <row r="501" spans="1:21">
      <c r="A501" s="2">
        <v>46077</v>
      </c>
      <c r="B501" t="s">
        <v>4</v>
      </c>
      <c r="C501" t="s">
        <v>51</v>
      </c>
      <c r="D501" t="s">
        <v>10</v>
      </c>
      <c r="E501" t="s">
        <v>37</v>
      </c>
      <c r="F501" t="s">
        <v>33</v>
      </c>
      <c r="G501">
        <v>81</v>
      </c>
      <c r="H501">
        <v>77</v>
      </c>
      <c r="I501">
        <v>83</v>
      </c>
      <c r="J501">
        <v>2</v>
      </c>
      <c r="K501">
        <v>31</v>
      </c>
      <c r="L501">
        <v>120.39</v>
      </c>
      <c r="M501">
        <v>1812.72</v>
      </c>
      <c r="N501">
        <v>70794</v>
      </c>
      <c r="O501">
        <v>1394.67</v>
      </c>
      <c r="P501" s="1">
        <v>-0.108</v>
      </c>
      <c r="Q501">
        <f t="shared" si="35"/>
        <v>158</v>
      </c>
      <c r="R501">
        <f t="shared" si="36"/>
        <v>79</v>
      </c>
      <c r="S501" s="1">
        <f t="shared" si="37"/>
        <v>0.47468354430379744</v>
      </c>
      <c r="T501">
        <f t="shared" si="38"/>
        <v>1.58</v>
      </c>
      <c r="U501" t="str">
        <f t="shared" si="39"/>
        <v>Feb</v>
      </c>
    </row>
    <row r="502" spans="1:21">
      <c r="A502" s="2">
        <v>46109</v>
      </c>
      <c r="B502" t="s">
        <v>4</v>
      </c>
      <c r="C502" t="s">
        <v>43</v>
      </c>
      <c r="D502" t="s">
        <v>10</v>
      </c>
      <c r="E502" t="s">
        <v>32</v>
      </c>
      <c r="F502" t="s">
        <v>39</v>
      </c>
      <c r="G502">
        <v>71</v>
      </c>
      <c r="H502">
        <v>5</v>
      </c>
      <c r="I502">
        <v>39</v>
      </c>
      <c r="J502">
        <v>20</v>
      </c>
      <c r="K502">
        <v>66</v>
      </c>
      <c r="L502">
        <v>90.49</v>
      </c>
      <c r="M502">
        <v>2356.31</v>
      </c>
      <c r="N502">
        <v>66803</v>
      </c>
      <c r="O502">
        <v>1400.98</v>
      </c>
      <c r="P502" s="1">
        <v>0.36</v>
      </c>
      <c r="Q502">
        <f t="shared" si="35"/>
        <v>76</v>
      </c>
      <c r="R502">
        <f t="shared" si="36"/>
        <v>25</v>
      </c>
      <c r="S502" s="1">
        <f t="shared" si="37"/>
        <v>0.48684210526315791</v>
      </c>
      <c r="T502">
        <f t="shared" si="38"/>
        <v>0.76</v>
      </c>
      <c r="U502" t="str">
        <f t="shared" si="39"/>
        <v>Mar</v>
      </c>
    </row>
    <row r="503" spans="1:21">
      <c r="A503" s="2">
        <v>46109</v>
      </c>
      <c r="B503" t="s">
        <v>4</v>
      </c>
      <c r="C503" t="s">
        <v>31</v>
      </c>
      <c r="D503" t="s">
        <v>7</v>
      </c>
      <c r="E503" t="s">
        <v>47</v>
      </c>
      <c r="F503" t="s">
        <v>49</v>
      </c>
      <c r="G503">
        <v>38</v>
      </c>
      <c r="H503">
        <v>17</v>
      </c>
      <c r="I503">
        <v>11</v>
      </c>
      <c r="J503">
        <v>116</v>
      </c>
      <c r="K503">
        <v>51</v>
      </c>
      <c r="L503">
        <v>95.31</v>
      </c>
      <c r="M503">
        <v>1854.96</v>
      </c>
      <c r="N503">
        <v>74020</v>
      </c>
      <c r="O503">
        <v>959.05</v>
      </c>
      <c r="P503" s="1">
        <v>0.184</v>
      </c>
      <c r="Q503">
        <f t="shared" si="35"/>
        <v>55</v>
      </c>
      <c r="R503">
        <f t="shared" si="36"/>
        <v>133</v>
      </c>
      <c r="S503" s="1">
        <f t="shared" si="37"/>
        <v>0.8</v>
      </c>
      <c r="T503">
        <f t="shared" si="38"/>
        <v>0.55000000000000004</v>
      </c>
      <c r="U503" t="str">
        <f t="shared" si="39"/>
        <v>Mar</v>
      </c>
    </row>
    <row r="504" spans="1:21">
      <c r="A504" s="2">
        <v>46104</v>
      </c>
      <c r="B504" t="s">
        <v>6</v>
      </c>
      <c r="C504" t="s">
        <v>31</v>
      </c>
      <c r="D504" t="s">
        <v>7</v>
      </c>
      <c r="E504" t="s">
        <v>32</v>
      </c>
      <c r="F504" t="s">
        <v>33</v>
      </c>
      <c r="G504">
        <v>94</v>
      </c>
      <c r="H504">
        <v>14</v>
      </c>
      <c r="I504">
        <v>20</v>
      </c>
      <c r="J504">
        <v>43</v>
      </c>
      <c r="K504">
        <v>37</v>
      </c>
      <c r="L504">
        <v>109.83</v>
      </c>
      <c r="M504">
        <v>2280.34</v>
      </c>
      <c r="N504">
        <v>67371</v>
      </c>
      <c r="O504">
        <v>966.82</v>
      </c>
      <c r="P504" s="1">
        <v>0.48199999999999998</v>
      </c>
      <c r="Q504">
        <f t="shared" si="35"/>
        <v>108</v>
      </c>
      <c r="R504">
        <f t="shared" si="36"/>
        <v>57</v>
      </c>
      <c r="S504" s="1">
        <f t="shared" si="37"/>
        <v>0.81481481481481477</v>
      </c>
      <c r="T504">
        <f t="shared" si="38"/>
        <v>1.08</v>
      </c>
      <c r="U504" t="str">
        <f t="shared" si="39"/>
        <v>Mar</v>
      </c>
    </row>
    <row r="505" spans="1:21">
      <c r="A505" s="2">
        <v>46108</v>
      </c>
      <c r="B505" t="s">
        <v>6</v>
      </c>
      <c r="C505" t="s">
        <v>31</v>
      </c>
      <c r="D505" t="s">
        <v>11</v>
      </c>
      <c r="E505" t="s">
        <v>41</v>
      </c>
      <c r="F505" t="s">
        <v>49</v>
      </c>
      <c r="G505">
        <v>33</v>
      </c>
      <c r="H505">
        <v>74</v>
      </c>
      <c r="I505">
        <v>19</v>
      </c>
      <c r="J505">
        <v>106</v>
      </c>
      <c r="K505">
        <v>445</v>
      </c>
      <c r="L505">
        <v>123.95</v>
      </c>
      <c r="M505">
        <v>2084.59</v>
      </c>
      <c r="N505">
        <v>66978</v>
      </c>
      <c r="O505">
        <v>1580.03</v>
      </c>
      <c r="P505" s="1">
        <v>0.76700000000000002</v>
      </c>
      <c r="Q505">
        <f t="shared" si="35"/>
        <v>107</v>
      </c>
      <c r="R505">
        <f t="shared" si="36"/>
        <v>180</v>
      </c>
      <c r="S505" s="1">
        <f t="shared" si="37"/>
        <v>0.82242990654205606</v>
      </c>
      <c r="T505">
        <f t="shared" si="38"/>
        <v>1.07</v>
      </c>
      <c r="U505" t="str">
        <f t="shared" si="39"/>
        <v>Mar</v>
      </c>
    </row>
    <row r="506" spans="1:21">
      <c r="A506" s="2">
        <v>46080</v>
      </c>
      <c r="B506" t="s">
        <v>4</v>
      </c>
      <c r="C506" t="s">
        <v>44</v>
      </c>
      <c r="D506" t="s">
        <v>9</v>
      </c>
      <c r="E506" t="s">
        <v>38</v>
      </c>
      <c r="F506" t="s">
        <v>49</v>
      </c>
      <c r="G506">
        <v>56</v>
      </c>
      <c r="H506">
        <v>39</v>
      </c>
      <c r="I506">
        <v>23</v>
      </c>
      <c r="J506">
        <v>56</v>
      </c>
      <c r="K506">
        <v>54</v>
      </c>
      <c r="L506">
        <v>113.44</v>
      </c>
      <c r="M506">
        <v>1835.37</v>
      </c>
      <c r="N506">
        <v>70658</v>
      </c>
      <c r="O506">
        <v>1462.91</v>
      </c>
      <c r="P506" s="1">
        <v>-0.79600000000000004</v>
      </c>
      <c r="Q506">
        <f t="shared" si="35"/>
        <v>95</v>
      </c>
      <c r="R506">
        <f t="shared" si="36"/>
        <v>95</v>
      </c>
      <c r="S506" s="1">
        <f t="shared" si="37"/>
        <v>0.75789473684210529</v>
      </c>
      <c r="T506">
        <f t="shared" si="38"/>
        <v>0.95</v>
      </c>
      <c r="U506" t="str">
        <f t="shared" si="39"/>
        <v>Feb</v>
      </c>
    </row>
    <row r="507" spans="1:21">
      <c r="A507" s="2">
        <v>46102</v>
      </c>
      <c r="B507" t="s">
        <v>6</v>
      </c>
      <c r="C507" t="s">
        <v>51</v>
      </c>
      <c r="D507" t="s">
        <v>5</v>
      </c>
      <c r="E507" t="s">
        <v>35</v>
      </c>
      <c r="F507" t="s">
        <v>33</v>
      </c>
      <c r="G507">
        <v>97</v>
      </c>
      <c r="H507">
        <v>75</v>
      </c>
      <c r="I507">
        <v>43</v>
      </c>
      <c r="J507">
        <v>58</v>
      </c>
      <c r="K507">
        <v>111</v>
      </c>
      <c r="L507">
        <v>86.66</v>
      </c>
      <c r="M507">
        <v>2334.5100000000002</v>
      </c>
      <c r="N507">
        <v>72251</v>
      </c>
      <c r="O507">
        <v>1540.98</v>
      </c>
      <c r="P507" s="1">
        <v>0.17399999999999999</v>
      </c>
      <c r="Q507">
        <f t="shared" si="35"/>
        <v>172</v>
      </c>
      <c r="R507">
        <f t="shared" si="36"/>
        <v>133</v>
      </c>
      <c r="S507" s="1">
        <f t="shared" si="37"/>
        <v>0.75</v>
      </c>
      <c r="T507">
        <f t="shared" si="38"/>
        <v>1.72</v>
      </c>
      <c r="U507" t="str">
        <f t="shared" si="39"/>
        <v>Mar</v>
      </c>
    </row>
    <row r="508" spans="1:21">
      <c r="A508" s="2">
        <v>46104</v>
      </c>
      <c r="B508" t="s">
        <v>4</v>
      </c>
      <c r="C508" t="s">
        <v>34</v>
      </c>
      <c r="D508" t="s">
        <v>9</v>
      </c>
      <c r="E508" t="s">
        <v>41</v>
      </c>
      <c r="F508" t="s">
        <v>49</v>
      </c>
      <c r="G508">
        <v>65</v>
      </c>
      <c r="H508">
        <v>35</v>
      </c>
      <c r="I508">
        <v>63</v>
      </c>
      <c r="J508">
        <v>91</v>
      </c>
      <c r="K508">
        <v>159</v>
      </c>
      <c r="L508">
        <v>105.9</v>
      </c>
      <c r="M508">
        <v>1818.52</v>
      </c>
      <c r="N508">
        <v>74240</v>
      </c>
      <c r="O508">
        <v>1537.75</v>
      </c>
      <c r="P508" s="1">
        <v>-0.26</v>
      </c>
      <c r="Q508">
        <f t="shared" si="35"/>
        <v>100</v>
      </c>
      <c r="R508">
        <f t="shared" si="36"/>
        <v>126</v>
      </c>
      <c r="S508" s="1">
        <f t="shared" si="37"/>
        <v>0.37</v>
      </c>
      <c r="T508">
        <f t="shared" si="38"/>
        <v>1</v>
      </c>
      <c r="U508" t="str">
        <f t="shared" si="39"/>
        <v>Mar</v>
      </c>
    </row>
    <row r="509" spans="1:21">
      <c r="A509" s="2">
        <v>46090</v>
      </c>
      <c r="B509" t="s">
        <v>6</v>
      </c>
      <c r="C509" t="s">
        <v>34</v>
      </c>
      <c r="D509" t="s">
        <v>10</v>
      </c>
      <c r="E509" t="s">
        <v>42</v>
      </c>
      <c r="F509" t="s">
        <v>49</v>
      </c>
      <c r="G509">
        <v>46</v>
      </c>
      <c r="H509">
        <v>8</v>
      </c>
      <c r="I509">
        <v>38</v>
      </c>
      <c r="J509">
        <v>66</v>
      </c>
      <c r="K509">
        <v>339</v>
      </c>
      <c r="L509">
        <v>123.27</v>
      </c>
      <c r="M509">
        <v>2086.0700000000002</v>
      </c>
      <c r="N509">
        <v>73638</v>
      </c>
      <c r="O509">
        <v>1513.89</v>
      </c>
      <c r="P509" s="1">
        <v>-0.16800000000000001</v>
      </c>
      <c r="Q509">
        <f t="shared" si="35"/>
        <v>54</v>
      </c>
      <c r="R509">
        <f t="shared" si="36"/>
        <v>74</v>
      </c>
      <c r="S509" s="1">
        <f t="shared" si="37"/>
        <v>0.29629629629629628</v>
      </c>
      <c r="T509">
        <f t="shared" si="38"/>
        <v>0.54</v>
      </c>
      <c r="U509" t="str">
        <f t="shared" si="39"/>
        <v>Mar</v>
      </c>
    </row>
    <row r="510" spans="1:21">
      <c r="A510" s="2">
        <v>46073</v>
      </c>
      <c r="B510" t="s">
        <v>4</v>
      </c>
      <c r="C510" t="s">
        <v>46</v>
      </c>
      <c r="D510" t="s">
        <v>10</v>
      </c>
      <c r="E510" t="s">
        <v>42</v>
      </c>
      <c r="F510" t="s">
        <v>49</v>
      </c>
      <c r="G510">
        <v>94</v>
      </c>
      <c r="H510">
        <v>75</v>
      </c>
      <c r="I510">
        <v>11</v>
      </c>
      <c r="J510">
        <v>120</v>
      </c>
      <c r="K510">
        <v>264</v>
      </c>
      <c r="L510">
        <v>118.2</v>
      </c>
      <c r="M510">
        <v>2374.9299999999998</v>
      </c>
      <c r="N510">
        <v>66967</v>
      </c>
      <c r="O510">
        <v>1361.77</v>
      </c>
      <c r="P510" s="1">
        <v>0.11</v>
      </c>
      <c r="Q510">
        <f t="shared" si="35"/>
        <v>169</v>
      </c>
      <c r="R510">
        <f t="shared" si="36"/>
        <v>195</v>
      </c>
      <c r="S510" s="1">
        <f t="shared" si="37"/>
        <v>0.9349112426035503</v>
      </c>
      <c r="T510">
        <f t="shared" si="38"/>
        <v>1.69</v>
      </c>
      <c r="U510" t="str">
        <f t="shared" si="39"/>
        <v>Feb</v>
      </c>
    </row>
    <row r="511" spans="1:21">
      <c r="A511" s="2">
        <v>46127</v>
      </c>
      <c r="B511" t="s">
        <v>4</v>
      </c>
      <c r="C511" t="s">
        <v>31</v>
      </c>
      <c r="D511" t="s">
        <v>11</v>
      </c>
      <c r="E511" t="s">
        <v>42</v>
      </c>
      <c r="F511" t="s">
        <v>45</v>
      </c>
      <c r="G511">
        <v>25</v>
      </c>
      <c r="H511">
        <v>61</v>
      </c>
      <c r="I511">
        <v>81</v>
      </c>
      <c r="J511">
        <v>17</v>
      </c>
      <c r="K511">
        <v>405</v>
      </c>
      <c r="L511">
        <v>81.680000000000007</v>
      </c>
      <c r="M511">
        <v>1910.55</v>
      </c>
      <c r="N511">
        <v>66274</v>
      </c>
      <c r="O511">
        <v>984.08</v>
      </c>
      <c r="P511" s="1">
        <v>-0.35</v>
      </c>
      <c r="Q511">
        <f t="shared" si="35"/>
        <v>86</v>
      </c>
      <c r="R511">
        <f t="shared" si="36"/>
        <v>78</v>
      </c>
      <c r="S511" s="1">
        <f t="shared" si="37"/>
        <v>5.8139534883720929E-2</v>
      </c>
      <c r="T511">
        <f t="shared" si="38"/>
        <v>0.86</v>
      </c>
      <c r="U511" t="str">
        <f t="shared" si="39"/>
        <v>Apr</v>
      </c>
    </row>
    <row r="512" spans="1:21">
      <c r="A512" s="2">
        <v>46083</v>
      </c>
      <c r="B512" t="s">
        <v>6</v>
      </c>
      <c r="C512" t="s">
        <v>43</v>
      </c>
      <c r="D512" t="s">
        <v>7</v>
      </c>
      <c r="E512" t="s">
        <v>32</v>
      </c>
      <c r="F512" t="s">
        <v>49</v>
      </c>
      <c r="G512">
        <v>27</v>
      </c>
      <c r="H512">
        <v>19</v>
      </c>
      <c r="I512">
        <v>1</v>
      </c>
      <c r="J512">
        <v>126</v>
      </c>
      <c r="K512">
        <v>436</v>
      </c>
      <c r="L512">
        <v>132.68</v>
      </c>
      <c r="M512">
        <v>2360.13</v>
      </c>
      <c r="N512">
        <v>70609</v>
      </c>
      <c r="O512">
        <v>1143.68</v>
      </c>
      <c r="P512" s="1">
        <v>-0.45100000000000001</v>
      </c>
      <c r="Q512">
        <f t="shared" si="35"/>
        <v>46</v>
      </c>
      <c r="R512">
        <f t="shared" si="36"/>
        <v>145</v>
      </c>
      <c r="S512" s="1">
        <f t="shared" si="37"/>
        <v>0.97826086956521741</v>
      </c>
      <c r="T512">
        <f t="shared" si="38"/>
        <v>0.46</v>
      </c>
      <c r="U512" t="str">
        <f t="shared" si="39"/>
        <v>Mar</v>
      </c>
    </row>
    <row r="513" spans="1:21">
      <c r="A513" s="2">
        <v>46071</v>
      </c>
      <c r="B513" t="s">
        <v>6</v>
      </c>
      <c r="C513" t="s">
        <v>50</v>
      </c>
      <c r="D513" t="s">
        <v>10</v>
      </c>
      <c r="E513" t="s">
        <v>47</v>
      </c>
      <c r="F513" t="s">
        <v>49</v>
      </c>
      <c r="G513">
        <v>104</v>
      </c>
      <c r="H513">
        <v>22</v>
      </c>
      <c r="I513">
        <v>23</v>
      </c>
      <c r="J513">
        <v>105</v>
      </c>
      <c r="K513">
        <v>46</v>
      </c>
      <c r="L513">
        <v>117.96</v>
      </c>
      <c r="M513">
        <v>1807.92</v>
      </c>
      <c r="N513">
        <v>72587</v>
      </c>
      <c r="O513">
        <v>1029.1300000000001</v>
      </c>
      <c r="P513" s="1">
        <v>-0.51200000000000001</v>
      </c>
      <c r="Q513">
        <f t="shared" si="35"/>
        <v>126</v>
      </c>
      <c r="R513">
        <f t="shared" si="36"/>
        <v>127</v>
      </c>
      <c r="S513" s="1">
        <f t="shared" si="37"/>
        <v>0.81746031746031744</v>
      </c>
      <c r="T513">
        <f t="shared" si="38"/>
        <v>1.26</v>
      </c>
      <c r="U513" t="str">
        <f t="shared" si="39"/>
        <v>Feb</v>
      </c>
    </row>
    <row r="514" spans="1:21">
      <c r="A514" s="2">
        <v>46105</v>
      </c>
      <c r="B514" t="s">
        <v>4</v>
      </c>
      <c r="C514" t="s">
        <v>36</v>
      </c>
      <c r="D514" t="s">
        <v>9</v>
      </c>
      <c r="E514" t="s">
        <v>38</v>
      </c>
      <c r="F514" t="s">
        <v>45</v>
      </c>
      <c r="G514">
        <v>54</v>
      </c>
      <c r="H514">
        <v>16</v>
      </c>
      <c r="I514">
        <v>33</v>
      </c>
      <c r="J514">
        <v>86</v>
      </c>
      <c r="K514">
        <v>374</v>
      </c>
      <c r="L514">
        <v>135.53</v>
      </c>
      <c r="M514">
        <v>2354.65</v>
      </c>
      <c r="N514">
        <v>75737</v>
      </c>
      <c r="O514">
        <v>1383.07</v>
      </c>
      <c r="P514" s="1">
        <v>0.23899999999999999</v>
      </c>
      <c r="Q514">
        <f t="shared" si="35"/>
        <v>70</v>
      </c>
      <c r="R514">
        <f t="shared" si="36"/>
        <v>102</v>
      </c>
      <c r="S514" s="1">
        <f t="shared" si="37"/>
        <v>0.52857142857142858</v>
      </c>
      <c r="T514">
        <f t="shared" si="38"/>
        <v>0.7</v>
      </c>
      <c r="U514" t="str">
        <f t="shared" si="39"/>
        <v>Mar</v>
      </c>
    </row>
    <row r="515" spans="1:21">
      <c r="A515" s="2">
        <v>46118</v>
      </c>
      <c r="B515" t="s">
        <v>6</v>
      </c>
      <c r="C515" t="s">
        <v>34</v>
      </c>
      <c r="D515" t="s">
        <v>9</v>
      </c>
      <c r="E515" t="s">
        <v>37</v>
      </c>
      <c r="F515" t="s">
        <v>45</v>
      </c>
      <c r="G515">
        <v>97</v>
      </c>
      <c r="H515">
        <v>33</v>
      </c>
      <c r="I515">
        <v>11</v>
      </c>
      <c r="J515">
        <v>39</v>
      </c>
      <c r="K515">
        <v>342</v>
      </c>
      <c r="L515">
        <v>83.77</v>
      </c>
      <c r="M515">
        <v>2454.7199999999998</v>
      </c>
      <c r="N515">
        <v>67380</v>
      </c>
      <c r="O515">
        <v>1277.49</v>
      </c>
      <c r="P515" s="1">
        <v>0.97799999999999998</v>
      </c>
      <c r="Q515">
        <f t="shared" ref="Q515:Q578" si="40">G515+H515</f>
        <v>130</v>
      </c>
      <c r="R515">
        <f t="shared" ref="R515:R578" si="41">J515+H515</f>
        <v>72</v>
      </c>
      <c r="S515" s="1">
        <f t="shared" ref="S515:S578" si="42">(Q515-I515)/(Q515)</f>
        <v>0.91538461538461535</v>
      </c>
      <c r="T515">
        <f t="shared" ref="T515:T578" si="43">Q515/100</f>
        <v>1.3</v>
      </c>
      <c r="U515" t="str">
        <f t="shared" ref="U515:U578" si="44">TEXT(A515,"mmm")</f>
        <v>Apr</v>
      </c>
    </row>
    <row r="516" spans="1:21">
      <c r="A516" s="2">
        <v>46090</v>
      </c>
      <c r="B516" t="s">
        <v>6</v>
      </c>
      <c r="C516" t="s">
        <v>51</v>
      </c>
      <c r="D516" t="s">
        <v>11</v>
      </c>
      <c r="E516" t="s">
        <v>47</v>
      </c>
      <c r="F516" t="s">
        <v>49</v>
      </c>
      <c r="G516">
        <v>113</v>
      </c>
      <c r="H516">
        <v>24</v>
      </c>
      <c r="I516">
        <v>69</v>
      </c>
      <c r="J516">
        <v>71</v>
      </c>
      <c r="K516">
        <v>73</v>
      </c>
      <c r="L516">
        <v>81.03</v>
      </c>
      <c r="M516">
        <v>2181.67</v>
      </c>
      <c r="N516">
        <v>64132</v>
      </c>
      <c r="O516">
        <v>1689.5</v>
      </c>
      <c r="P516" s="1">
        <v>0.42099999999999999</v>
      </c>
      <c r="Q516">
        <f t="shared" si="40"/>
        <v>137</v>
      </c>
      <c r="R516">
        <f t="shared" si="41"/>
        <v>95</v>
      </c>
      <c r="S516" s="1">
        <f t="shared" si="42"/>
        <v>0.49635036496350365</v>
      </c>
      <c r="T516">
        <f t="shared" si="43"/>
        <v>1.37</v>
      </c>
      <c r="U516" t="str">
        <f t="shared" si="44"/>
        <v>Mar</v>
      </c>
    </row>
    <row r="517" spans="1:21">
      <c r="A517" s="2">
        <v>46114</v>
      </c>
      <c r="B517" t="s">
        <v>6</v>
      </c>
      <c r="C517" t="s">
        <v>40</v>
      </c>
      <c r="D517" t="s">
        <v>5</v>
      </c>
      <c r="E517" t="s">
        <v>32</v>
      </c>
      <c r="F517" t="s">
        <v>33</v>
      </c>
      <c r="G517">
        <v>60</v>
      </c>
      <c r="H517">
        <v>15</v>
      </c>
      <c r="I517">
        <v>12</v>
      </c>
      <c r="J517">
        <v>139</v>
      </c>
      <c r="K517">
        <v>338</v>
      </c>
      <c r="L517">
        <v>95.7</v>
      </c>
      <c r="M517">
        <v>1830.96</v>
      </c>
      <c r="N517">
        <v>75438</v>
      </c>
      <c r="O517">
        <v>1586.43</v>
      </c>
      <c r="P517" s="1">
        <v>-0.14399999999999999</v>
      </c>
      <c r="Q517">
        <f t="shared" si="40"/>
        <v>75</v>
      </c>
      <c r="R517">
        <f t="shared" si="41"/>
        <v>154</v>
      </c>
      <c r="S517" s="1">
        <f t="shared" si="42"/>
        <v>0.84</v>
      </c>
      <c r="T517">
        <f t="shared" si="43"/>
        <v>0.75</v>
      </c>
      <c r="U517" t="str">
        <f t="shared" si="44"/>
        <v>Apr</v>
      </c>
    </row>
    <row r="518" spans="1:21">
      <c r="A518" s="2">
        <v>46082</v>
      </c>
      <c r="B518" t="s">
        <v>4</v>
      </c>
      <c r="C518" t="s">
        <v>43</v>
      </c>
      <c r="D518" t="s">
        <v>5</v>
      </c>
      <c r="E518" t="s">
        <v>38</v>
      </c>
      <c r="F518" t="s">
        <v>33</v>
      </c>
      <c r="G518">
        <v>73</v>
      </c>
      <c r="H518">
        <v>7</v>
      </c>
      <c r="I518">
        <v>57</v>
      </c>
      <c r="J518">
        <v>62</v>
      </c>
      <c r="K518">
        <v>319</v>
      </c>
      <c r="L518">
        <v>87.28</v>
      </c>
      <c r="M518">
        <v>1973.92</v>
      </c>
      <c r="N518">
        <v>66531</v>
      </c>
      <c r="O518">
        <v>1106.1199999999999</v>
      </c>
      <c r="P518" s="1">
        <v>0.63400000000000001</v>
      </c>
      <c r="Q518">
        <f t="shared" si="40"/>
        <v>80</v>
      </c>
      <c r="R518">
        <f t="shared" si="41"/>
        <v>69</v>
      </c>
      <c r="S518" s="1">
        <f t="shared" si="42"/>
        <v>0.28749999999999998</v>
      </c>
      <c r="T518">
        <f t="shared" si="43"/>
        <v>0.8</v>
      </c>
      <c r="U518" t="str">
        <f t="shared" si="44"/>
        <v>Mar</v>
      </c>
    </row>
    <row r="519" spans="1:21">
      <c r="A519" s="2">
        <v>46104</v>
      </c>
      <c r="B519" t="s">
        <v>4</v>
      </c>
      <c r="C519" t="s">
        <v>34</v>
      </c>
      <c r="D519" t="s">
        <v>11</v>
      </c>
      <c r="E519" t="s">
        <v>47</v>
      </c>
      <c r="F519" t="s">
        <v>49</v>
      </c>
      <c r="G519">
        <v>23</v>
      </c>
      <c r="H519">
        <v>58</v>
      </c>
      <c r="I519">
        <v>56</v>
      </c>
      <c r="J519">
        <v>8</v>
      </c>
      <c r="K519">
        <v>209</v>
      </c>
      <c r="L519">
        <v>109.36</v>
      </c>
      <c r="M519">
        <v>2242.16</v>
      </c>
      <c r="N519">
        <v>69156</v>
      </c>
      <c r="O519">
        <v>1047.6099999999999</v>
      </c>
      <c r="P519" s="1">
        <v>-0.254</v>
      </c>
      <c r="Q519">
        <f t="shared" si="40"/>
        <v>81</v>
      </c>
      <c r="R519">
        <f t="shared" si="41"/>
        <v>66</v>
      </c>
      <c r="S519" s="1">
        <f t="shared" si="42"/>
        <v>0.30864197530864196</v>
      </c>
      <c r="T519">
        <f t="shared" si="43"/>
        <v>0.81</v>
      </c>
      <c r="U519" t="str">
        <f t="shared" si="44"/>
        <v>Mar</v>
      </c>
    </row>
    <row r="520" spans="1:21">
      <c r="A520" s="2">
        <v>46087</v>
      </c>
      <c r="B520" t="s">
        <v>4</v>
      </c>
      <c r="C520" t="s">
        <v>51</v>
      </c>
      <c r="D520" t="s">
        <v>10</v>
      </c>
      <c r="E520" t="s">
        <v>42</v>
      </c>
      <c r="F520" t="s">
        <v>33</v>
      </c>
      <c r="G520">
        <v>71</v>
      </c>
      <c r="H520">
        <v>35</v>
      </c>
      <c r="I520">
        <v>51</v>
      </c>
      <c r="J520">
        <v>97</v>
      </c>
      <c r="K520">
        <v>419</v>
      </c>
      <c r="L520">
        <v>135.03</v>
      </c>
      <c r="M520">
        <v>2398.36</v>
      </c>
      <c r="N520">
        <v>73998</v>
      </c>
      <c r="O520">
        <v>1408.24</v>
      </c>
      <c r="P520" s="1">
        <v>0.45100000000000001</v>
      </c>
      <c r="Q520">
        <f t="shared" si="40"/>
        <v>106</v>
      </c>
      <c r="R520">
        <f t="shared" si="41"/>
        <v>132</v>
      </c>
      <c r="S520" s="1">
        <f t="shared" si="42"/>
        <v>0.51886792452830188</v>
      </c>
      <c r="T520">
        <f t="shared" si="43"/>
        <v>1.06</v>
      </c>
      <c r="U520" t="str">
        <f t="shared" si="44"/>
        <v>Mar</v>
      </c>
    </row>
    <row r="521" spans="1:21">
      <c r="A521" s="2">
        <v>46118</v>
      </c>
      <c r="B521" t="s">
        <v>6</v>
      </c>
      <c r="C521" t="s">
        <v>31</v>
      </c>
      <c r="D521" t="s">
        <v>11</v>
      </c>
      <c r="E521" t="s">
        <v>47</v>
      </c>
      <c r="F521" t="s">
        <v>49</v>
      </c>
      <c r="G521">
        <v>75</v>
      </c>
      <c r="H521">
        <v>72</v>
      </c>
      <c r="I521">
        <v>57</v>
      </c>
      <c r="J521">
        <v>8</v>
      </c>
      <c r="K521">
        <v>186</v>
      </c>
      <c r="L521">
        <v>108.25</v>
      </c>
      <c r="M521">
        <v>2471.7199999999998</v>
      </c>
      <c r="N521">
        <v>68916</v>
      </c>
      <c r="O521">
        <v>1522.22</v>
      </c>
      <c r="P521" s="1">
        <v>0.746</v>
      </c>
      <c r="Q521">
        <f t="shared" si="40"/>
        <v>147</v>
      </c>
      <c r="R521">
        <f t="shared" si="41"/>
        <v>80</v>
      </c>
      <c r="S521" s="1">
        <f t="shared" si="42"/>
        <v>0.61224489795918369</v>
      </c>
      <c r="T521">
        <f t="shared" si="43"/>
        <v>1.47</v>
      </c>
      <c r="U521" t="str">
        <f t="shared" si="44"/>
        <v>Apr</v>
      </c>
    </row>
    <row r="522" spans="1:21">
      <c r="A522" s="2">
        <v>46112</v>
      </c>
      <c r="B522" t="s">
        <v>4</v>
      </c>
      <c r="C522" t="s">
        <v>40</v>
      </c>
      <c r="D522" t="s">
        <v>10</v>
      </c>
      <c r="E522" t="s">
        <v>32</v>
      </c>
      <c r="F522" t="s">
        <v>49</v>
      </c>
      <c r="G522">
        <v>106</v>
      </c>
      <c r="H522">
        <v>36</v>
      </c>
      <c r="I522">
        <v>4</v>
      </c>
      <c r="J522">
        <v>82</v>
      </c>
      <c r="K522">
        <v>397</v>
      </c>
      <c r="L522">
        <v>120.67</v>
      </c>
      <c r="M522">
        <v>1841.01</v>
      </c>
      <c r="N522">
        <v>70639</v>
      </c>
      <c r="O522">
        <v>1546.82</v>
      </c>
      <c r="P522" s="1">
        <v>0.123</v>
      </c>
      <c r="Q522">
        <f t="shared" si="40"/>
        <v>142</v>
      </c>
      <c r="R522">
        <f t="shared" si="41"/>
        <v>118</v>
      </c>
      <c r="S522" s="1">
        <f t="shared" si="42"/>
        <v>0.971830985915493</v>
      </c>
      <c r="T522">
        <f t="shared" si="43"/>
        <v>1.42</v>
      </c>
      <c r="U522" t="str">
        <f t="shared" si="44"/>
        <v>Mar</v>
      </c>
    </row>
    <row r="523" spans="1:21">
      <c r="A523" s="2">
        <v>46105</v>
      </c>
      <c r="B523" t="s">
        <v>6</v>
      </c>
      <c r="C523" t="s">
        <v>31</v>
      </c>
      <c r="D523" t="s">
        <v>5</v>
      </c>
      <c r="E523" t="s">
        <v>42</v>
      </c>
      <c r="F523" t="s">
        <v>49</v>
      </c>
      <c r="G523">
        <v>35</v>
      </c>
      <c r="H523">
        <v>30</v>
      </c>
      <c r="I523">
        <v>32</v>
      </c>
      <c r="J523">
        <v>137</v>
      </c>
      <c r="K523">
        <v>166</v>
      </c>
      <c r="L523">
        <v>114.45</v>
      </c>
      <c r="M523">
        <v>2269.5100000000002</v>
      </c>
      <c r="N523">
        <v>70999</v>
      </c>
      <c r="O523">
        <v>1068.42</v>
      </c>
      <c r="P523" s="1">
        <v>-0.23100000000000001</v>
      </c>
      <c r="Q523">
        <f t="shared" si="40"/>
        <v>65</v>
      </c>
      <c r="R523">
        <f t="shared" si="41"/>
        <v>167</v>
      </c>
      <c r="S523" s="1">
        <f t="shared" si="42"/>
        <v>0.50769230769230766</v>
      </c>
      <c r="T523">
        <f t="shared" si="43"/>
        <v>0.65</v>
      </c>
      <c r="U523" t="str">
        <f t="shared" si="44"/>
        <v>Mar</v>
      </c>
    </row>
    <row r="524" spans="1:21">
      <c r="A524" s="2">
        <v>46125</v>
      </c>
      <c r="B524" t="s">
        <v>6</v>
      </c>
      <c r="C524" t="s">
        <v>40</v>
      </c>
      <c r="D524" t="s">
        <v>10</v>
      </c>
      <c r="E524" t="s">
        <v>38</v>
      </c>
      <c r="F524" t="s">
        <v>49</v>
      </c>
      <c r="G524">
        <v>58</v>
      </c>
      <c r="H524">
        <v>54</v>
      </c>
      <c r="I524">
        <v>23</v>
      </c>
      <c r="J524">
        <v>75</v>
      </c>
      <c r="K524">
        <v>326</v>
      </c>
      <c r="L524">
        <v>99.38</v>
      </c>
      <c r="M524">
        <v>2263.5300000000002</v>
      </c>
      <c r="N524">
        <v>71327</v>
      </c>
      <c r="O524">
        <v>1763.99</v>
      </c>
      <c r="P524" s="1">
        <v>-0.32300000000000001</v>
      </c>
      <c r="Q524">
        <f t="shared" si="40"/>
        <v>112</v>
      </c>
      <c r="R524">
        <f t="shared" si="41"/>
        <v>129</v>
      </c>
      <c r="S524" s="1">
        <f t="shared" si="42"/>
        <v>0.7946428571428571</v>
      </c>
      <c r="T524">
        <f t="shared" si="43"/>
        <v>1.1200000000000001</v>
      </c>
      <c r="U524" t="str">
        <f t="shared" si="44"/>
        <v>Apr</v>
      </c>
    </row>
    <row r="525" spans="1:21">
      <c r="A525" s="2">
        <v>46114</v>
      </c>
      <c r="B525" t="s">
        <v>4</v>
      </c>
      <c r="C525" t="s">
        <v>50</v>
      </c>
      <c r="D525" t="s">
        <v>11</v>
      </c>
      <c r="E525" t="s">
        <v>47</v>
      </c>
      <c r="F525" t="s">
        <v>49</v>
      </c>
      <c r="G525">
        <v>106</v>
      </c>
      <c r="H525">
        <v>19</v>
      </c>
      <c r="I525">
        <v>13</v>
      </c>
      <c r="J525">
        <v>57</v>
      </c>
      <c r="K525">
        <v>131</v>
      </c>
      <c r="L525">
        <v>126.26</v>
      </c>
      <c r="M525">
        <v>1980.36</v>
      </c>
      <c r="N525">
        <v>68902</v>
      </c>
      <c r="O525">
        <v>1004.99</v>
      </c>
      <c r="P525" s="1">
        <v>-0.80300000000000005</v>
      </c>
      <c r="Q525">
        <f t="shared" si="40"/>
        <v>125</v>
      </c>
      <c r="R525">
        <f t="shared" si="41"/>
        <v>76</v>
      </c>
      <c r="S525" s="1">
        <f t="shared" si="42"/>
        <v>0.89600000000000002</v>
      </c>
      <c r="T525">
        <f t="shared" si="43"/>
        <v>1.25</v>
      </c>
      <c r="U525" t="str">
        <f t="shared" si="44"/>
        <v>Apr</v>
      </c>
    </row>
    <row r="526" spans="1:21">
      <c r="A526" s="2">
        <v>46091</v>
      </c>
      <c r="B526" t="s">
        <v>6</v>
      </c>
      <c r="C526" t="s">
        <v>36</v>
      </c>
      <c r="D526" t="s">
        <v>10</v>
      </c>
      <c r="E526" t="s">
        <v>37</v>
      </c>
      <c r="F526" t="s">
        <v>45</v>
      </c>
      <c r="G526">
        <v>70</v>
      </c>
      <c r="H526">
        <v>13</v>
      </c>
      <c r="I526">
        <v>89</v>
      </c>
      <c r="J526">
        <v>87</v>
      </c>
      <c r="K526">
        <v>307</v>
      </c>
      <c r="L526">
        <v>129.37</v>
      </c>
      <c r="M526">
        <v>2311.9</v>
      </c>
      <c r="N526">
        <v>72208</v>
      </c>
      <c r="O526">
        <v>1569.84</v>
      </c>
      <c r="P526" s="1">
        <v>0.75900000000000001</v>
      </c>
      <c r="Q526">
        <f t="shared" si="40"/>
        <v>83</v>
      </c>
      <c r="R526">
        <f t="shared" si="41"/>
        <v>100</v>
      </c>
      <c r="S526" s="1">
        <f t="shared" si="42"/>
        <v>-7.2289156626506021E-2</v>
      </c>
      <c r="T526">
        <f t="shared" si="43"/>
        <v>0.83</v>
      </c>
      <c r="U526" t="str">
        <f t="shared" si="44"/>
        <v>Mar</v>
      </c>
    </row>
    <row r="527" spans="1:21">
      <c r="A527" s="2">
        <v>46073</v>
      </c>
      <c r="B527" t="s">
        <v>6</v>
      </c>
      <c r="C527" t="s">
        <v>31</v>
      </c>
      <c r="D527" t="s">
        <v>10</v>
      </c>
      <c r="E527" t="s">
        <v>37</v>
      </c>
      <c r="F527" t="s">
        <v>33</v>
      </c>
      <c r="G527">
        <v>23</v>
      </c>
      <c r="H527">
        <v>51</v>
      </c>
      <c r="I527">
        <v>17</v>
      </c>
      <c r="J527">
        <v>67</v>
      </c>
      <c r="K527">
        <v>30</v>
      </c>
      <c r="L527">
        <v>84.24</v>
      </c>
      <c r="M527">
        <v>2498.14</v>
      </c>
      <c r="N527">
        <v>70385</v>
      </c>
      <c r="O527">
        <v>933.2</v>
      </c>
      <c r="P527" s="1">
        <v>0.64200000000000002</v>
      </c>
      <c r="Q527">
        <f t="shared" si="40"/>
        <v>74</v>
      </c>
      <c r="R527">
        <f t="shared" si="41"/>
        <v>118</v>
      </c>
      <c r="S527" s="1">
        <f t="shared" si="42"/>
        <v>0.77027027027027029</v>
      </c>
      <c r="T527">
        <f t="shared" si="43"/>
        <v>0.74</v>
      </c>
      <c r="U527" t="str">
        <f t="shared" si="44"/>
        <v>Feb</v>
      </c>
    </row>
    <row r="528" spans="1:21">
      <c r="A528" s="2">
        <v>46092</v>
      </c>
      <c r="B528" t="s">
        <v>4</v>
      </c>
      <c r="C528" t="s">
        <v>40</v>
      </c>
      <c r="D528" t="s">
        <v>9</v>
      </c>
      <c r="E528" t="s">
        <v>35</v>
      </c>
      <c r="F528" t="s">
        <v>45</v>
      </c>
      <c r="G528">
        <v>119</v>
      </c>
      <c r="H528">
        <v>3</v>
      </c>
      <c r="I528">
        <v>85</v>
      </c>
      <c r="J528">
        <v>128</v>
      </c>
      <c r="K528">
        <v>145</v>
      </c>
      <c r="L528">
        <v>139.26</v>
      </c>
      <c r="M528">
        <v>1903.67</v>
      </c>
      <c r="N528">
        <v>67498</v>
      </c>
      <c r="O528">
        <v>1443.19</v>
      </c>
      <c r="P528" s="1">
        <v>9.6000000000000002E-2</v>
      </c>
      <c r="Q528">
        <f t="shared" si="40"/>
        <v>122</v>
      </c>
      <c r="R528">
        <f t="shared" si="41"/>
        <v>131</v>
      </c>
      <c r="S528" s="1">
        <f t="shared" si="42"/>
        <v>0.30327868852459017</v>
      </c>
      <c r="T528">
        <f t="shared" si="43"/>
        <v>1.22</v>
      </c>
      <c r="U528" t="str">
        <f t="shared" si="44"/>
        <v>Mar</v>
      </c>
    </row>
    <row r="529" spans="1:21">
      <c r="A529" s="2">
        <v>46079</v>
      </c>
      <c r="B529" t="s">
        <v>4</v>
      </c>
      <c r="C529" t="s">
        <v>46</v>
      </c>
      <c r="D529" t="s">
        <v>5</v>
      </c>
      <c r="E529" t="s">
        <v>32</v>
      </c>
      <c r="F529" t="s">
        <v>49</v>
      </c>
      <c r="G529">
        <v>1</v>
      </c>
      <c r="H529">
        <v>75</v>
      </c>
      <c r="I529">
        <v>43</v>
      </c>
      <c r="J529">
        <v>105</v>
      </c>
      <c r="K529">
        <v>218</v>
      </c>
      <c r="L529">
        <v>98.49</v>
      </c>
      <c r="M529">
        <v>2258.5</v>
      </c>
      <c r="N529">
        <v>71821</v>
      </c>
      <c r="O529">
        <v>1090.43</v>
      </c>
      <c r="P529" s="1">
        <v>0.221</v>
      </c>
      <c r="Q529">
        <f t="shared" si="40"/>
        <v>76</v>
      </c>
      <c r="R529">
        <f t="shared" si="41"/>
        <v>180</v>
      </c>
      <c r="S529" s="1">
        <f t="shared" si="42"/>
        <v>0.43421052631578949</v>
      </c>
      <c r="T529">
        <f t="shared" si="43"/>
        <v>0.76</v>
      </c>
      <c r="U529" t="str">
        <f t="shared" si="44"/>
        <v>Feb</v>
      </c>
    </row>
    <row r="530" spans="1:21">
      <c r="A530" s="2">
        <v>46094</v>
      </c>
      <c r="B530" t="s">
        <v>4</v>
      </c>
      <c r="C530" t="s">
        <v>44</v>
      </c>
      <c r="D530" t="s">
        <v>5</v>
      </c>
      <c r="E530" t="s">
        <v>37</v>
      </c>
      <c r="F530" t="s">
        <v>33</v>
      </c>
      <c r="G530">
        <v>48</v>
      </c>
      <c r="H530">
        <v>40</v>
      </c>
      <c r="I530">
        <v>74</v>
      </c>
      <c r="J530">
        <v>120</v>
      </c>
      <c r="K530">
        <v>16</v>
      </c>
      <c r="L530">
        <v>128.55000000000001</v>
      </c>
      <c r="M530">
        <v>2402.46</v>
      </c>
      <c r="N530">
        <v>64201</v>
      </c>
      <c r="O530">
        <v>1524.19</v>
      </c>
      <c r="P530" s="1">
        <v>-0.77500000000000002</v>
      </c>
      <c r="Q530">
        <f t="shared" si="40"/>
        <v>88</v>
      </c>
      <c r="R530">
        <f t="shared" si="41"/>
        <v>160</v>
      </c>
      <c r="S530" s="1">
        <f t="shared" si="42"/>
        <v>0.15909090909090909</v>
      </c>
      <c r="T530">
        <f t="shared" si="43"/>
        <v>0.88</v>
      </c>
      <c r="U530" t="str">
        <f t="shared" si="44"/>
        <v>Mar</v>
      </c>
    </row>
    <row r="531" spans="1:21">
      <c r="A531" s="2">
        <v>46121</v>
      </c>
      <c r="B531" t="s">
        <v>6</v>
      </c>
      <c r="C531" t="s">
        <v>31</v>
      </c>
      <c r="D531" t="s">
        <v>11</v>
      </c>
      <c r="E531" t="s">
        <v>42</v>
      </c>
      <c r="F531" t="s">
        <v>49</v>
      </c>
      <c r="G531">
        <v>48</v>
      </c>
      <c r="H531">
        <v>20</v>
      </c>
      <c r="I531">
        <v>80</v>
      </c>
      <c r="J531">
        <v>78</v>
      </c>
      <c r="K531">
        <v>57</v>
      </c>
      <c r="L531">
        <v>115.47</v>
      </c>
      <c r="M531">
        <v>2182.69</v>
      </c>
      <c r="N531">
        <v>69684</v>
      </c>
      <c r="O531">
        <v>984.41</v>
      </c>
      <c r="P531" s="1">
        <v>-0.371</v>
      </c>
      <c r="Q531">
        <f t="shared" si="40"/>
        <v>68</v>
      </c>
      <c r="R531">
        <f t="shared" si="41"/>
        <v>98</v>
      </c>
      <c r="S531" s="1">
        <f t="shared" si="42"/>
        <v>-0.17647058823529413</v>
      </c>
      <c r="T531">
        <f t="shared" si="43"/>
        <v>0.68</v>
      </c>
      <c r="U531" t="str">
        <f t="shared" si="44"/>
        <v>Apr</v>
      </c>
    </row>
    <row r="532" spans="1:21">
      <c r="A532" s="2">
        <v>46102</v>
      </c>
      <c r="B532" t="s">
        <v>4</v>
      </c>
      <c r="C532" t="s">
        <v>50</v>
      </c>
      <c r="D532" t="s">
        <v>10</v>
      </c>
      <c r="E532" t="s">
        <v>32</v>
      </c>
      <c r="F532" t="s">
        <v>49</v>
      </c>
      <c r="G532">
        <v>2</v>
      </c>
      <c r="H532">
        <v>45</v>
      </c>
      <c r="I532">
        <v>35</v>
      </c>
      <c r="J532">
        <v>68</v>
      </c>
      <c r="K532">
        <v>99</v>
      </c>
      <c r="L532">
        <v>117.52</v>
      </c>
      <c r="M532">
        <v>2344.79</v>
      </c>
      <c r="N532">
        <v>68400</v>
      </c>
      <c r="O532">
        <v>1557.65</v>
      </c>
      <c r="P532" s="1">
        <v>-0.438</v>
      </c>
      <c r="Q532">
        <f t="shared" si="40"/>
        <v>47</v>
      </c>
      <c r="R532">
        <f t="shared" si="41"/>
        <v>113</v>
      </c>
      <c r="S532" s="1">
        <f t="shared" si="42"/>
        <v>0.25531914893617019</v>
      </c>
      <c r="T532">
        <f t="shared" si="43"/>
        <v>0.47</v>
      </c>
      <c r="U532" t="str">
        <f t="shared" si="44"/>
        <v>Mar</v>
      </c>
    </row>
    <row r="533" spans="1:21">
      <c r="A533" s="2">
        <v>46084</v>
      </c>
      <c r="B533" t="s">
        <v>4</v>
      </c>
      <c r="C533" t="s">
        <v>44</v>
      </c>
      <c r="D533" t="s">
        <v>9</v>
      </c>
      <c r="E533" t="s">
        <v>41</v>
      </c>
      <c r="F533" t="s">
        <v>45</v>
      </c>
      <c r="G533">
        <v>94</v>
      </c>
      <c r="H533">
        <v>11</v>
      </c>
      <c r="I533">
        <v>70</v>
      </c>
      <c r="J533">
        <v>20</v>
      </c>
      <c r="K533">
        <v>204</v>
      </c>
      <c r="L533">
        <v>134.35</v>
      </c>
      <c r="M533">
        <v>2048.14</v>
      </c>
      <c r="N533">
        <v>75655</v>
      </c>
      <c r="O533">
        <v>1497.04</v>
      </c>
      <c r="P533" s="1">
        <v>0.122</v>
      </c>
      <c r="Q533">
        <f t="shared" si="40"/>
        <v>105</v>
      </c>
      <c r="R533">
        <f t="shared" si="41"/>
        <v>31</v>
      </c>
      <c r="S533" s="1">
        <f t="shared" si="42"/>
        <v>0.33333333333333331</v>
      </c>
      <c r="T533">
        <f t="shared" si="43"/>
        <v>1.05</v>
      </c>
      <c r="U533" t="str">
        <f t="shared" si="44"/>
        <v>Mar</v>
      </c>
    </row>
    <row r="534" spans="1:21">
      <c r="A534" s="2">
        <v>46109</v>
      </c>
      <c r="B534" t="s">
        <v>4</v>
      </c>
      <c r="C534" t="s">
        <v>48</v>
      </c>
      <c r="D534" t="s">
        <v>7</v>
      </c>
      <c r="E534" t="s">
        <v>42</v>
      </c>
      <c r="F534" t="s">
        <v>33</v>
      </c>
      <c r="G534">
        <v>102</v>
      </c>
      <c r="H534">
        <v>74</v>
      </c>
      <c r="I534">
        <v>17</v>
      </c>
      <c r="J534">
        <v>87</v>
      </c>
      <c r="K534">
        <v>336</v>
      </c>
      <c r="L534">
        <v>132.08000000000001</v>
      </c>
      <c r="M534">
        <v>2152.94</v>
      </c>
      <c r="N534">
        <v>75069</v>
      </c>
      <c r="O534">
        <v>1252.6600000000001</v>
      </c>
      <c r="P534" s="1">
        <v>0.49299999999999999</v>
      </c>
      <c r="Q534">
        <f t="shared" si="40"/>
        <v>176</v>
      </c>
      <c r="R534">
        <f t="shared" si="41"/>
        <v>161</v>
      </c>
      <c r="S534" s="1">
        <f t="shared" si="42"/>
        <v>0.90340909090909094</v>
      </c>
      <c r="T534">
        <f t="shared" si="43"/>
        <v>1.76</v>
      </c>
      <c r="U534" t="str">
        <f t="shared" si="44"/>
        <v>Mar</v>
      </c>
    </row>
    <row r="535" spans="1:21">
      <c r="A535" s="2">
        <v>46087</v>
      </c>
      <c r="B535" t="s">
        <v>4</v>
      </c>
      <c r="C535" t="s">
        <v>50</v>
      </c>
      <c r="D535" t="s">
        <v>7</v>
      </c>
      <c r="E535" t="s">
        <v>35</v>
      </c>
      <c r="F535" t="s">
        <v>33</v>
      </c>
      <c r="G535">
        <v>91</v>
      </c>
      <c r="H535">
        <v>68</v>
      </c>
      <c r="I535">
        <v>65</v>
      </c>
      <c r="J535">
        <v>72</v>
      </c>
      <c r="K535">
        <v>378</v>
      </c>
      <c r="L535">
        <v>126.71</v>
      </c>
      <c r="M535">
        <v>2286.69</v>
      </c>
      <c r="N535">
        <v>73770</v>
      </c>
      <c r="O535">
        <v>1600.09</v>
      </c>
      <c r="P535" s="1">
        <v>0.121</v>
      </c>
      <c r="Q535">
        <f t="shared" si="40"/>
        <v>159</v>
      </c>
      <c r="R535">
        <f t="shared" si="41"/>
        <v>140</v>
      </c>
      <c r="S535" s="1">
        <f t="shared" si="42"/>
        <v>0.5911949685534591</v>
      </c>
      <c r="T535">
        <f t="shared" si="43"/>
        <v>1.59</v>
      </c>
      <c r="U535" t="str">
        <f t="shared" si="44"/>
        <v>Mar</v>
      </c>
    </row>
    <row r="536" spans="1:21">
      <c r="A536" s="2">
        <v>46102</v>
      </c>
      <c r="B536" t="s">
        <v>4</v>
      </c>
      <c r="C536" t="s">
        <v>40</v>
      </c>
      <c r="D536" t="s">
        <v>9</v>
      </c>
      <c r="E536" t="s">
        <v>37</v>
      </c>
      <c r="F536" t="s">
        <v>33</v>
      </c>
      <c r="G536">
        <v>107</v>
      </c>
      <c r="H536">
        <v>35</v>
      </c>
      <c r="I536">
        <v>18</v>
      </c>
      <c r="J536">
        <v>31</v>
      </c>
      <c r="K536">
        <v>408</v>
      </c>
      <c r="L536">
        <v>98.05</v>
      </c>
      <c r="M536">
        <v>2494.59</v>
      </c>
      <c r="N536">
        <v>73011</v>
      </c>
      <c r="O536">
        <v>1596.37</v>
      </c>
      <c r="P536" s="1">
        <v>-0.77600000000000002</v>
      </c>
      <c r="Q536">
        <f t="shared" si="40"/>
        <v>142</v>
      </c>
      <c r="R536">
        <f t="shared" si="41"/>
        <v>66</v>
      </c>
      <c r="S536" s="1">
        <f t="shared" si="42"/>
        <v>0.87323943661971826</v>
      </c>
      <c r="T536">
        <f t="shared" si="43"/>
        <v>1.42</v>
      </c>
      <c r="U536" t="str">
        <f t="shared" si="44"/>
        <v>Mar</v>
      </c>
    </row>
    <row r="537" spans="1:21">
      <c r="A537" s="2">
        <v>46118</v>
      </c>
      <c r="B537" t="s">
        <v>4</v>
      </c>
      <c r="C537" t="s">
        <v>34</v>
      </c>
      <c r="D537" t="s">
        <v>9</v>
      </c>
      <c r="E537" t="s">
        <v>35</v>
      </c>
      <c r="F537" t="s">
        <v>33</v>
      </c>
      <c r="G537">
        <v>10</v>
      </c>
      <c r="H537">
        <v>38</v>
      </c>
      <c r="I537">
        <v>30</v>
      </c>
      <c r="J537">
        <v>52</v>
      </c>
      <c r="K537">
        <v>106</v>
      </c>
      <c r="L537">
        <v>93.36</v>
      </c>
      <c r="M537">
        <v>2066.4499999999998</v>
      </c>
      <c r="N537">
        <v>68857</v>
      </c>
      <c r="O537">
        <v>1557.56</v>
      </c>
      <c r="P537" s="1">
        <v>0.45700000000000002</v>
      </c>
      <c r="Q537">
        <f t="shared" si="40"/>
        <v>48</v>
      </c>
      <c r="R537">
        <f t="shared" si="41"/>
        <v>90</v>
      </c>
      <c r="S537" s="1">
        <f t="shared" si="42"/>
        <v>0.375</v>
      </c>
      <c r="T537">
        <f t="shared" si="43"/>
        <v>0.48</v>
      </c>
      <c r="U537" t="str">
        <f t="shared" si="44"/>
        <v>Apr</v>
      </c>
    </row>
    <row r="538" spans="1:21">
      <c r="A538" s="2">
        <v>46078</v>
      </c>
      <c r="B538" t="s">
        <v>6</v>
      </c>
      <c r="C538" t="s">
        <v>51</v>
      </c>
      <c r="D538" t="s">
        <v>10</v>
      </c>
      <c r="E538" t="s">
        <v>37</v>
      </c>
      <c r="F538" t="s">
        <v>33</v>
      </c>
      <c r="G538">
        <v>40</v>
      </c>
      <c r="H538">
        <v>4</v>
      </c>
      <c r="I538">
        <v>64</v>
      </c>
      <c r="J538">
        <v>129</v>
      </c>
      <c r="K538">
        <v>73</v>
      </c>
      <c r="L538">
        <v>122.61</v>
      </c>
      <c r="M538">
        <v>2208.54</v>
      </c>
      <c r="N538">
        <v>67408</v>
      </c>
      <c r="O538">
        <v>944.91</v>
      </c>
      <c r="P538" s="1">
        <v>0.79800000000000004</v>
      </c>
      <c r="Q538">
        <f t="shared" si="40"/>
        <v>44</v>
      </c>
      <c r="R538">
        <f t="shared" si="41"/>
        <v>133</v>
      </c>
      <c r="S538" s="1">
        <f t="shared" si="42"/>
        <v>-0.45454545454545453</v>
      </c>
      <c r="T538">
        <f t="shared" si="43"/>
        <v>0.44</v>
      </c>
      <c r="U538" t="str">
        <f t="shared" si="44"/>
        <v>Feb</v>
      </c>
    </row>
    <row r="539" spans="1:21">
      <c r="A539" s="2">
        <v>46072</v>
      </c>
      <c r="B539" t="s">
        <v>6</v>
      </c>
      <c r="C539" t="s">
        <v>44</v>
      </c>
      <c r="D539" t="s">
        <v>10</v>
      </c>
      <c r="E539" t="s">
        <v>41</v>
      </c>
      <c r="F539" t="s">
        <v>49</v>
      </c>
      <c r="G539">
        <v>59</v>
      </c>
      <c r="H539">
        <v>14</v>
      </c>
      <c r="I539">
        <v>37</v>
      </c>
      <c r="J539">
        <v>73</v>
      </c>
      <c r="K539">
        <v>173</v>
      </c>
      <c r="L539">
        <v>83.67</v>
      </c>
      <c r="M539">
        <v>1860.55</v>
      </c>
      <c r="N539">
        <v>71657</v>
      </c>
      <c r="O539">
        <v>1345.1</v>
      </c>
      <c r="P539" s="1">
        <v>0.88400000000000001</v>
      </c>
      <c r="Q539">
        <f t="shared" si="40"/>
        <v>73</v>
      </c>
      <c r="R539">
        <f t="shared" si="41"/>
        <v>87</v>
      </c>
      <c r="S539" s="1">
        <f t="shared" si="42"/>
        <v>0.49315068493150682</v>
      </c>
      <c r="T539">
        <f t="shared" si="43"/>
        <v>0.73</v>
      </c>
      <c r="U539" t="str">
        <f t="shared" si="44"/>
        <v>Feb</v>
      </c>
    </row>
    <row r="540" spans="1:21">
      <c r="A540" s="2">
        <v>46071</v>
      </c>
      <c r="B540" t="s">
        <v>4</v>
      </c>
      <c r="C540" t="s">
        <v>50</v>
      </c>
      <c r="D540" t="s">
        <v>5</v>
      </c>
      <c r="E540" t="s">
        <v>32</v>
      </c>
      <c r="F540" t="s">
        <v>45</v>
      </c>
      <c r="G540">
        <v>65</v>
      </c>
      <c r="H540">
        <v>17</v>
      </c>
      <c r="I540">
        <v>48</v>
      </c>
      <c r="J540">
        <v>100</v>
      </c>
      <c r="K540">
        <v>185</v>
      </c>
      <c r="L540">
        <v>117.65</v>
      </c>
      <c r="M540">
        <v>2230.06</v>
      </c>
      <c r="N540">
        <v>66723</v>
      </c>
      <c r="O540">
        <v>1140.81</v>
      </c>
      <c r="P540" s="1">
        <v>0.186</v>
      </c>
      <c r="Q540">
        <f t="shared" si="40"/>
        <v>82</v>
      </c>
      <c r="R540">
        <f t="shared" si="41"/>
        <v>117</v>
      </c>
      <c r="S540" s="1">
        <f t="shared" si="42"/>
        <v>0.41463414634146339</v>
      </c>
      <c r="T540">
        <f t="shared" si="43"/>
        <v>0.82</v>
      </c>
      <c r="U540" t="str">
        <f t="shared" si="44"/>
        <v>Feb</v>
      </c>
    </row>
    <row r="541" spans="1:21">
      <c r="A541" s="2">
        <v>46072</v>
      </c>
      <c r="B541" t="s">
        <v>4</v>
      </c>
      <c r="C541" t="s">
        <v>48</v>
      </c>
      <c r="D541" t="s">
        <v>7</v>
      </c>
      <c r="E541" t="s">
        <v>32</v>
      </c>
      <c r="F541" t="s">
        <v>45</v>
      </c>
      <c r="G541">
        <v>10</v>
      </c>
      <c r="H541">
        <v>52</v>
      </c>
      <c r="I541">
        <v>59</v>
      </c>
      <c r="J541">
        <v>75</v>
      </c>
      <c r="K541">
        <v>44</v>
      </c>
      <c r="L541">
        <v>125.8</v>
      </c>
      <c r="M541">
        <v>2090.9899999999998</v>
      </c>
      <c r="N541">
        <v>68908</v>
      </c>
      <c r="O541">
        <v>1591.05</v>
      </c>
      <c r="P541" s="1">
        <v>-0.34</v>
      </c>
      <c r="Q541">
        <f t="shared" si="40"/>
        <v>62</v>
      </c>
      <c r="R541">
        <f t="shared" si="41"/>
        <v>127</v>
      </c>
      <c r="S541" s="1">
        <f t="shared" si="42"/>
        <v>4.8387096774193547E-2</v>
      </c>
      <c r="T541">
        <f t="shared" si="43"/>
        <v>0.62</v>
      </c>
      <c r="U541" t="str">
        <f t="shared" si="44"/>
        <v>Feb</v>
      </c>
    </row>
    <row r="542" spans="1:21">
      <c r="A542" s="2">
        <v>46108</v>
      </c>
      <c r="B542" t="s">
        <v>6</v>
      </c>
      <c r="C542" t="s">
        <v>34</v>
      </c>
      <c r="D542" t="s">
        <v>9</v>
      </c>
      <c r="E542" t="s">
        <v>47</v>
      </c>
      <c r="F542" t="s">
        <v>33</v>
      </c>
      <c r="G542">
        <v>80</v>
      </c>
      <c r="H542">
        <v>79</v>
      </c>
      <c r="I542">
        <v>22</v>
      </c>
      <c r="J542">
        <v>158</v>
      </c>
      <c r="K542">
        <v>85</v>
      </c>
      <c r="L542">
        <v>105.74</v>
      </c>
      <c r="M542">
        <v>1813.22</v>
      </c>
      <c r="N542">
        <v>68934</v>
      </c>
      <c r="O542">
        <v>1510.56</v>
      </c>
      <c r="P542" s="1">
        <v>-0.376</v>
      </c>
      <c r="Q542">
        <f t="shared" si="40"/>
        <v>159</v>
      </c>
      <c r="R542">
        <f t="shared" si="41"/>
        <v>237</v>
      </c>
      <c r="S542" s="1">
        <f t="shared" si="42"/>
        <v>0.86163522012578619</v>
      </c>
      <c r="T542">
        <f t="shared" si="43"/>
        <v>1.59</v>
      </c>
      <c r="U542" t="str">
        <f t="shared" si="44"/>
        <v>Mar</v>
      </c>
    </row>
    <row r="543" spans="1:21">
      <c r="A543" s="2">
        <v>46075</v>
      </c>
      <c r="B543" t="s">
        <v>6</v>
      </c>
      <c r="C543" t="s">
        <v>43</v>
      </c>
      <c r="D543" t="s">
        <v>10</v>
      </c>
      <c r="E543" t="s">
        <v>38</v>
      </c>
      <c r="F543" t="s">
        <v>49</v>
      </c>
      <c r="G543">
        <v>38</v>
      </c>
      <c r="H543">
        <v>62</v>
      </c>
      <c r="I543">
        <v>89</v>
      </c>
      <c r="J543">
        <v>80</v>
      </c>
      <c r="K543">
        <v>443</v>
      </c>
      <c r="L543">
        <v>119.72</v>
      </c>
      <c r="M543">
        <v>2162.9299999999998</v>
      </c>
      <c r="N543">
        <v>73121</v>
      </c>
      <c r="O543">
        <v>1736.76</v>
      </c>
      <c r="P543" s="1">
        <v>-0.84399999999999997</v>
      </c>
      <c r="Q543">
        <f t="shared" si="40"/>
        <v>100</v>
      </c>
      <c r="R543">
        <f t="shared" si="41"/>
        <v>142</v>
      </c>
      <c r="S543" s="1">
        <f t="shared" si="42"/>
        <v>0.11</v>
      </c>
      <c r="T543">
        <f t="shared" si="43"/>
        <v>1</v>
      </c>
      <c r="U543" t="str">
        <f t="shared" si="44"/>
        <v>Feb</v>
      </c>
    </row>
    <row r="544" spans="1:21">
      <c r="A544" s="2">
        <v>46110</v>
      </c>
      <c r="B544" t="s">
        <v>6</v>
      </c>
      <c r="C544" t="s">
        <v>31</v>
      </c>
      <c r="D544" t="s">
        <v>11</v>
      </c>
      <c r="E544" t="s">
        <v>42</v>
      </c>
      <c r="F544" t="s">
        <v>39</v>
      </c>
      <c r="G544">
        <v>103</v>
      </c>
      <c r="H544">
        <v>29</v>
      </c>
      <c r="I544">
        <v>2</v>
      </c>
      <c r="J544">
        <v>70</v>
      </c>
      <c r="K544">
        <v>322</v>
      </c>
      <c r="L544">
        <v>114.6</v>
      </c>
      <c r="M544">
        <v>2068.7800000000002</v>
      </c>
      <c r="N544">
        <v>73160</v>
      </c>
      <c r="O544">
        <v>1229.43</v>
      </c>
      <c r="P544" s="1">
        <v>0.30599999999999999</v>
      </c>
      <c r="Q544">
        <f t="shared" si="40"/>
        <v>132</v>
      </c>
      <c r="R544">
        <f t="shared" si="41"/>
        <v>99</v>
      </c>
      <c r="S544" s="1">
        <f t="shared" si="42"/>
        <v>0.98484848484848486</v>
      </c>
      <c r="T544">
        <f t="shared" si="43"/>
        <v>1.32</v>
      </c>
      <c r="U544" t="str">
        <f t="shared" si="44"/>
        <v>Mar</v>
      </c>
    </row>
    <row r="545" spans="1:21">
      <c r="A545" s="2">
        <v>46126</v>
      </c>
      <c r="B545" t="s">
        <v>4</v>
      </c>
      <c r="C545" t="s">
        <v>48</v>
      </c>
      <c r="D545" t="s">
        <v>7</v>
      </c>
      <c r="E545" t="s">
        <v>41</v>
      </c>
      <c r="F545" t="s">
        <v>33</v>
      </c>
      <c r="G545">
        <v>78</v>
      </c>
      <c r="H545">
        <v>16</v>
      </c>
      <c r="I545">
        <v>15</v>
      </c>
      <c r="J545">
        <v>115</v>
      </c>
      <c r="K545">
        <v>263</v>
      </c>
      <c r="L545">
        <v>121.69</v>
      </c>
      <c r="M545">
        <v>2284.59</v>
      </c>
      <c r="N545">
        <v>65712</v>
      </c>
      <c r="O545">
        <v>1538.67</v>
      </c>
      <c r="P545" s="1">
        <v>4.7E-2</v>
      </c>
      <c r="Q545">
        <f t="shared" si="40"/>
        <v>94</v>
      </c>
      <c r="R545">
        <f t="shared" si="41"/>
        <v>131</v>
      </c>
      <c r="S545" s="1">
        <f t="shared" si="42"/>
        <v>0.84042553191489366</v>
      </c>
      <c r="T545">
        <f t="shared" si="43"/>
        <v>0.94</v>
      </c>
      <c r="U545" t="str">
        <f t="shared" si="44"/>
        <v>Apr</v>
      </c>
    </row>
    <row r="546" spans="1:21">
      <c r="A546" s="2">
        <v>46116</v>
      </c>
      <c r="B546" t="s">
        <v>6</v>
      </c>
      <c r="C546" t="s">
        <v>40</v>
      </c>
      <c r="D546" t="s">
        <v>7</v>
      </c>
      <c r="E546" t="s">
        <v>47</v>
      </c>
      <c r="F546" t="s">
        <v>39</v>
      </c>
      <c r="G546">
        <v>15</v>
      </c>
      <c r="H546">
        <v>79</v>
      </c>
      <c r="I546">
        <v>76</v>
      </c>
      <c r="J546">
        <v>53</v>
      </c>
      <c r="K546">
        <v>223</v>
      </c>
      <c r="L546">
        <v>130.91</v>
      </c>
      <c r="M546">
        <v>2182.77</v>
      </c>
      <c r="N546">
        <v>75984</v>
      </c>
      <c r="O546">
        <v>1789.32</v>
      </c>
      <c r="P546" s="1">
        <v>0.65800000000000003</v>
      </c>
      <c r="Q546">
        <f t="shared" si="40"/>
        <v>94</v>
      </c>
      <c r="R546">
        <f t="shared" si="41"/>
        <v>132</v>
      </c>
      <c r="S546" s="1">
        <f t="shared" si="42"/>
        <v>0.19148936170212766</v>
      </c>
      <c r="T546">
        <f t="shared" si="43"/>
        <v>0.94</v>
      </c>
      <c r="U546" t="str">
        <f t="shared" si="44"/>
        <v>Apr</v>
      </c>
    </row>
    <row r="547" spans="1:21">
      <c r="A547" s="2">
        <v>46070</v>
      </c>
      <c r="B547" t="s">
        <v>6</v>
      </c>
      <c r="C547" t="s">
        <v>48</v>
      </c>
      <c r="D547" t="s">
        <v>11</v>
      </c>
      <c r="E547" t="s">
        <v>35</v>
      </c>
      <c r="F547" t="s">
        <v>39</v>
      </c>
      <c r="G547">
        <v>115</v>
      </c>
      <c r="H547">
        <v>64</v>
      </c>
      <c r="I547">
        <v>46</v>
      </c>
      <c r="J547">
        <v>129</v>
      </c>
      <c r="K547">
        <v>243</v>
      </c>
      <c r="L547">
        <v>102.89</v>
      </c>
      <c r="M547">
        <v>1985.6</v>
      </c>
      <c r="N547">
        <v>71307</v>
      </c>
      <c r="O547">
        <v>1796.28</v>
      </c>
      <c r="P547" s="1">
        <v>-0.995</v>
      </c>
      <c r="Q547">
        <f t="shared" si="40"/>
        <v>179</v>
      </c>
      <c r="R547">
        <f t="shared" si="41"/>
        <v>193</v>
      </c>
      <c r="S547" s="1">
        <f t="shared" si="42"/>
        <v>0.74301675977653636</v>
      </c>
      <c r="T547">
        <f t="shared" si="43"/>
        <v>1.79</v>
      </c>
      <c r="U547" t="str">
        <f t="shared" si="44"/>
        <v>Feb</v>
      </c>
    </row>
    <row r="548" spans="1:21">
      <c r="A548" s="2">
        <v>46107</v>
      </c>
      <c r="B548" t="s">
        <v>6</v>
      </c>
      <c r="C548" t="s">
        <v>36</v>
      </c>
      <c r="D548" t="s">
        <v>11</v>
      </c>
      <c r="E548" t="s">
        <v>38</v>
      </c>
      <c r="F548" t="s">
        <v>45</v>
      </c>
      <c r="G548">
        <v>25</v>
      </c>
      <c r="H548">
        <v>18</v>
      </c>
      <c r="I548">
        <v>72</v>
      </c>
      <c r="J548">
        <v>49</v>
      </c>
      <c r="K548">
        <v>188</v>
      </c>
      <c r="L548">
        <v>81.12</v>
      </c>
      <c r="M548">
        <v>2494.52</v>
      </c>
      <c r="N548">
        <v>69751</v>
      </c>
      <c r="O548">
        <v>1124.56</v>
      </c>
      <c r="P548" s="1">
        <v>2.5999999999999999E-2</v>
      </c>
      <c r="Q548">
        <f t="shared" si="40"/>
        <v>43</v>
      </c>
      <c r="R548">
        <f t="shared" si="41"/>
        <v>67</v>
      </c>
      <c r="S548" s="1">
        <f t="shared" si="42"/>
        <v>-0.67441860465116277</v>
      </c>
      <c r="T548">
        <f t="shared" si="43"/>
        <v>0.43</v>
      </c>
      <c r="U548" t="str">
        <f t="shared" si="44"/>
        <v>Mar</v>
      </c>
    </row>
    <row r="549" spans="1:21">
      <c r="A549" s="2">
        <v>46124</v>
      </c>
      <c r="B549" t="s">
        <v>4</v>
      </c>
      <c r="C549" t="s">
        <v>43</v>
      </c>
      <c r="D549" t="s">
        <v>11</v>
      </c>
      <c r="E549" t="s">
        <v>35</v>
      </c>
      <c r="F549" t="s">
        <v>39</v>
      </c>
      <c r="G549">
        <v>104</v>
      </c>
      <c r="H549">
        <v>16</v>
      </c>
      <c r="I549">
        <v>76</v>
      </c>
      <c r="J549">
        <v>69</v>
      </c>
      <c r="K549">
        <v>34</v>
      </c>
      <c r="L549">
        <v>105.92</v>
      </c>
      <c r="M549">
        <v>2369</v>
      </c>
      <c r="N549">
        <v>75651</v>
      </c>
      <c r="O549">
        <v>1142.3399999999999</v>
      </c>
      <c r="P549" s="1">
        <v>-0.65100000000000002</v>
      </c>
      <c r="Q549">
        <f t="shared" si="40"/>
        <v>120</v>
      </c>
      <c r="R549">
        <f t="shared" si="41"/>
        <v>85</v>
      </c>
      <c r="S549" s="1">
        <f t="shared" si="42"/>
        <v>0.36666666666666664</v>
      </c>
      <c r="T549">
        <f t="shared" si="43"/>
        <v>1.2</v>
      </c>
      <c r="U549" t="str">
        <f t="shared" si="44"/>
        <v>Apr</v>
      </c>
    </row>
    <row r="550" spans="1:21">
      <c r="A550" s="2">
        <v>46078</v>
      </c>
      <c r="B550" t="s">
        <v>6</v>
      </c>
      <c r="C550" t="s">
        <v>40</v>
      </c>
      <c r="D550" t="s">
        <v>7</v>
      </c>
      <c r="E550" t="s">
        <v>47</v>
      </c>
      <c r="F550" t="s">
        <v>39</v>
      </c>
      <c r="G550">
        <v>85</v>
      </c>
      <c r="H550">
        <v>65</v>
      </c>
      <c r="I550">
        <v>64</v>
      </c>
      <c r="J550">
        <v>84</v>
      </c>
      <c r="K550">
        <v>236</v>
      </c>
      <c r="L550">
        <v>88.31</v>
      </c>
      <c r="M550">
        <v>2083.7199999999998</v>
      </c>
      <c r="N550">
        <v>73751</v>
      </c>
      <c r="O550">
        <v>1508.55</v>
      </c>
      <c r="P550" s="1">
        <v>0.82</v>
      </c>
      <c r="Q550">
        <f t="shared" si="40"/>
        <v>150</v>
      </c>
      <c r="R550">
        <f t="shared" si="41"/>
        <v>149</v>
      </c>
      <c r="S550" s="1">
        <f t="shared" si="42"/>
        <v>0.57333333333333336</v>
      </c>
      <c r="T550">
        <f t="shared" si="43"/>
        <v>1.5</v>
      </c>
      <c r="U550" t="str">
        <f t="shared" si="44"/>
        <v>Feb</v>
      </c>
    </row>
    <row r="551" spans="1:21">
      <c r="A551" s="2">
        <v>46076</v>
      </c>
      <c r="B551" t="s">
        <v>4</v>
      </c>
      <c r="C551" t="s">
        <v>50</v>
      </c>
      <c r="D551" t="s">
        <v>9</v>
      </c>
      <c r="E551" t="s">
        <v>47</v>
      </c>
      <c r="F551" t="s">
        <v>39</v>
      </c>
      <c r="G551">
        <v>58</v>
      </c>
      <c r="H551">
        <v>58</v>
      </c>
      <c r="I551">
        <v>65</v>
      </c>
      <c r="J551">
        <v>24</v>
      </c>
      <c r="K551">
        <v>219</v>
      </c>
      <c r="L551">
        <v>116.7</v>
      </c>
      <c r="M551">
        <v>1849.3</v>
      </c>
      <c r="N551">
        <v>73996</v>
      </c>
      <c r="O551">
        <v>1713.65</v>
      </c>
      <c r="P551" s="1">
        <v>0.877</v>
      </c>
      <c r="Q551">
        <f t="shared" si="40"/>
        <v>116</v>
      </c>
      <c r="R551">
        <f t="shared" si="41"/>
        <v>82</v>
      </c>
      <c r="S551" s="1">
        <f t="shared" si="42"/>
        <v>0.43965517241379309</v>
      </c>
      <c r="T551">
        <f t="shared" si="43"/>
        <v>1.1599999999999999</v>
      </c>
      <c r="U551" t="str">
        <f t="shared" si="44"/>
        <v>Feb</v>
      </c>
    </row>
    <row r="552" spans="1:21">
      <c r="A552" s="2">
        <v>46097</v>
      </c>
      <c r="B552" t="s">
        <v>6</v>
      </c>
      <c r="C552" t="s">
        <v>51</v>
      </c>
      <c r="D552" t="s">
        <v>11</v>
      </c>
      <c r="E552" t="s">
        <v>35</v>
      </c>
      <c r="F552" t="s">
        <v>45</v>
      </c>
      <c r="G552">
        <v>5</v>
      </c>
      <c r="H552">
        <v>52</v>
      </c>
      <c r="I552">
        <v>53</v>
      </c>
      <c r="J552">
        <v>64</v>
      </c>
      <c r="K552">
        <v>114</v>
      </c>
      <c r="L552">
        <v>102.36</v>
      </c>
      <c r="M552">
        <v>2212.3000000000002</v>
      </c>
      <c r="N552">
        <v>69352</v>
      </c>
      <c r="O552">
        <v>1770.51</v>
      </c>
      <c r="P552" s="1">
        <v>0.84399999999999997</v>
      </c>
      <c r="Q552">
        <f t="shared" si="40"/>
        <v>57</v>
      </c>
      <c r="R552">
        <f t="shared" si="41"/>
        <v>116</v>
      </c>
      <c r="S552" s="1">
        <f t="shared" si="42"/>
        <v>7.0175438596491224E-2</v>
      </c>
      <c r="T552">
        <f t="shared" si="43"/>
        <v>0.56999999999999995</v>
      </c>
      <c r="U552" t="str">
        <f t="shared" si="44"/>
        <v>Mar</v>
      </c>
    </row>
    <row r="553" spans="1:21">
      <c r="A553" s="2">
        <v>46072</v>
      </c>
      <c r="B553" t="s">
        <v>6</v>
      </c>
      <c r="C553" t="s">
        <v>43</v>
      </c>
      <c r="D553" t="s">
        <v>10</v>
      </c>
      <c r="E553" t="s">
        <v>37</v>
      </c>
      <c r="F553" t="s">
        <v>39</v>
      </c>
      <c r="G553">
        <v>112</v>
      </c>
      <c r="H553">
        <v>6</v>
      </c>
      <c r="I553">
        <v>46</v>
      </c>
      <c r="J553">
        <v>137</v>
      </c>
      <c r="K553">
        <v>312</v>
      </c>
      <c r="L553">
        <v>87.85</v>
      </c>
      <c r="M553">
        <v>2079.39</v>
      </c>
      <c r="N553">
        <v>68819</v>
      </c>
      <c r="O553">
        <v>1521.33</v>
      </c>
      <c r="P553" s="1">
        <v>0.96399999999999997</v>
      </c>
      <c r="Q553">
        <f t="shared" si="40"/>
        <v>118</v>
      </c>
      <c r="R553">
        <f t="shared" si="41"/>
        <v>143</v>
      </c>
      <c r="S553" s="1">
        <f t="shared" si="42"/>
        <v>0.61016949152542377</v>
      </c>
      <c r="T553">
        <f t="shared" si="43"/>
        <v>1.18</v>
      </c>
      <c r="U553" t="str">
        <f t="shared" si="44"/>
        <v>Feb</v>
      </c>
    </row>
    <row r="554" spans="1:21">
      <c r="A554" s="2">
        <v>46068</v>
      </c>
      <c r="B554" t="s">
        <v>4</v>
      </c>
      <c r="C554" t="s">
        <v>51</v>
      </c>
      <c r="D554" t="s">
        <v>5</v>
      </c>
      <c r="E554" t="s">
        <v>41</v>
      </c>
      <c r="F554" t="s">
        <v>49</v>
      </c>
      <c r="G554">
        <v>7</v>
      </c>
      <c r="H554">
        <v>59</v>
      </c>
      <c r="I554">
        <v>86</v>
      </c>
      <c r="J554">
        <v>144</v>
      </c>
      <c r="K554">
        <v>328</v>
      </c>
      <c r="L554">
        <v>124.45</v>
      </c>
      <c r="M554">
        <v>2155.87</v>
      </c>
      <c r="N554">
        <v>70676</v>
      </c>
      <c r="O554">
        <v>906.78</v>
      </c>
      <c r="P554" s="1">
        <v>6.8000000000000005E-2</v>
      </c>
      <c r="Q554">
        <f t="shared" si="40"/>
        <v>66</v>
      </c>
      <c r="R554">
        <f t="shared" si="41"/>
        <v>203</v>
      </c>
      <c r="S554" s="1">
        <f t="shared" si="42"/>
        <v>-0.30303030303030304</v>
      </c>
      <c r="T554">
        <f t="shared" si="43"/>
        <v>0.66</v>
      </c>
      <c r="U554" t="str">
        <f t="shared" si="44"/>
        <v>Feb</v>
      </c>
    </row>
    <row r="555" spans="1:21">
      <c r="A555" s="2">
        <v>46120</v>
      </c>
      <c r="B555" t="s">
        <v>4</v>
      </c>
      <c r="C555" t="s">
        <v>36</v>
      </c>
      <c r="D555" t="s">
        <v>7</v>
      </c>
      <c r="E555" t="s">
        <v>38</v>
      </c>
      <c r="F555" t="s">
        <v>49</v>
      </c>
      <c r="G555">
        <v>38</v>
      </c>
      <c r="H555">
        <v>76</v>
      </c>
      <c r="I555">
        <v>63</v>
      </c>
      <c r="J555">
        <v>156</v>
      </c>
      <c r="K555">
        <v>74</v>
      </c>
      <c r="L555">
        <v>131.69</v>
      </c>
      <c r="M555">
        <v>2403.4</v>
      </c>
      <c r="N555">
        <v>64567</v>
      </c>
      <c r="O555">
        <v>1339.55</v>
      </c>
      <c r="P555" s="1">
        <v>-0.70499999999999996</v>
      </c>
      <c r="Q555">
        <f t="shared" si="40"/>
        <v>114</v>
      </c>
      <c r="R555">
        <f t="shared" si="41"/>
        <v>232</v>
      </c>
      <c r="S555" s="1">
        <f t="shared" si="42"/>
        <v>0.44736842105263158</v>
      </c>
      <c r="T555">
        <f t="shared" si="43"/>
        <v>1.1399999999999999</v>
      </c>
      <c r="U555" t="str">
        <f t="shared" si="44"/>
        <v>Apr</v>
      </c>
    </row>
    <row r="556" spans="1:21">
      <c r="A556" s="2">
        <v>46117</v>
      </c>
      <c r="B556" t="s">
        <v>6</v>
      </c>
      <c r="C556" t="s">
        <v>46</v>
      </c>
      <c r="D556" t="s">
        <v>10</v>
      </c>
      <c r="E556" t="s">
        <v>37</v>
      </c>
      <c r="F556" t="s">
        <v>49</v>
      </c>
      <c r="G556">
        <v>12</v>
      </c>
      <c r="H556">
        <v>5</v>
      </c>
      <c r="I556">
        <v>6</v>
      </c>
      <c r="J556">
        <v>116</v>
      </c>
      <c r="K556">
        <v>114</v>
      </c>
      <c r="L556">
        <v>93.29</v>
      </c>
      <c r="M556">
        <v>2128.77</v>
      </c>
      <c r="N556">
        <v>65209</v>
      </c>
      <c r="O556">
        <v>980.42</v>
      </c>
      <c r="P556" s="1">
        <v>-0.77200000000000002</v>
      </c>
      <c r="Q556">
        <f t="shared" si="40"/>
        <v>17</v>
      </c>
      <c r="R556">
        <f t="shared" si="41"/>
        <v>121</v>
      </c>
      <c r="S556" s="1">
        <f t="shared" si="42"/>
        <v>0.6470588235294118</v>
      </c>
      <c r="T556">
        <f t="shared" si="43"/>
        <v>0.17</v>
      </c>
      <c r="U556" t="str">
        <f t="shared" si="44"/>
        <v>Apr</v>
      </c>
    </row>
    <row r="557" spans="1:21">
      <c r="A557" s="2">
        <v>46091</v>
      </c>
      <c r="B557" t="s">
        <v>4</v>
      </c>
      <c r="C557" t="s">
        <v>34</v>
      </c>
      <c r="D557" t="s">
        <v>9</v>
      </c>
      <c r="E557" t="s">
        <v>32</v>
      </c>
      <c r="F557" t="s">
        <v>39</v>
      </c>
      <c r="G557">
        <v>85</v>
      </c>
      <c r="H557">
        <v>68</v>
      </c>
      <c r="I557">
        <v>46</v>
      </c>
      <c r="J557">
        <v>87</v>
      </c>
      <c r="K557">
        <v>195</v>
      </c>
      <c r="L557">
        <v>128.11000000000001</v>
      </c>
      <c r="M557">
        <v>2162.85</v>
      </c>
      <c r="N557">
        <v>64475</v>
      </c>
      <c r="O557">
        <v>1295.6300000000001</v>
      </c>
      <c r="P557" s="1">
        <v>-0.80100000000000005</v>
      </c>
      <c r="Q557">
        <f t="shared" si="40"/>
        <v>153</v>
      </c>
      <c r="R557">
        <f t="shared" si="41"/>
        <v>155</v>
      </c>
      <c r="S557" s="1">
        <f t="shared" si="42"/>
        <v>0.69934640522875813</v>
      </c>
      <c r="T557">
        <f t="shared" si="43"/>
        <v>1.53</v>
      </c>
      <c r="U557" t="str">
        <f t="shared" si="44"/>
        <v>Mar</v>
      </c>
    </row>
    <row r="558" spans="1:21">
      <c r="A558" s="2">
        <v>46088</v>
      </c>
      <c r="B558" t="s">
        <v>6</v>
      </c>
      <c r="C558" t="s">
        <v>50</v>
      </c>
      <c r="D558" t="s">
        <v>11</v>
      </c>
      <c r="E558" t="s">
        <v>32</v>
      </c>
      <c r="F558" t="s">
        <v>39</v>
      </c>
      <c r="G558">
        <v>24</v>
      </c>
      <c r="H558">
        <v>78</v>
      </c>
      <c r="I558">
        <v>24</v>
      </c>
      <c r="J558">
        <v>25</v>
      </c>
      <c r="K558">
        <v>415</v>
      </c>
      <c r="L558">
        <v>94.86</v>
      </c>
      <c r="M558">
        <v>2139.56</v>
      </c>
      <c r="N558">
        <v>75815</v>
      </c>
      <c r="O558">
        <v>1033.73</v>
      </c>
      <c r="P558" s="1">
        <v>-0.54500000000000004</v>
      </c>
      <c r="Q558">
        <f t="shared" si="40"/>
        <v>102</v>
      </c>
      <c r="R558">
        <f t="shared" si="41"/>
        <v>103</v>
      </c>
      <c r="S558" s="1">
        <f t="shared" si="42"/>
        <v>0.76470588235294112</v>
      </c>
      <c r="T558">
        <f t="shared" si="43"/>
        <v>1.02</v>
      </c>
      <c r="U558" t="str">
        <f t="shared" si="44"/>
        <v>Mar</v>
      </c>
    </row>
    <row r="559" spans="1:21">
      <c r="A559" s="2">
        <v>46097</v>
      </c>
      <c r="B559" t="s">
        <v>6</v>
      </c>
      <c r="C559" t="s">
        <v>46</v>
      </c>
      <c r="D559" t="s">
        <v>5</v>
      </c>
      <c r="E559" t="s">
        <v>37</v>
      </c>
      <c r="F559" t="s">
        <v>49</v>
      </c>
      <c r="G559">
        <v>19</v>
      </c>
      <c r="H559">
        <v>68</v>
      </c>
      <c r="I559">
        <v>79</v>
      </c>
      <c r="J559">
        <v>15</v>
      </c>
      <c r="K559">
        <v>211</v>
      </c>
      <c r="L559">
        <v>86.16</v>
      </c>
      <c r="M559">
        <v>2097.4499999999998</v>
      </c>
      <c r="N559">
        <v>73838</v>
      </c>
      <c r="O559">
        <v>1776.55</v>
      </c>
      <c r="P559" s="1">
        <v>-0.9</v>
      </c>
      <c r="Q559">
        <f t="shared" si="40"/>
        <v>87</v>
      </c>
      <c r="R559">
        <f t="shared" si="41"/>
        <v>83</v>
      </c>
      <c r="S559" s="1">
        <f t="shared" si="42"/>
        <v>9.1954022988505746E-2</v>
      </c>
      <c r="T559">
        <f t="shared" si="43"/>
        <v>0.87</v>
      </c>
      <c r="U559" t="str">
        <f t="shared" si="44"/>
        <v>Mar</v>
      </c>
    </row>
    <row r="560" spans="1:21">
      <c r="A560" s="2">
        <v>46125</v>
      </c>
      <c r="B560" t="s">
        <v>4</v>
      </c>
      <c r="C560" t="s">
        <v>44</v>
      </c>
      <c r="D560" t="s">
        <v>10</v>
      </c>
      <c r="E560" t="s">
        <v>41</v>
      </c>
      <c r="F560" t="s">
        <v>49</v>
      </c>
      <c r="G560">
        <v>20</v>
      </c>
      <c r="H560">
        <v>54</v>
      </c>
      <c r="I560">
        <v>32</v>
      </c>
      <c r="J560">
        <v>89</v>
      </c>
      <c r="K560">
        <v>214</v>
      </c>
      <c r="L560">
        <v>96.45</v>
      </c>
      <c r="M560">
        <v>2042.15</v>
      </c>
      <c r="N560">
        <v>67833</v>
      </c>
      <c r="O560">
        <v>1367.34</v>
      </c>
      <c r="P560" s="1">
        <v>0.253</v>
      </c>
      <c r="Q560">
        <f t="shared" si="40"/>
        <v>74</v>
      </c>
      <c r="R560">
        <f t="shared" si="41"/>
        <v>143</v>
      </c>
      <c r="S560" s="1">
        <f t="shared" si="42"/>
        <v>0.56756756756756754</v>
      </c>
      <c r="T560">
        <f t="shared" si="43"/>
        <v>0.74</v>
      </c>
      <c r="U560" t="str">
        <f t="shared" si="44"/>
        <v>Apr</v>
      </c>
    </row>
    <row r="561" spans="1:21">
      <c r="A561" s="2">
        <v>46099</v>
      </c>
      <c r="B561" t="s">
        <v>6</v>
      </c>
      <c r="C561" t="s">
        <v>48</v>
      </c>
      <c r="D561" t="s">
        <v>7</v>
      </c>
      <c r="E561" t="s">
        <v>37</v>
      </c>
      <c r="F561" t="s">
        <v>39</v>
      </c>
      <c r="G561">
        <v>93</v>
      </c>
      <c r="H561">
        <v>64</v>
      </c>
      <c r="I561">
        <v>64</v>
      </c>
      <c r="J561">
        <v>30</v>
      </c>
      <c r="K561">
        <v>28</v>
      </c>
      <c r="L561">
        <v>92.41</v>
      </c>
      <c r="M561">
        <v>1885.49</v>
      </c>
      <c r="N561">
        <v>73253</v>
      </c>
      <c r="O561">
        <v>1333.9</v>
      </c>
      <c r="P561" s="1">
        <v>7.2999999999999995E-2</v>
      </c>
      <c r="Q561">
        <f t="shared" si="40"/>
        <v>157</v>
      </c>
      <c r="R561">
        <f t="shared" si="41"/>
        <v>94</v>
      </c>
      <c r="S561" s="1">
        <f t="shared" si="42"/>
        <v>0.59235668789808915</v>
      </c>
      <c r="T561">
        <f t="shared" si="43"/>
        <v>1.57</v>
      </c>
      <c r="U561" t="str">
        <f t="shared" si="44"/>
        <v>Mar</v>
      </c>
    </row>
    <row r="562" spans="1:21">
      <c r="A562" s="2">
        <v>46116</v>
      </c>
      <c r="B562" t="s">
        <v>4</v>
      </c>
      <c r="C562" t="s">
        <v>44</v>
      </c>
      <c r="D562" t="s">
        <v>5</v>
      </c>
      <c r="E562" t="s">
        <v>47</v>
      </c>
      <c r="F562" t="s">
        <v>33</v>
      </c>
      <c r="G562">
        <v>7</v>
      </c>
      <c r="H562">
        <v>68</v>
      </c>
      <c r="I562">
        <v>72</v>
      </c>
      <c r="J562">
        <v>144</v>
      </c>
      <c r="K562">
        <v>272</v>
      </c>
      <c r="L562">
        <v>125.4</v>
      </c>
      <c r="M562">
        <v>2287.8200000000002</v>
      </c>
      <c r="N562">
        <v>72808</v>
      </c>
      <c r="O562">
        <v>1440.4</v>
      </c>
      <c r="P562" s="1">
        <v>-0.96199999999999997</v>
      </c>
      <c r="Q562">
        <f t="shared" si="40"/>
        <v>75</v>
      </c>
      <c r="R562">
        <f t="shared" si="41"/>
        <v>212</v>
      </c>
      <c r="S562" s="1">
        <f t="shared" si="42"/>
        <v>0.04</v>
      </c>
      <c r="T562">
        <f t="shared" si="43"/>
        <v>0.75</v>
      </c>
      <c r="U562" t="str">
        <f t="shared" si="44"/>
        <v>Apr</v>
      </c>
    </row>
    <row r="563" spans="1:21">
      <c r="A563" s="2">
        <v>46117</v>
      </c>
      <c r="B563" t="s">
        <v>6</v>
      </c>
      <c r="C563" t="s">
        <v>46</v>
      </c>
      <c r="D563" t="s">
        <v>11</v>
      </c>
      <c r="E563" t="s">
        <v>32</v>
      </c>
      <c r="F563" t="s">
        <v>33</v>
      </c>
      <c r="G563">
        <v>72</v>
      </c>
      <c r="H563">
        <v>33</v>
      </c>
      <c r="I563">
        <v>6</v>
      </c>
      <c r="J563">
        <v>61</v>
      </c>
      <c r="K563">
        <v>128</v>
      </c>
      <c r="L563">
        <v>122.57</v>
      </c>
      <c r="M563">
        <v>2191.19</v>
      </c>
      <c r="N563">
        <v>69702</v>
      </c>
      <c r="O563">
        <v>1146.54</v>
      </c>
      <c r="P563" s="1">
        <v>0.20100000000000001</v>
      </c>
      <c r="Q563">
        <f t="shared" si="40"/>
        <v>105</v>
      </c>
      <c r="R563">
        <f t="shared" si="41"/>
        <v>94</v>
      </c>
      <c r="S563" s="1">
        <f t="shared" si="42"/>
        <v>0.94285714285714284</v>
      </c>
      <c r="T563">
        <f t="shared" si="43"/>
        <v>1.05</v>
      </c>
      <c r="U563" t="str">
        <f t="shared" si="44"/>
        <v>Apr</v>
      </c>
    </row>
    <row r="564" spans="1:21">
      <c r="A564" s="2">
        <v>46116</v>
      </c>
      <c r="B564" t="s">
        <v>4</v>
      </c>
      <c r="C564" t="s">
        <v>40</v>
      </c>
      <c r="D564" t="s">
        <v>10</v>
      </c>
      <c r="E564" t="s">
        <v>41</v>
      </c>
      <c r="F564" t="s">
        <v>45</v>
      </c>
      <c r="G564">
        <v>61</v>
      </c>
      <c r="H564">
        <v>78</v>
      </c>
      <c r="I564">
        <v>45</v>
      </c>
      <c r="J564">
        <v>140</v>
      </c>
      <c r="K564">
        <v>74</v>
      </c>
      <c r="L564">
        <v>107.56</v>
      </c>
      <c r="M564">
        <v>1936.24</v>
      </c>
      <c r="N564">
        <v>75553</v>
      </c>
      <c r="O564">
        <v>1098.53</v>
      </c>
      <c r="P564" s="1">
        <v>0.97899999999999998</v>
      </c>
      <c r="Q564">
        <f t="shared" si="40"/>
        <v>139</v>
      </c>
      <c r="R564">
        <f t="shared" si="41"/>
        <v>218</v>
      </c>
      <c r="S564" s="1">
        <f t="shared" si="42"/>
        <v>0.67625899280575541</v>
      </c>
      <c r="T564">
        <f t="shared" si="43"/>
        <v>1.39</v>
      </c>
      <c r="U564" t="str">
        <f t="shared" si="44"/>
        <v>Apr</v>
      </c>
    </row>
    <row r="565" spans="1:21">
      <c r="A565" s="2">
        <v>46110</v>
      </c>
      <c r="B565" t="s">
        <v>4</v>
      </c>
      <c r="C565" t="s">
        <v>34</v>
      </c>
      <c r="D565" t="s">
        <v>9</v>
      </c>
      <c r="E565" t="s">
        <v>32</v>
      </c>
      <c r="F565" t="s">
        <v>33</v>
      </c>
      <c r="G565">
        <v>43</v>
      </c>
      <c r="H565">
        <v>13</v>
      </c>
      <c r="I565">
        <v>78</v>
      </c>
      <c r="J565">
        <v>144</v>
      </c>
      <c r="K565">
        <v>134</v>
      </c>
      <c r="L565">
        <v>95.85</v>
      </c>
      <c r="M565">
        <v>2460.44</v>
      </c>
      <c r="N565">
        <v>72583</v>
      </c>
      <c r="O565">
        <v>1414.68</v>
      </c>
      <c r="P565" s="1">
        <v>0.34399999999999997</v>
      </c>
      <c r="Q565">
        <f t="shared" si="40"/>
        <v>56</v>
      </c>
      <c r="R565">
        <f t="shared" si="41"/>
        <v>157</v>
      </c>
      <c r="S565" s="1">
        <f t="shared" si="42"/>
        <v>-0.39285714285714285</v>
      </c>
      <c r="T565">
        <f t="shared" si="43"/>
        <v>0.56000000000000005</v>
      </c>
      <c r="U565" t="str">
        <f t="shared" si="44"/>
        <v>Mar</v>
      </c>
    </row>
    <row r="566" spans="1:21">
      <c r="A566" s="2">
        <v>46090</v>
      </c>
      <c r="B566" t="s">
        <v>6</v>
      </c>
      <c r="C566" t="s">
        <v>40</v>
      </c>
      <c r="D566" t="s">
        <v>10</v>
      </c>
      <c r="E566" t="s">
        <v>37</v>
      </c>
      <c r="F566" t="s">
        <v>33</v>
      </c>
      <c r="G566">
        <v>70</v>
      </c>
      <c r="H566">
        <v>34</v>
      </c>
      <c r="I566">
        <v>53</v>
      </c>
      <c r="J566">
        <v>32</v>
      </c>
      <c r="K566">
        <v>229</v>
      </c>
      <c r="L566">
        <v>89.57</v>
      </c>
      <c r="M566">
        <v>1814.05</v>
      </c>
      <c r="N566">
        <v>73614</v>
      </c>
      <c r="O566">
        <v>1231.8800000000001</v>
      </c>
      <c r="P566" s="1">
        <v>0.76700000000000002</v>
      </c>
      <c r="Q566">
        <f t="shared" si="40"/>
        <v>104</v>
      </c>
      <c r="R566">
        <f t="shared" si="41"/>
        <v>66</v>
      </c>
      <c r="S566" s="1">
        <f t="shared" si="42"/>
        <v>0.49038461538461536</v>
      </c>
      <c r="T566">
        <f t="shared" si="43"/>
        <v>1.04</v>
      </c>
      <c r="U566" t="str">
        <f t="shared" si="44"/>
        <v>Mar</v>
      </c>
    </row>
    <row r="567" spans="1:21">
      <c r="A567" s="2">
        <v>46098</v>
      </c>
      <c r="B567" t="s">
        <v>6</v>
      </c>
      <c r="C567" t="s">
        <v>43</v>
      </c>
      <c r="D567" t="s">
        <v>11</v>
      </c>
      <c r="E567" t="s">
        <v>47</v>
      </c>
      <c r="F567" t="s">
        <v>39</v>
      </c>
      <c r="G567">
        <v>79</v>
      </c>
      <c r="H567">
        <v>55</v>
      </c>
      <c r="I567">
        <v>75</v>
      </c>
      <c r="J567">
        <v>89</v>
      </c>
      <c r="K567">
        <v>271</v>
      </c>
      <c r="L567">
        <v>103.54</v>
      </c>
      <c r="M567">
        <v>2067.7600000000002</v>
      </c>
      <c r="N567">
        <v>69251</v>
      </c>
      <c r="O567">
        <v>1025.8800000000001</v>
      </c>
      <c r="P567" s="1">
        <v>-0.05</v>
      </c>
      <c r="Q567">
        <f t="shared" si="40"/>
        <v>134</v>
      </c>
      <c r="R567">
        <f t="shared" si="41"/>
        <v>144</v>
      </c>
      <c r="S567" s="1">
        <f t="shared" si="42"/>
        <v>0.44029850746268656</v>
      </c>
      <c r="T567">
        <f t="shared" si="43"/>
        <v>1.34</v>
      </c>
      <c r="U567" t="str">
        <f t="shared" si="44"/>
        <v>Mar</v>
      </c>
    </row>
    <row r="568" spans="1:21">
      <c r="A568" s="2">
        <v>46118</v>
      </c>
      <c r="B568" t="s">
        <v>4</v>
      </c>
      <c r="C568" t="s">
        <v>36</v>
      </c>
      <c r="D568" t="s">
        <v>10</v>
      </c>
      <c r="E568" t="s">
        <v>37</v>
      </c>
      <c r="F568" t="s">
        <v>33</v>
      </c>
      <c r="G568">
        <v>28</v>
      </c>
      <c r="H568">
        <v>66</v>
      </c>
      <c r="I568">
        <v>78</v>
      </c>
      <c r="J568">
        <v>80</v>
      </c>
      <c r="K568">
        <v>436</v>
      </c>
      <c r="L568">
        <v>91.77</v>
      </c>
      <c r="M568">
        <v>2412.1</v>
      </c>
      <c r="N568">
        <v>65511</v>
      </c>
      <c r="O568">
        <v>1190.77</v>
      </c>
      <c r="P568" s="1">
        <v>-0.152</v>
      </c>
      <c r="Q568">
        <f t="shared" si="40"/>
        <v>94</v>
      </c>
      <c r="R568">
        <f t="shared" si="41"/>
        <v>146</v>
      </c>
      <c r="S568" s="1">
        <f t="shared" si="42"/>
        <v>0.1702127659574468</v>
      </c>
      <c r="T568">
        <f t="shared" si="43"/>
        <v>0.94</v>
      </c>
      <c r="U568" t="str">
        <f t="shared" si="44"/>
        <v>Apr</v>
      </c>
    </row>
    <row r="569" spans="1:21">
      <c r="A569" s="2">
        <v>46068</v>
      </c>
      <c r="B569" t="s">
        <v>4</v>
      </c>
      <c r="C569" t="s">
        <v>40</v>
      </c>
      <c r="D569" t="s">
        <v>10</v>
      </c>
      <c r="E569" t="s">
        <v>35</v>
      </c>
      <c r="F569" t="s">
        <v>49</v>
      </c>
      <c r="G569">
        <v>30</v>
      </c>
      <c r="H569">
        <v>34</v>
      </c>
      <c r="I569">
        <v>53</v>
      </c>
      <c r="J569">
        <v>124</v>
      </c>
      <c r="K569">
        <v>387</v>
      </c>
      <c r="L569">
        <v>98.38</v>
      </c>
      <c r="M569">
        <v>2166.25</v>
      </c>
      <c r="N569">
        <v>67490</v>
      </c>
      <c r="O569">
        <v>1404.21</v>
      </c>
      <c r="P569" s="1">
        <v>0.76100000000000001</v>
      </c>
      <c r="Q569">
        <f t="shared" si="40"/>
        <v>64</v>
      </c>
      <c r="R569">
        <f t="shared" si="41"/>
        <v>158</v>
      </c>
      <c r="S569" s="1">
        <f t="shared" si="42"/>
        <v>0.171875</v>
      </c>
      <c r="T569">
        <f t="shared" si="43"/>
        <v>0.64</v>
      </c>
      <c r="U569" t="str">
        <f t="shared" si="44"/>
        <v>Feb</v>
      </c>
    </row>
    <row r="570" spans="1:21">
      <c r="A570" s="2">
        <v>46102</v>
      </c>
      <c r="B570" t="s">
        <v>6</v>
      </c>
      <c r="C570" t="s">
        <v>34</v>
      </c>
      <c r="D570" t="s">
        <v>5</v>
      </c>
      <c r="E570" t="s">
        <v>35</v>
      </c>
      <c r="F570" t="s">
        <v>39</v>
      </c>
      <c r="G570">
        <v>13</v>
      </c>
      <c r="H570">
        <v>39</v>
      </c>
      <c r="I570">
        <v>56</v>
      </c>
      <c r="J570">
        <v>33</v>
      </c>
      <c r="K570">
        <v>27</v>
      </c>
      <c r="L570">
        <v>96.65</v>
      </c>
      <c r="M570">
        <v>2204.29</v>
      </c>
      <c r="N570">
        <v>68473</v>
      </c>
      <c r="O570">
        <v>1218.76</v>
      </c>
      <c r="P570" s="1">
        <v>-0.69699999999999995</v>
      </c>
      <c r="Q570">
        <f t="shared" si="40"/>
        <v>52</v>
      </c>
      <c r="R570">
        <f t="shared" si="41"/>
        <v>72</v>
      </c>
      <c r="S570" s="1">
        <f t="shared" si="42"/>
        <v>-7.6923076923076927E-2</v>
      </c>
      <c r="T570">
        <f t="shared" si="43"/>
        <v>0.52</v>
      </c>
      <c r="U570" t="str">
        <f t="shared" si="44"/>
        <v>Mar</v>
      </c>
    </row>
    <row r="571" spans="1:21">
      <c r="A571" s="2">
        <v>46088</v>
      </c>
      <c r="B571" t="s">
        <v>4</v>
      </c>
      <c r="C571" t="s">
        <v>44</v>
      </c>
      <c r="D571" t="s">
        <v>10</v>
      </c>
      <c r="E571" t="s">
        <v>32</v>
      </c>
      <c r="F571" t="s">
        <v>33</v>
      </c>
      <c r="G571">
        <v>65</v>
      </c>
      <c r="H571">
        <v>1</v>
      </c>
      <c r="I571">
        <v>29</v>
      </c>
      <c r="J571">
        <v>121</v>
      </c>
      <c r="K571">
        <v>188</v>
      </c>
      <c r="L571">
        <v>114.38</v>
      </c>
      <c r="M571">
        <v>2313.86</v>
      </c>
      <c r="N571">
        <v>69523</v>
      </c>
      <c r="O571">
        <v>1021.48</v>
      </c>
      <c r="P571" s="1">
        <v>0.40500000000000003</v>
      </c>
      <c r="Q571">
        <f t="shared" si="40"/>
        <v>66</v>
      </c>
      <c r="R571">
        <f t="shared" si="41"/>
        <v>122</v>
      </c>
      <c r="S571" s="1">
        <f t="shared" si="42"/>
        <v>0.56060606060606055</v>
      </c>
      <c r="T571">
        <f t="shared" si="43"/>
        <v>0.66</v>
      </c>
      <c r="U571" t="str">
        <f t="shared" si="44"/>
        <v>Mar</v>
      </c>
    </row>
    <row r="572" spans="1:21">
      <c r="A572" s="2">
        <v>46083</v>
      </c>
      <c r="B572" t="s">
        <v>6</v>
      </c>
      <c r="C572" t="s">
        <v>46</v>
      </c>
      <c r="D572" t="s">
        <v>9</v>
      </c>
      <c r="E572" t="s">
        <v>47</v>
      </c>
      <c r="F572" t="s">
        <v>49</v>
      </c>
      <c r="G572">
        <v>104</v>
      </c>
      <c r="H572">
        <v>71</v>
      </c>
      <c r="I572">
        <v>32</v>
      </c>
      <c r="J572">
        <v>100</v>
      </c>
      <c r="K572">
        <v>318</v>
      </c>
      <c r="L572">
        <v>110.55</v>
      </c>
      <c r="M572">
        <v>2003.15</v>
      </c>
      <c r="N572">
        <v>67351</v>
      </c>
      <c r="O572">
        <v>1061.93</v>
      </c>
      <c r="P572" s="1">
        <v>-0.36399999999999999</v>
      </c>
      <c r="Q572">
        <f t="shared" si="40"/>
        <v>175</v>
      </c>
      <c r="R572">
        <f t="shared" si="41"/>
        <v>171</v>
      </c>
      <c r="S572" s="1">
        <f t="shared" si="42"/>
        <v>0.81714285714285717</v>
      </c>
      <c r="T572">
        <f t="shared" si="43"/>
        <v>1.75</v>
      </c>
      <c r="U572" t="str">
        <f t="shared" si="44"/>
        <v>Mar</v>
      </c>
    </row>
    <row r="573" spans="1:21">
      <c r="A573" s="2">
        <v>46088</v>
      </c>
      <c r="B573" t="s">
        <v>4</v>
      </c>
      <c r="C573" t="s">
        <v>43</v>
      </c>
      <c r="D573" t="s">
        <v>10</v>
      </c>
      <c r="E573" t="s">
        <v>41</v>
      </c>
      <c r="F573" t="s">
        <v>33</v>
      </c>
      <c r="G573">
        <v>18</v>
      </c>
      <c r="H573">
        <v>6</v>
      </c>
      <c r="I573">
        <v>55</v>
      </c>
      <c r="J573">
        <v>79</v>
      </c>
      <c r="K573">
        <v>173</v>
      </c>
      <c r="L573">
        <v>115.86</v>
      </c>
      <c r="M573">
        <v>2296.4299999999998</v>
      </c>
      <c r="N573">
        <v>65603</v>
      </c>
      <c r="O573">
        <v>1785.88</v>
      </c>
      <c r="P573" s="1">
        <v>0.29099999999999998</v>
      </c>
      <c r="Q573">
        <f t="shared" si="40"/>
        <v>24</v>
      </c>
      <c r="R573">
        <f t="shared" si="41"/>
        <v>85</v>
      </c>
      <c r="S573" s="1">
        <f t="shared" si="42"/>
        <v>-1.2916666666666667</v>
      </c>
      <c r="T573">
        <f t="shared" si="43"/>
        <v>0.24</v>
      </c>
      <c r="U573" t="str">
        <f t="shared" si="44"/>
        <v>Mar</v>
      </c>
    </row>
    <row r="574" spans="1:21">
      <c r="A574" s="2">
        <v>46085</v>
      </c>
      <c r="B574" t="s">
        <v>6</v>
      </c>
      <c r="C574" t="s">
        <v>34</v>
      </c>
      <c r="D574" t="s">
        <v>10</v>
      </c>
      <c r="E574" t="s">
        <v>47</v>
      </c>
      <c r="F574" t="s">
        <v>49</v>
      </c>
      <c r="G574">
        <v>104</v>
      </c>
      <c r="H574">
        <v>16</v>
      </c>
      <c r="I574">
        <v>16</v>
      </c>
      <c r="J574">
        <v>61</v>
      </c>
      <c r="K574">
        <v>104</v>
      </c>
      <c r="L574">
        <v>103.19</v>
      </c>
      <c r="M574">
        <v>1930.87</v>
      </c>
      <c r="N574">
        <v>71638</v>
      </c>
      <c r="O574">
        <v>1450.88</v>
      </c>
      <c r="P574" s="1">
        <v>0.96899999999999997</v>
      </c>
      <c r="Q574">
        <f t="shared" si="40"/>
        <v>120</v>
      </c>
      <c r="R574">
        <f t="shared" si="41"/>
        <v>77</v>
      </c>
      <c r="S574" s="1">
        <f t="shared" si="42"/>
        <v>0.8666666666666667</v>
      </c>
      <c r="T574">
        <f t="shared" si="43"/>
        <v>1.2</v>
      </c>
      <c r="U574" t="str">
        <f t="shared" si="44"/>
        <v>Mar</v>
      </c>
    </row>
    <row r="575" spans="1:21">
      <c r="A575" s="2">
        <v>46078</v>
      </c>
      <c r="B575" t="s">
        <v>4</v>
      </c>
      <c r="C575" t="s">
        <v>51</v>
      </c>
      <c r="D575" t="s">
        <v>9</v>
      </c>
      <c r="E575" t="s">
        <v>42</v>
      </c>
      <c r="F575" t="s">
        <v>49</v>
      </c>
      <c r="G575">
        <v>32</v>
      </c>
      <c r="H575">
        <v>4</v>
      </c>
      <c r="I575">
        <v>47</v>
      </c>
      <c r="J575">
        <v>126</v>
      </c>
      <c r="K575">
        <v>420</v>
      </c>
      <c r="L575">
        <v>101.81</v>
      </c>
      <c r="M575">
        <v>2496.6799999999998</v>
      </c>
      <c r="N575">
        <v>64764</v>
      </c>
      <c r="O575">
        <v>1142.53</v>
      </c>
      <c r="P575" s="1">
        <v>0.35099999999999998</v>
      </c>
      <c r="Q575">
        <f t="shared" si="40"/>
        <v>36</v>
      </c>
      <c r="R575">
        <f t="shared" si="41"/>
        <v>130</v>
      </c>
      <c r="S575" s="1">
        <f t="shared" si="42"/>
        <v>-0.30555555555555558</v>
      </c>
      <c r="T575">
        <f t="shared" si="43"/>
        <v>0.36</v>
      </c>
      <c r="U575" t="str">
        <f t="shared" si="44"/>
        <v>Feb</v>
      </c>
    </row>
    <row r="576" spans="1:21">
      <c r="A576" s="2">
        <v>46068</v>
      </c>
      <c r="B576" t="s">
        <v>6</v>
      </c>
      <c r="C576" t="s">
        <v>40</v>
      </c>
      <c r="D576" t="s">
        <v>10</v>
      </c>
      <c r="E576" t="s">
        <v>47</v>
      </c>
      <c r="F576" t="s">
        <v>39</v>
      </c>
      <c r="G576">
        <v>21</v>
      </c>
      <c r="H576">
        <v>67</v>
      </c>
      <c r="I576">
        <v>59</v>
      </c>
      <c r="J576">
        <v>149</v>
      </c>
      <c r="K576">
        <v>100</v>
      </c>
      <c r="L576">
        <v>83.5</v>
      </c>
      <c r="M576">
        <v>1855.65</v>
      </c>
      <c r="N576">
        <v>67896</v>
      </c>
      <c r="O576">
        <v>1605.22</v>
      </c>
      <c r="P576" s="1">
        <v>-0.22600000000000001</v>
      </c>
      <c r="Q576">
        <f t="shared" si="40"/>
        <v>88</v>
      </c>
      <c r="R576">
        <f t="shared" si="41"/>
        <v>216</v>
      </c>
      <c r="S576" s="1">
        <f t="shared" si="42"/>
        <v>0.32954545454545453</v>
      </c>
      <c r="T576">
        <f t="shared" si="43"/>
        <v>0.88</v>
      </c>
      <c r="U576" t="str">
        <f t="shared" si="44"/>
        <v>Feb</v>
      </c>
    </row>
    <row r="577" spans="1:21">
      <c r="A577" s="2">
        <v>46068</v>
      </c>
      <c r="B577" t="s">
        <v>4</v>
      </c>
      <c r="C577" t="s">
        <v>34</v>
      </c>
      <c r="D577" t="s">
        <v>5</v>
      </c>
      <c r="E577" t="s">
        <v>41</v>
      </c>
      <c r="F577" t="s">
        <v>49</v>
      </c>
      <c r="G577">
        <v>20</v>
      </c>
      <c r="H577">
        <v>12</v>
      </c>
      <c r="I577">
        <v>13</v>
      </c>
      <c r="J577">
        <v>144</v>
      </c>
      <c r="K577">
        <v>250</v>
      </c>
      <c r="L577">
        <v>108.03</v>
      </c>
      <c r="M577">
        <v>2277.0500000000002</v>
      </c>
      <c r="N577">
        <v>69945</v>
      </c>
      <c r="O577">
        <v>1595.93</v>
      </c>
      <c r="P577" s="1">
        <v>0.313</v>
      </c>
      <c r="Q577">
        <f t="shared" si="40"/>
        <v>32</v>
      </c>
      <c r="R577">
        <f t="shared" si="41"/>
        <v>156</v>
      </c>
      <c r="S577" s="1">
        <f t="shared" si="42"/>
        <v>0.59375</v>
      </c>
      <c r="T577">
        <f t="shared" si="43"/>
        <v>0.32</v>
      </c>
      <c r="U577" t="str">
        <f t="shared" si="44"/>
        <v>Feb</v>
      </c>
    </row>
    <row r="578" spans="1:21">
      <c r="A578" s="2">
        <v>46102</v>
      </c>
      <c r="B578" t="s">
        <v>6</v>
      </c>
      <c r="C578" t="s">
        <v>51</v>
      </c>
      <c r="D578" t="s">
        <v>11</v>
      </c>
      <c r="E578" t="s">
        <v>38</v>
      </c>
      <c r="F578" t="s">
        <v>33</v>
      </c>
      <c r="G578">
        <v>69</v>
      </c>
      <c r="H578">
        <v>48</v>
      </c>
      <c r="I578">
        <v>80</v>
      </c>
      <c r="J578">
        <v>35</v>
      </c>
      <c r="K578">
        <v>210</v>
      </c>
      <c r="L578">
        <v>135</v>
      </c>
      <c r="M578">
        <v>2406.86</v>
      </c>
      <c r="N578">
        <v>75568</v>
      </c>
      <c r="O578">
        <v>1752.36</v>
      </c>
      <c r="P578" s="1">
        <v>-0.184</v>
      </c>
      <c r="Q578">
        <f t="shared" si="40"/>
        <v>117</v>
      </c>
      <c r="R578">
        <f t="shared" si="41"/>
        <v>83</v>
      </c>
      <c r="S578" s="1">
        <f t="shared" si="42"/>
        <v>0.31623931623931623</v>
      </c>
      <c r="T578">
        <f t="shared" si="43"/>
        <v>1.17</v>
      </c>
      <c r="U578" t="str">
        <f t="shared" si="44"/>
        <v>Mar</v>
      </c>
    </row>
    <row r="579" spans="1:21">
      <c r="A579" s="2">
        <v>46103</v>
      </c>
      <c r="B579" t="s">
        <v>4</v>
      </c>
      <c r="C579" t="s">
        <v>48</v>
      </c>
      <c r="D579" t="s">
        <v>11</v>
      </c>
      <c r="E579" t="s">
        <v>41</v>
      </c>
      <c r="F579" t="s">
        <v>39</v>
      </c>
      <c r="G579">
        <v>68</v>
      </c>
      <c r="H579">
        <v>9</v>
      </c>
      <c r="I579">
        <v>38</v>
      </c>
      <c r="J579">
        <v>84</v>
      </c>
      <c r="K579">
        <v>191</v>
      </c>
      <c r="L579">
        <v>110.16</v>
      </c>
      <c r="M579">
        <v>1986.92</v>
      </c>
      <c r="N579">
        <v>74294</v>
      </c>
      <c r="O579">
        <v>1097.31</v>
      </c>
      <c r="P579" s="1">
        <v>2.7E-2</v>
      </c>
      <c r="Q579">
        <f t="shared" ref="Q579:Q642" si="45">G579+H579</f>
        <v>77</v>
      </c>
      <c r="R579">
        <f t="shared" ref="R579:R642" si="46">J579+H579</f>
        <v>93</v>
      </c>
      <c r="S579" s="1">
        <f t="shared" ref="S579:S642" si="47">(Q579-I579)/(Q579)</f>
        <v>0.50649350649350644</v>
      </c>
      <c r="T579">
        <f t="shared" ref="T579:T642" si="48">Q579/100</f>
        <v>0.77</v>
      </c>
      <c r="U579" t="str">
        <f t="shared" ref="U579:U642" si="49">TEXT(A579,"mmm")</f>
        <v>Mar</v>
      </c>
    </row>
    <row r="580" spans="1:21">
      <c r="A580" s="2">
        <v>46123</v>
      </c>
      <c r="B580" t="s">
        <v>6</v>
      </c>
      <c r="C580" t="s">
        <v>48</v>
      </c>
      <c r="D580" t="s">
        <v>10</v>
      </c>
      <c r="E580" t="s">
        <v>42</v>
      </c>
      <c r="F580" t="s">
        <v>45</v>
      </c>
      <c r="G580">
        <v>6</v>
      </c>
      <c r="H580">
        <v>22</v>
      </c>
      <c r="I580">
        <v>86</v>
      </c>
      <c r="J580">
        <v>35</v>
      </c>
      <c r="K580">
        <v>301</v>
      </c>
      <c r="L580">
        <v>100.27</v>
      </c>
      <c r="M580">
        <v>2362.5700000000002</v>
      </c>
      <c r="N580">
        <v>65180</v>
      </c>
      <c r="O580">
        <v>1314.59</v>
      </c>
      <c r="P580" s="1">
        <v>-0.76200000000000001</v>
      </c>
      <c r="Q580">
        <f t="shared" si="45"/>
        <v>28</v>
      </c>
      <c r="R580">
        <f t="shared" si="46"/>
        <v>57</v>
      </c>
      <c r="S580" s="1">
        <f t="shared" si="47"/>
        <v>-2.0714285714285716</v>
      </c>
      <c r="T580">
        <f t="shared" si="48"/>
        <v>0.28000000000000003</v>
      </c>
      <c r="U580" t="str">
        <f t="shared" si="49"/>
        <v>Apr</v>
      </c>
    </row>
    <row r="581" spans="1:21">
      <c r="A581" s="2">
        <v>46122</v>
      </c>
      <c r="B581" t="s">
        <v>4</v>
      </c>
      <c r="C581" t="s">
        <v>48</v>
      </c>
      <c r="D581" t="s">
        <v>10</v>
      </c>
      <c r="E581" t="s">
        <v>42</v>
      </c>
      <c r="F581" t="s">
        <v>39</v>
      </c>
      <c r="G581">
        <v>110</v>
      </c>
      <c r="H581">
        <v>74</v>
      </c>
      <c r="I581">
        <v>12</v>
      </c>
      <c r="J581">
        <v>74</v>
      </c>
      <c r="K581">
        <v>16</v>
      </c>
      <c r="L581">
        <v>116.77</v>
      </c>
      <c r="M581">
        <v>2219.04</v>
      </c>
      <c r="N581">
        <v>65295</v>
      </c>
      <c r="O581">
        <v>1607.29</v>
      </c>
      <c r="P581" s="1">
        <v>-0.66200000000000003</v>
      </c>
      <c r="Q581">
        <f t="shared" si="45"/>
        <v>184</v>
      </c>
      <c r="R581">
        <f t="shared" si="46"/>
        <v>148</v>
      </c>
      <c r="S581" s="1">
        <f t="shared" si="47"/>
        <v>0.93478260869565222</v>
      </c>
      <c r="T581">
        <f t="shared" si="48"/>
        <v>1.84</v>
      </c>
      <c r="U581" t="str">
        <f t="shared" si="49"/>
        <v>Apr</v>
      </c>
    </row>
    <row r="582" spans="1:21">
      <c r="A582" s="2">
        <v>46096</v>
      </c>
      <c r="B582" t="s">
        <v>4</v>
      </c>
      <c r="C582" t="s">
        <v>43</v>
      </c>
      <c r="D582" t="s">
        <v>9</v>
      </c>
      <c r="E582" t="s">
        <v>35</v>
      </c>
      <c r="F582" t="s">
        <v>33</v>
      </c>
      <c r="G582">
        <v>81</v>
      </c>
      <c r="H582">
        <v>60</v>
      </c>
      <c r="I582">
        <v>42</v>
      </c>
      <c r="J582">
        <v>55</v>
      </c>
      <c r="K582">
        <v>139</v>
      </c>
      <c r="L582">
        <v>117.83</v>
      </c>
      <c r="M582">
        <v>2144.9899999999998</v>
      </c>
      <c r="N582">
        <v>65444</v>
      </c>
      <c r="O582">
        <v>1789.42</v>
      </c>
      <c r="P582" s="1">
        <v>-0.372</v>
      </c>
      <c r="Q582">
        <f t="shared" si="45"/>
        <v>141</v>
      </c>
      <c r="R582">
        <f t="shared" si="46"/>
        <v>115</v>
      </c>
      <c r="S582" s="1">
        <f t="shared" si="47"/>
        <v>0.7021276595744681</v>
      </c>
      <c r="T582">
        <f t="shared" si="48"/>
        <v>1.41</v>
      </c>
      <c r="U582" t="str">
        <f t="shared" si="49"/>
        <v>Mar</v>
      </c>
    </row>
    <row r="583" spans="1:21">
      <c r="A583" s="2">
        <v>46109</v>
      </c>
      <c r="B583" t="s">
        <v>4</v>
      </c>
      <c r="C583" t="s">
        <v>34</v>
      </c>
      <c r="D583" t="s">
        <v>5</v>
      </c>
      <c r="E583" t="s">
        <v>32</v>
      </c>
      <c r="F583" t="s">
        <v>33</v>
      </c>
      <c r="G583">
        <v>6</v>
      </c>
      <c r="H583">
        <v>46</v>
      </c>
      <c r="I583">
        <v>56</v>
      </c>
      <c r="J583">
        <v>137</v>
      </c>
      <c r="K583">
        <v>120</v>
      </c>
      <c r="L583">
        <v>84.05</v>
      </c>
      <c r="M583">
        <v>2438.5700000000002</v>
      </c>
      <c r="N583">
        <v>70336</v>
      </c>
      <c r="O583">
        <v>1591.41</v>
      </c>
      <c r="P583" s="1">
        <v>-0.97099999999999997</v>
      </c>
      <c r="Q583">
        <f t="shared" si="45"/>
        <v>52</v>
      </c>
      <c r="R583">
        <f t="shared" si="46"/>
        <v>183</v>
      </c>
      <c r="S583" s="1">
        <f t="shared" si="47"/>
        <v>-7.6923076923076927E-2</v>
      </c>
      <c r="T583">
        <f t="shared" si="48"/>
        <v>0.52</v>
      </c>
      <c r="U583" t="str">
        <f t="shared" si="49"/>
        <v>Mar</v>
      </c>
    </row>
    <row r="584" spans="1:21">
      <c r="A584" s="2">
        <v>46103</v>
      </c>
      <c r="B584" t="s">
        <v>4</v>
      </c>
      <c r="C584" t="s">
        <v>48</v>
      </c>
      <c r="D584" t="s">
        <v>10</v>
      </c>
      <c r="E584" t="s">
        <v>41</v>
      </c>
      <c r="F584" t="s">
        <v>45</v>
      </c>
      <c r="G584">
        <v>42</v>
      </c>
      <c r="H584">
        <v>0</v>
      </c>
      <c r="I584">
        <v>26</v>
      </c>
      <c r="J584">
        <v>102</v>
      </c>
      <c r="K584">
        <v>134</v>
      </c>
      <c r="L584">
        <v>119.12</v>
      </c>
      <c r="M584">
        <v>2184.12</v>
      </c>
      <c r="N584">
        <v>71817</v>
      </c>
      <c r="O584">
        <v>1732.22</v>
      </c>
      <c r="P584" s="1">
        <v>0.746</v>
      </c>
      <c r="Q584">
        <f t="shared" si="45"/>
        <v>42</v>
      </c>
      <c r="R584">
        <f t="shared" si="46"/>
        <v>102</v>
      </c>
      <c r="S584" s="1">
        <f t="shared" si="47"/>
        <v>0.38095238095238093</v>
      </c>
      <c r="T584">
        <f t="shared" si="48"/>
        <v>0.42</v>
      </c>
      <c r="U584" t="str">
        <f t="shared" si="49"/>
        <v>Mar</v>
      </c>
    </row>
    <row r="585" spans="1:21">
      <c r="A585" s="2">
        <v>46089</v>
      </c>
      <c r="B585" t="s">
        <v>6</v>
      </c>
      <c r="C585" t="s">
        <v>50</v>
      </c>
      <c r="D585" t="s">
        <v>7</v>
      </c>
      <c r="E585" t="s">
        <v>37</v>
      </c>
      <c r="F585" t="s">
        <v>49</v>
      </c>
      <c r="G585">
        <v>12</v>
      </c>
      <c r="H585">
        <v>68</v>
      </c>
      <c r="I585">
        <v>38</v>
      </c>
      <c r="J585">
        <v>118</v>
      </c>
      <c r="K585">
        <v>311</v>
      </c>
      <c r="L585">
        <v>92.51</v>
      </c>
      <c r="M585">
        <v>1887.6</v>
      </c>
      <c r="N585">
        <v>75353</v>
      </c>
      <c r="O585">
        <v>1730.39</v>
      </c>
      <c r="P585" s="1">
        <v>0.79500000000000004</v>
      </c>
      <c r="Q585">
        <f t="shared" si="45"/>
        <v>80</v>
      </c>
      <c r="R585">
        <f t="shared" si="46"/>
        <v>186</v>
      </c>
      <c r="S585" s="1">
        <f t="shared" si="47"/>
        <v>0.52500000000000002</v>
      </c>
      <c r="T585">
        <f t="shared" si="48"/>
        <v>0.8</v>
      </c>
      <c r="U585" t="str">
        <f t="shared" si="49"/>
        <v>Mar</v>
      </c>
    </row>
    <row r="586" spans="1:21">
      <c r="A586" s="2">
        <v>46106</v>
      </c>
      <c r="B586" t="s">
        <v>6</v>
      </c>
      <c r="C586" t="s">
        <v>31</v>
      </c>
      <c r="D586" t="s">
        <v>10</v>
      </c>
      <c r="E586" t="s">
        <v>42</v>
      </c>
      <c r="F586" t="s">
        <v>45</v>
      </c>
      <c r="G586">
        <v>106</v>
      </c>
      <c r="H586">
        <v>53</v>
      </c>
      <c r="I586">
        <v>31</v>
      </c>
      <c r="J586">
        <v>39</v>
      </c>
      <c r="K586">
        <v>104</v>
      </c>
      <c r="L586">
        <v>92.67</v>
      </c>
      <c r="M586">
        <v>2056.31</v>
      </c>
      <c r="N586">
        <v>70716</v>
      </c>
      <c r="O586">
        <v>1338.11</v>
      </c>
      <c r="P586" s="1">
        <v>0.76100000000000001</v>
      </c>
      <c r="Q586">
        <f t="shared" si="45"/>
        <v>159</v>
      </c>
      <c r="R586">
        <f t="shared" si="46"/>
        <v>92</v>
      </c>
      <c r="S586" s="1">
        <f t="shared" si="47"/>
        <v>0.80503144654088055</v>
      </c>
      <c r="T586">
        <f t="shared" si="48"/>
        <v>1.59</v>
      </c>
      <c r="U586" t="str">
        <f t="shared" si="49"/>
        <v>Mar</v>
      </c>
    </row>
    <row r="587" spans="1:21">
      <c r="A587" s="2">
        <v>46113</v>
      </c>
      <c r="B587" t="s">
        <v>4</v>
      </c>
      <c r="C587" t="s">
        <v>36</v>
      </c>
      <c r="D587" t="s">
        <v>10</v>
      </c>
      <c r="E587" t="s">
        <v>41</v>
      </c>
      <c r="F587" t="s">
        <v>45</v>
      </c>
      <c r="G587">
        <v>76</v>
      </c>
      <c r="H587">
        <v>68</v>
      </c>
      <c r="I587">
        <v>61</v>
      </c>
      <c r="J587">
        <v>96</v>
      </c>
      <c r="K587">
        <v>126</v>
      </c>
      <c r="L587">
        <v>134.57</v>
      </c>
      <c r="M587">
        <v>2499.3200000000002</v>
      </c>
      <c r="N587">
        <v>73602</v>
      </c>
      <c r="O587">
        <v>925.26</v>
      </c>
      <c r="P587" s="1">
        <v>-0.80800000000000005</v>
      </c>
      <c r="Q587">
        <f t="shared" si="45"/>
        <v>144</v>
      </c>
      <c r="R587">
        <f t="shared" si="46"/>
        <v>164</v>
      </c>
      <c r="S587" s="1">
        <f t="shared" si="47"/>
        <v>0.57638888888888884</v>
      </c>
      <c r="T587">
        <f t="shared" si="48"/>
        <v>1.44</v>
      </c>
      <c r="U587" t="str">
        <f t="shared" si="49"/>
        <v>Apr</v>
      </c>
    </row>
    <row r="588" spans="1:21">
      <c r="A588" s="2">
        <v>46092</v>
      </c>
      <c r="B588" t="s">
        <v>6</v>
      </c>
      <c r="C588" t="s">
        <v>36</v>
      </c>
      <c r="D588" t="s">
        <v>9</v>
      </c>
      <c r="E588" t="s">
        <v>41</v>
      </c>
      <c r="F588" t="s">
        <v>39</v>
      </c>
      <c r="G588">
        <v>70</v>
      </c>
      <c r="H588">
        <v>67</v>
      </c>
      <c r="I588">
        <v>78</v>
      </c>
      <c r="J588">
        <v>50</v>
      </c>
      <c r="K588">
        <v>70</v>
      </c>
      <c r="L588">
        <v>121.36</v>
      </c>
      <c r="M588">
        <v>1879.65</v>
      </c>
      <c r="N588">
        <v>73045</v>
      </c>
      <c r="O588">
        <v>1772.59</v>
      </c>
      <c r="P588" s="1">
        <v>-0.20699999999999999</v>
      </c>
      <c r="Q588">
        <f t="shared" si="45"/>
        <v>137</v>
      </c>
      <c r="R588">
        <f t="shared" si="46"/>
        <v>117</v>
      </c>
      <c r="S588" s="1">
        <f t="shared" si="47"/>
        <v>0.43065693430656932</v>
      </c>
      <c r="T588">
        <f t="shared" si="48"/>
        <v>1.37</v>
      </c>
      <c r="U588" t="str">
        <f t="shared" si="49"/>
        <v>Mar</v>
      </c>
    </row>
    <row r="589" spans="1:21">
      <c r="A589" s="2">
        <v>46090</v>
      </c>
      <c r="B589" t="s">
        <v>4</v>
      </c>
      <c r="C589" t="s">
        <v>31</v>
      </c>
      <c r="D589" t="s">
        <v>5</v>
      </c>
      <c r="E589" t="s">
        <v>38</v>
      </c>
      <c r="F589" t="s">
        <v>33</v>
      </c>
      <c r="G589">
        <v>6</v>
      </c>
      <c r="H589">
        <v>25</v>
      </c>
      <c r="I589">
        <v>4</v>
      </c>
      <c r="J589">
        <v>12</v>
      </c>
      <c r="K589">
        <v>326</v>
      </c>
      <c r="L589">
        <v>115.8</v>
      </c>
      <c r="M589">
        <v>2332.96</v>
      </c>
      <c r="N589">
        <v>70870</v>
      </c>
      <c r="O589">
        <v>1176.74</v>
      </c>
      <c r="P589" s="1">
        <v>0.41699999999999998</v>
      </c>
      <c r="Q589">
        <f t="shared" si="45"/>
        <v>31</v>
      </c>
      <c r="R589">
        <f t="shared" si="46"/>
        <v>37</v>
      </c>
      <c r="S589" s="1">
        <f t="shared" si="47"/>
        <v>0.87096774193548387</v>
      </c>
      <c r="T589">
        <f t="shared" si="48"/>
        <v>0.31</v>
      </c>
      <c r="U589" t="str">
        <f t="shared" si="49"/>
        <v>Mar</v>
      </c>
    </row>
    <row r="590" spans="1:21">
      <c r="A590" s="2">
        <v>46091</v>
      </c>
      <c r="B590" t="s">
        <v>6</v>
      </c>
      <c r="C590" t="s">
        <v>48</v>
      </c>
      <c r="D590" t="s">
        <v>10</v>
      </c>
      <c r="E590" t="s">
        <v>35</v>
      </c>
      <c r="F590" t="s">
        <v>39</v>
      </c>
      <c r="G590">
        <v>60</v>
      </c>
      <c r="H590">
        <v>58</v>
      </c>
      <c r="I590">
        <v>71</v>
      </c>
      <c r="J590">
        <v>10</v>
      </c>
      <c r="K590">
        <v>356</v>
      </c>
      <c r="L590">
        <v>125.19</v>
      </c>
      <c r="M590">
        <v>2164.35</v>
      </c>
      <c r="N590">
        <v>69616</v>
      </c>
      <c r="O590">
        <v>1503.7</v>
      </c>
      <c r="P590" s="1">
        <v>-0.94</v>
      </c>
      <c r="Q590">
        <f t="shared" si="45"/>
        <v>118</v>
      </c>
      <c r="R590">
        <f t="shared" si="46"/>
        <v>68</v>
      </c>
      <c r="S590" s="1">
        <f t="shared" si="47"/>
        <v>0.39830508474576271</v>
      </c>
      <c r="T590">
        <f t="shared" si="48"/>
        <v>1.18</v>
      </c>
      <c r="U590" t="str">
        <f t="shared" si="49"/>
        <v>Mar</v>
      </c>
    </row>
    <row r="591" spans="1:21">
      <c r="A591" s="2">
        <v>46096</v>
      </c>
      <c r="B591" t="s">
        <v>6</v>
      </c>
      <c r="C591" t="s">
        <v>36</v>
      </c>
      <c r="D591" t="s">
        <v>10</v>
      </c>
      <c r="E591" t="s">
        <v>32</v>
      </c>
      <c r="F591" t="s">
        <v>33</v>
      </c>
      <c r="G591">
        <v>13</v>
      </c>
      <c r="H591">
        <v>5</v>
      </c>
      <c r="I591">
        <v>89</v>
      </c>
      <c r="J591">
        <v>118</v>
      </c>
      <c r="K591">
        <v>272</v>
      </c>
      <c r="L591">
        <v>112.78</v>
      </c>
      <c r="M591">
        <v>2304.0500000000002</v>
      </c>
      <c r="N591">
        <v>66613</v>
      </c>
      <c r="O591">
        <v>1651.83</v>
      </c>
      <c r="P591" s="1">
        <v>-0.16</v>
      </c>
      <c r="Q591">
        <f t="shared" si="45"/>
        <v>18</v>
      </c>
      <c r="R591">
        <f t="shared" si="46"/>
        <v>123</v>
      </c>
      <c r="S591" s="1">
        <f t="shared" si="47"/>
        <v>-3.9444444444444446</v>
      </c>
      <c r="T591">
        <f t="shared" si="48"/>
        <v>0.18</v>
      </c>
      <c r="U591" t="str">
        <f t="shared" si="49"/>
        <v>Mar</v>
      </c>
    </row>
    <row r="592" spans="1:21">
      <c r="A592" s="2">
        <v>46119</v>
      </c>
      <c r="B592" t="s">
        <v>6</v>
      </c>
      <c r="C592" t="s">
        <v>36</v>
      </c>
      <c r="D592" t="s">
        <v>11</v>
      </c>
      <c r="E592" t="s">
        <v>37</v>
      </c>
      <c r="F592" t="s">
        <v>49</v>
      </c>
      <c r="G592">
        <v>94</v>
      </c>
      <c r="H592">
        <v>55</v>
      </c>
      <c r="I592">
        <v>57</v>
      </c>
      <c r="J592">
        <v>5</v>
      </c>
      <c r="K592">
        <v>80</v>
      </c>
      <c r="L592">
        <v>119.61</v>
      </c>
      <c r="M592">
        <v>2333.0100000000002</v>
      </c>
      <c r="N592">
        <v>74756</v>
      </c>
      <c r="O592">
        <v>1712.58</v>
      </c>
      <c r="P592" s="1">
        <v>0.61899999999999999</v>
      </c>
      <c r="Q592">
        <f t="shared" si="45"/>
        <v>149</v>
      </c>
      <c r="R592">
        <f t="shared" si="46"/>
        <v>60</v>
      </c>
      <c r="S592" s="1">
        <f t="shared" si="47"/>
        <v>0.6174496644295302</v>
      </c>
      <c r="T592">
        <f t="shared" si="48"/>
        <v>1.49</v>
      </c>
      <c r="U592" t="str">
        <f t="shared" si="49"/>
        <v>Apr</v>
      </c>
    </row>
    <row r="593" spans="1:21">
      <c r="A593" s="2">
        <v>46079</v>
      </c>
      <c r="B593" t="s">
        <v>6</v>
      </c>
      <c r="C593" t="s">
        <v>40</v>
      </c>
      <c r="D593" t="s">
        <v>9</v>
      </c>
      <c r="E593" t="s">
        <v>42</v>
      </c>
      <c r="F593" t="s">
        <v>33</v>
      </c>
      <c r="G593">
        <v>98</v>
      </c>
      <c r="H593">
        <v>56</v>
      </c>
      <c r="I593">
        <v>66</v>
      </c>
      <c r="J593">
        <v>27</v>
      </c>
      <c r="K593">
        <v>325</v>
      </c>
      <c r="L593">
        <v>91.58</v>
      </c>
      <c r="M593">
        <v>2257.75</v>
      </c>
      <c r="N593">
        <v>70399</v>
      </c>
      <c r="O593">
        <v>1383.08</v>
      </c>
      <c r="P593" s="1">
        <v>-0.33300000000000002</v>
      </c>
      <c r="Q593">
        <f t="shared" si="45"/>
        <v>154</v>
      </c>
      <c r="R593">
        <f t="shared" si="46"/>
        <v>83</v>
      </c>
      <c r="S593" s="1">
        <f t="shared" si="47"/>
        <v>0.5714285714285714</v>
      </c>
      <c r="T593">
        <f t="shared" si="48"/>
        <v>1.54</v>
      </c>
      <c r="U593" t="str">
        <f t="shared" si="49"/>
        <v>Feb</v>
      </c>
    </row>
    <row r="594" spans="1:21">
      <c r="A594" s="2">
        <v>46124</v>
      </c>
      <c r="B594" t="s">
        <v>6</v>
      </c>
      <c r="C594" t="s">
        <v>36</v>
      </c>
      <c r="D594" t="s">
        <v>11</v>
      </c>
      <c r="E594" t="s">
        <v>41</v>
      </c>
      <c r="F594" t="s">
        <v>39</v>
      </c>
      <c r="G594">
        <v>98</v>
      </c>
      <c r="H594">
        <v>1</v>
      </c>
      <c r="I594">
        <v>4</v>
      </c>
      <c r="J594">
        <v>99</v>
      </c>
      <c r="K594">
        <v>292</v>
      </c>
      <c r="L594">
        <v>124.06</v>
      </c>
      <c r="M594">
        <v>1828.61</v>
      </c>
      <c r="N594">
        <v>66981</v>
      </c>
      <c r="O594">
        <v>990.6</v>
      </c>
      <c r="P594" s="1">
        <v>0.85699999999999998</v>
      </c>
      <c r="Q594">
        <f t="shared" si="45"/>
        <v>99</v>
      </c>
      <c r="R594">
        <f t="shared" si="46"/>
        <v>100</v>
      </c>
      <c r="S594" s="1">
        <f t="shared" si="47"/>
        <v>0.95959595959595956</v>
      </c>
      <c r="T594">
        <f t="shared" si="48"/>
        <v>0.99</v>
      </c>
      <c r="U594" t="str">
        <f t="shared" si="49"/>
        <v>Apr</v>
      </c>
    </row>
    <row r="595" spans="1:21">
      <c r="A595" s="2">
        <v>46079</v>
      </c>
      <c r="B595" t="s">
        <v>6</v>
      </c>
      <c r="C595" t="s">
        <v>43</v>
      </c>
      <c r="D595" t="s">
        <v>10</v>
      </c>
      <c r="E595" t="s">
        <v>37</v>
      </c>
      <c r="F595" t="s">
        <v>33</v>
      </c>
      <c r="G595">
        <v>41</v>
      </c>
      <c r="H595">
        <v>14</v>
      </c>
      <c r="I595">
        <v>48</v>
      </c>
      <c r="J595">
        <v>12</v>
      </c>
      <c r="K595">
        <v>269</v>
      </c>
      <c r="L595">
        <v>122.89</v>
      </c>
      <c r="M595">
        <v>1885.59</v>
      </c>
      <c r="N595">
        <v>70086</v>
      </c>
      <c r="O595">
        <v>1654.42</v>
      </c>
      <c r="P595" s="1">
        <v>0.22600000000000001</v>
      </c>
      <c r="Q595">
        <f t="shared" si="45"/>
        <v>55</v>
      </c>
      <c r="R595">
        <f t="shared" si="46"/>
        <v>26</v>
      </c>
      <c r="S595" s="1">
        <f t="shared" si="47"/>
        <v>0.12727272727272726</v>
      </c>
      <c r="T595">
        <f t="shared" si="48"/>
        <v>0.55000000000000004</v>
      </c>
      <c r="U595" t="str">
        <f t="shared" si="49"/>
        <v>Feb</v>
      </c>
    </row>
    <row r="596" spans="1:21">
      <c r="A596" s="2">
        <v>46121</v>
      </c>
      <c r="B596" t="s">
        <v>4</v>
      </c>
      <c r="C596" t="s">
        <v>36</v>
      </c>
      <c r="D596" t="s">
        <v>5</v>
      </c>
      <c r="E596" t="s">
        <v>42</v>
      </c>
      <c r="F596" t="s">
        <v>45</v>
      </c>
      <c r="G596">
        <v>7</v>
      </c>
      <c r="H596">
        <v>53</v>
      </c>
      <c r="I596">
        <v>62</v>
      </c>
      <c r="J596">
        <v>135</v>
      </c>
      <c r="K596">
        <v>390</v>
      </c>
      <c r="L596">
        <v>110.39</v>
      </c>
      <c r="M596">
        <v>2346.5700000000002</v>
      </c>
      <c r="N596">
        <v>66954</v>
      </c>
      <c r="O596">
        <v>1482.99</v>
      </c>
      <c r="P596" s="1">
        <v>0.65500000000000003</v>
      </c>
      <c r="Q596">
        <f t="shared" si="45"/>
        <v>60</v>
      </c>
      <c r="R596">
        <f t="shared" si="46"/>
        <v>188</v>
      </c>
      <c r="S596" s="1">
        <f t="shared" si="47"/>
        <v>-3.3333333333333333E-2</v>
      </c>
      <c r="T596">
        <f t="shared" si="48"/>
        <v>0.6</v>
      </c>
      <c r="U596" t="str">
        <f t="shared" si="49"/>
        <v>Apr</v>
      </c>
    </row>
    <row r="597" spans="1:21">
      <c r="A597" s="2">
        <v>46090</v>
      </c>
      <c r="B597" t="s">
        <v>4</v>
      </c>
      <c r="C597" t="s">
        <v>46</v>
      </c>
      <c r="D597" t="s">
        <v>11</v>
      </c>
      <c r="E597" t="s">
        <v>41</v>
      </c>
      <c r="F597" t="s">
        <v>33</v>
      </c>
      <c r="G597">
        <v>71</v>
      </c>
      <c r="H597">
        <v>6</v>
      </c>
      <c r="I597">
        <v>74</v>
      </c>
      <c r="J597">
        <v>100</v>
      </c>
      <c r="K597">
        <v>121</v>
      </c>
      <c r="L597">
        <v>123.05</v>
      </c>
      <c r="M597">
        <v>2359.38</v>
      </c>
      <c r="N597">
        <v>64593</v>
      </c>
      <c r="O597">
        <v>1301.28</v>
      </c>
      <c r="P597" s="1">
        <v>0.48099999999999998</v>
      </c>
      <c r="Q597">
        <f t="shared" si="45"/>
        <v>77</v>
      </c>
      <c r="R597">
        <f t="shared" si="46"/>
        <v>106</v>
      </c>
      <c r="S597" s="1">
        <f t="shared" si="47"/>
        <v>3.896103896103896E-2</v>
      </c>
      <c r="T597">
        <f t="shared" si="48"/>
        <v>0.77</v>
      </c>
      <c r="U597" t="str">
        <f t="shared" si="49"/>
        <v>Mar</v>
      </c>
    </row>
    <row r="598" spans="1:21">
      <c r="A598" s="2">
        <v>46096</v>
      </c>
      <c r="B598" t="s">
        <v>4</v>
      </c>
      <c r="C598" t="s">
        <v>43</v>
      </c>
      <c r="D598" t="s">
        <v>7</v>
      </c>
      <c r="E598" t="s">
        <v>35</v>
      </c>
      <c r="F598" t="s">
        <v>33</v>
      </c>
      <c r="G598">
        <v>70</v>
      </c>
      <c r="H598">
        <v>64</v>
      </c>
      <c r="I598">
        <v>24</v>
      </c>
      <c r="J598">
        <v>56</v>
      </c>
      <c r="K598">
        <v>277</v>
      </c>
      <c r="L598">
        <v>102.82</v>
      </c>
      <c r="M598">
        <v>2365.06</v>
      </c>
      <c r="N598">
        <v>69155</v>
      </c>
      <c r="O598">
        <v>1046.6199999999999</v>
      </c>
      <c r="P598" s="1">
        <v>-0.188</v>
      </c>
      <c r="Q598">
        <f t="shared" si="45"/>
        <v>134</v>
      </c>
      <c r="R598">
        <f t="shared" si="46"/>
        <v>120</v>
      </c>
      <c r="S598" s="1">
        <f t="shared" si="47"/>
        <v>0.82089552238805974</v>
      </c>
      <c r="T598">
        <f t="shared" si="48"/>
        <v>1.34</v>
      </c>
      <c r="U598" t="str">
        <f t="shared" si="49"/>
        <v>Mar</v>
      </c>
    </row>
    <row r="599" spans="1:21">
      <c r="A599" s="2">
        <v>46104</v>
      </c>
      <c r="B599" t="s">
        <v>6</v>
      </c>
      <c r="C599" t="s">
        <v>43</v>
      </c>
      <c r="D599" t="s">
        <v>7</v>
      </c>
      <c r="E599" t="s">
        <v>41</v>
      </c>
      <c r="F599" t="s">
        <v>45</v>
      </c>
      <c r="G599">
        <v>6</v>
      </c>
      <c r="H599">
        <v>35</v>
      </c>
      <c r="I599">
        <v>79</v>
      </c>
      <c r="J599">
        <v>3</v>
      </c>
      <c r="K599">
        <v>312</v>
      </c>
      <c r="L599">
        <v>85.35</v>
      </c>
      <c r="M599">
        <v>2166.96</v>
      </c>
      <c r="N599">
        <v>66982</v>
      </c>
      <c r="O599">
        <v>1137.69</v>
      </c>
      <c r="P599" s="1">
        <v>-0.32800000000000001</v>
      </c>
      <c r="Q599">
        <f t="shared" si="45"/>
        <v>41</v>
      </c>
      <c r="R599">
        <f t="shared" si="46"/>
        <v>38</v>
      </c>
      <c r="S599" s="1">
        <f t="shared" si="47"/>
        <v>-0.92682926829268297</v>
      </c>
      <c r="T599">
        <f t="shared" si="48"/>
        <v>0.41</v>
      </c>
      <c r="U599" t="str">
        <f t="shared" si="49"/>
        <v>Mar</v>
      </c>
    </row>
    <row r="600" spans="1:21">
      <c r="A600" s="2">
        <v>46070</v>
      </c>
      <c r="B600" t="s">
        <v>4</v>
      </c>
      <c r="C600" t="s">
        <v>51</v>
      </c>
      <c r="D600" t="s">
        <v>5</v>
      </c>
      <c r="E600" t="s">
        <v>42</v>
      </c>
      <c r="F600" t="s">
        <v>49</v>
      </c>
      <c r="G600">
        <v>48</v>
      </c>
      <c r="H600">
        <v>9</v>
      </c>
      <c r="I600">
        <v>11</v>
      </c>
      <c r="J600">
        <v>156</v>
      </c>
      <c r="K600">
        <v>263</v>
      </c>
      <c r="L600">
        <v>137.81</v>
      </c>
      <c r="M600">
        <v>1840.54</v>
      </c>
      <c r="N600">
        <v>72620</v>
      </c>
      <c r="O600">
        <v>1011.68</v>
      </c>
      <c r="P600" s="1">
        <v>0.24399999999999999</v>
      </c>
      <c r="Q600">
        <f t="shared" si="45"/>
        <v>57</v>
      </c>
      <c r="R600">
        <f t="shared" si="46"/>
        <v>165</v>
      </c>
      <c r="S600" s="1">
        <f t="shared" si="47"/>
        <v>0.80701754385964908</v>
      </c>
      <c r="T600">
        <f t="shared" si="48"/>
        <v>0.56999999999999995</v>
      </c>
      <c r="U600" t="str">
        <f t="shared" si="49"/>
        <v>Feb</v>
      </c>
    </row>
    <row r="601" spans="1:21">
      <c r="A601" s="2">
        <v>46097</v>
      </c>
      <c r="B601" t="s">
        <v>4</v>
      </c>
      <c r="C601" t="s">
        <v>48</v>
      </c>
      <c r="D601" t="s">
        <v>9</v>
      </c>
      <c r="E601" t="s">
        <v>42</v>
      </c>
      <c r="F601" t="s">
        <v>49</v>
      </c>
      <c r="G601">
        <v>112</v>
      </c>
      <c r="H601">
        <v>19</v>
      </c>
      <c r="I601">
        <v>56</v>
      </c>
      <c r="J601">
        <v>41</v>
      </c>
      <c r="K601">
        <v>390</v>
      </c>
      <c r="L601">
        <v>126.06</v>
      </c>
      <c r="M601">
        <v>2023.67</v>
      </c>
      <c r="N601">
        <v>72852</v>
      </c>
      <c r="O601">
        <v>1218.78</v>
      </c>
      <c r="P601" s="1">
        <v>-0.52800000000000002</v>
      </c>
      <c r="Q601">
        <f t="shared" si="45"/>
        <v>131</v>
      </c>
      <c r="R601">
        <f t="shared" si="46"/>
        <v>60</v>
      </c>
      <c r="S601" s="1">
        <f t="shared" si="47"/>
        <v>0.5725190839694656</v>
      </c>
      <c r="T601">
        <f t="shared" si="48"/>
        <v>1.31</v>
      </c>
      <c r="U601" t="str">
        <f t="shared" si="49"/>
        <v>Mar</v>
      </c>
    </row>
    <row r="602" spans="1:21">
      <c r="A602" s="2">
        <v>46107</v>
      </c>
      <c r="B602" t="s">
        <v>6</v>
      </c>
      <c r="C602" t="s">
        <v>43</v>
      </c>
      <c r="D602" t="s">
        <v>10</v>
      </c>
      <c r="E602" t="s">
        <v>47</v>
      </c>
      <c r="F602" t="s">
        <v>39</v>
      </c>
      <c r="G602">
        <v>0</v>
      </c>
      <c r="H602">
        <v>5</v>
      </c>
      <c r="I602">
        <v>75</v>
      </c>
      <c r="J602">
        <v>156</v>
      </c>
      <c r="K602">
        <v>226</v>
      </c>
      <c r="L602">
        <v>128.11000000000001</v>
      </c>
      <c r="M602">
        <v>2061.06</v>
      </c>
      <c r="N602">
        <v>66749</v>
      </c>
      <c r="O602">
        <v>1133.47</v>
      </c>
      <c r="P602" s="1">
        <v>0.68100000000000005</v>
      </c>
      <c r="Q602">
        <f t="shared" si="45"/>
        <v>5</v>
      </c>
      <c r="R602">
        <f t="shared" si="46"/>
        <v>161</v>
      </c>
      <c r="S602" s="1">
        <f t="shared" si="47"/>
        <v>-14</v>
      </c>
      <c r="T602">
        <f t="shared" si="48"/>
        <v>0.05</v>
      </c>
      <c r="U602" t="str">
        <f t="shared" si="49"/>
        <v>Mar</v>
      </c>
    </row>
    <row r="603" spans="1:21">
      <c r="A603" s="2">
        <v>46109</v>
      </c>
      <c r="B603" t="s">
        <v>6</v>
      </c>
      <c r="C603" t="s">
        <v>51</v>
      </c>
      <c r="D603" t="s">
        <v>11</v>
      </c>
      <c r="E603" t="s">
        <v>35</v>
      </c>
      <c r="F603" t="s">
        <v>33</v>
      </c>
      <c r="G603">
        <v>91</v>
      </c>
      <c r="H603">
        <v>61</v>
      </c>
      <c r="I603">
        <v>67</v>
      </c>
      <c r="J603">
        <v>35</v>
      </c>
      <c r="K603">
        <v>220</v>
      </c>
      <c r="L603">
        <v>133.94</v>
      </c>
      <c r="M603">
        <v>2490.0700000000002</v>
      </c>
      <c r="N603">
        <v>68551</v>
      </c>
      <c r="O603">
        <v>989.72</v>
      </c>
      <c r="P603" s="1">
        <v>-0.186</v>
      </c>
      <c r="Q603">
        <f t="shared" si="45"/>
        <v>152</v>
      </c>
      <c r="R603">
        <f t="shared" si="46"/>
        <v>96</v>
      </c>
      <c r="S603" s="1">
        <f t="shared" si="47"/>
        <v>0.55921052631578949</v>
      </c>
      <c r="T603">
        <f t="shared" si="48"/>
        <v>1.52</v>
      </c>
      <c r="U603" t="str">
        <f t="shared" si="49"/>
        <v>Mar</v>
      </c>
    </row>
    <row r="604" spans="1:21">
      <c r="A604" s="2">
        <v>46122</v>
      </c>
      <c r="B604" t="s">
        <v>4</v>
      </c>
      <c r="C604" t="s">
        <v>40</v>
      </c>
      <c r="D604" t="s">
        <v>9</v>
      </c>
      <c r="E604" t="s">
        <v>47</v>
      </c>
      <c r="F604" t="s">
        <v>45</v>
      </c>
      <c r="G604">
        <v>73</v>
      </c>
      <c r="H604">
        <v>13</v>
      </c>
      <c r="I604">
        <v>66</v>
      </c>
      <c r="J604">
        <v>63</v>
      </c>
      <c r="K604">
        <v>158</v>
      </c>
      <c r="L604">
        <v>103.61</v>
      </c>
      <c r="M604">
        <v>1863.89</v>
      </c>
      <c r="N604">
        <v>65872</v>
      </c>
      <c r="O604">
        <v>1706.05</v>
      </c>
      <c r="P604" s="1">
        <v>0.85599999999999998</v>
      </c>
      <c r="Q604">
        <f t="shared" si="45"/>
        <v>86</v>
      </c>
      <c r="R604">
        <f t="shared" si="46"/>
        <v>76</v>
      </c>
      <c r="S604" s="1">
        <f t="shared" si="47"/>
        <v>0.23255813953488372</v>
      </c>
      <c r="T604">
        <f t="shared" si="48"/>
        <v>0.86</v>
      </c>
      <c r="U604" t="str">
        <f t="shared" si="49"/>
        <v>Apr</v>
      </c>
    </row>
    <row r="605" spans="1:21">
      <c r="A605" s="2">
        <v>46110</v>
      </c>
      <c r="B605" t="s">
        <v>4</v>
      </c>
      <c r="C605" t="s">
        <v>44</v>
      </c>
      <c r="D605" t="s">
        <v>9</v>
      </c>
      <c r="E605" t="s">
        <v>37</v>
      </c>
      <c r="F605" t="s">
        <v>39</v>
      </c>
      <c r="G605">
        <v>65</v>
      </c>
      <c r="H605">
        <v>51</v>
      </c>
      <c r="I605">
        <v>73</v>
      </c>
      <c r="J605">
        <v>94</v>
      </c>
      <c r="K605">
        <v>162</v>
      </c>
      <c r="L605">
        <v>104.43</v>
      </c>
      <c r="M605">
        <v>2202.58</v>
      </c>
      <c r="N605">
        <v>67585</v>
      </c>
      <c r="O605">
        <v>911.67</v>
      </c>
      <c r="P605" s="1">
        <v>-0.73599999999999999</v>
      </c>
      <c r="Q605">
        <f t="shared" si="45"/>
        <v>116</v>
      </c>
      <c r="R605">
        <f t="shared" si="46"/>
        <v>145</v>
      </c>
      <c r="S605" s="1">
        <f t="shared" si="47"/>
        <v>0.37068965517241381</v>
      </c>
      <c r="T605">
        <f t="shared" si="48"/>
        <v>1.1599999999999999</v>
      </c>
      <c r="U605" t="str">
        <f t="shared" si="49"/>
        <v>Mar</v>
      </c>
    </row>
    <row r="606" spans="1:21">
      <c r="A606" s="2">
        <v>46126</v>
      </c>
      <c r="B606" t="s">
        <v>4</v>
      </c>
      <c r="C606" t="s">
        <v>48</v>
      </c>
      <c r="D606" t="s">
        <v>7</v>
      </c>
      <c r="E606" t="s">
        <v>41</v>
      </c>
      <c r="F606" t="s">
        <v>45</v>
      </c>
      <c r="G606">
        <v>119</v>
      </c>
      <c r="H606">
        <v>30</v>
      </c>
      <c r="I606">
        <v>85</v>
      </c>
      <c r="J606">
        <v>85</v>
      </c>
      <c r="K606">
        <v>29</v>
      </c>
      <c r="L606">
        <v>101.7</v>
      </c>
      <c r="M606">
        <v>2266.75</v>
      </c>
      <c r="N606">
        <v>74584</v>
      </c>
      <c r="O606">
        <v>1001.74</v>
      </c>
      <c r="P606" s="1">
        <v>-0.53800000000000003</v>
      </c>
      <c r="Q606">
        <f t="shared" si="45"/>
        <v>149</v>
      </c>
      <c r="R606">
        <f t="shared" si="46"/>
        <v>115</v>
      </c>
      <c r="S606" s="1">
        <f t="shared" si="47"/>
        <v>0.42953020134228187</v>
      </c>
      <c r="T606">
        <f t="shared" si="48"/>
        <v>1.49</v>
      </c>
      <c r="U606" t="str">
        <f t="shared" si="49"/>
        <v>Apr</v>
      </c>
    </row>
    <row r="607" spans="1:21">
      <c r="A607" s="2">
        <v>46076</v>
      </c>
      <c r="B607" t="s">
        <v>4</v>
      </c>
      <c r="C607" t="s">
        <v>34</v>
      </c>
      <c r="D607" t="s">
        <v>5</v>
      </c>
      <c r="E607" t="s">
        <v>47</v>
      </c>
      <c r="F607" t="s">
        <v>33</v>
      </c>
      <c r="G607">
        <v>84</v>
      </c>
      <c r="H607">
        <v>9</v>
      </c>
      <c r="I607">
        <v>50</v>
      </c>
      <c r="J607">
        <v>120</v>
      </c>
      <c r="K607">
        <v>198</v>
      </c>
      <c r="L607">
        <v>131.66</v>
      </c>
      <c r="M607">
        <v>2046.66</v>
      </c>
      <c r="N607">
        <v>71918</v>
      </c>
      <c r="O607">
        <v>964.71</v>
      </c>
      <c r="P607" s="1">
        <v>0.42899999999999999</v>
      </c>
      <c r="Q607">
        <f t="shared" si="45"/>
        <v>93</v>
      </c>
      <c r="R607">
        <f t="shared" si="46"/>
        <v>129</v>
      </c>
      <c r="S607" s="1">
        <f t="shared" si="47"/>
        <v>0.46236559139784944</v>
      </c>
      <c r="T607">
        <f t="shared" si="48"/>
        <v>0.93</v>
      </c>
      <c r="U607" t="str">
        <f t="shared" si="49"/>
        <v>Feb</v>
      </c>
    </row>
    <row r="608" spans="1:21">
      <c r="A608" s="2">
        <v>46106</v>
      </c>
      <c r="B608" t="s">
        <v>6</v>
      </c>
      <c r="C608" t="s">
        <v>36</v>
      </c>
      <c r="D608" t="s">
        <v>11</v>
      </c>
      <c r="E608" t="s">
        <v>32</v>
      </c>
      <c r="F608" t="s">
        <v>45</v>
      </c>
      <c r="G608">
        <v>0</v>
      </c>
      <c r="H608">
        <v>39</v>
      </c>
      <c r="I608">
        <v>12</v>
      </c>
      <c r="J608">
        <v>7</v>
      </c>
      <c r="K608">
        <v>335</v>
      </c>
      <c r="L608">
        <v>107.72</v>
      </c>
      <c r="M608">
        <v>1914.63</v>
      </c>
      <c r="N608">
        <v>73672</v>
      </c>
      <c r="O608">
        <v>1409.04</v>
      </c>
      <c r="P608" s="1">
        <v>0.124</v>
      </c>
      <c r="Q608">
        <f t="shared" si="45"/>
        <v>39</v>
      </c>
      <c r="R608">
        <f t="shared" si="46"/>
        <v>46</v>
      </c>
      <c r="S608" s="1">
        <f t="shared" si="47"/>
        <v>0.69230769230769229</v>
      </c>
      <c r="T608">
        <f t="shared" si="48"/>
        <v>0.39</v>
      </c>
      <c r="U608" t="str">
        <f t="shared" si="49"/>
        <v>Mar</v>
      </c>
    </row>
    <row r="609" spans="1:21">
      <c r="A609" s="2">
        <v>46094</v>
      </c>
      <c r="B609" t="s">
        <v>6</v>
      </c>
      <c r="C609" t="s">
        <v>50</v>
      </c>
      <c r="D609" t="s">
        <v>9</v>
      </c>
      <c r="E609" t="s">
        <v>37</v>
      </c>
      <c r="F609" t="s">
        <v>49</v>
      </c>
      <c r="G609">
        <v>61</v>
      </c>
      <c r="H609">
        <v>73</v>
      </c>
      <c r="I609">
        <v>52</v>
      </c>
      <c r="J609">
        <v>106</v>
      </c>
      <c r="K609">
        <v>449</v>
      </c>
      <c r="L609">
        <v>124.25</v>
      </c>
      <c r="M609">
        <v>2443.9899999999998</v>
      </c>
      <c r="N609">
        <v>68640</v>
      </c>
      <c r="O609">
        <v>1580.97</v>
      </c>
      <c r="P609" s="1">
        <v>0.91500000000000004</v>
      </c>
      <c r="Q609">
        <f t="shared" si="45"/>
        <v>134</v>
      </c>
      <c r="R609">
        <f t="shared" si="46"/>
        <v>179</v>
      </c>
      <c r="S609" s="1">
        <f t="shared" si="47"/>
        <v>0.61194029850746268</v>
      </c>
      <c r="T609">
        <f t="shared" si="48"/>
        <v>1.34</v>
      </c>
      <c r="U609" t="str">
        <f t="shared" si="49"/>
        <v>Mar</v>
      </c>
    </row>
    <row r="610" spans="1:21">
      <c r="A610" s="2">
        <v>46085</v>
      </c>
      <c r="B610" t="s">
        <v>4</v>
      </c>
      <c r="C610" t="s">
        <v>43</v>
      </c>
      <c r="D610" t="s">
        <v>7</v>
      </c>
      <c r="E610" t="s">
        <v>41</v>
      </c>
      <c r="F610" t="s">
        <v>49</v>
      </c>
      <c r="G610">
        <v>93</v>
      </c>
      <c r="H610">
        <v>11</v>
      </c>
      <c r="I610">
        <v>65</v>
      </c>
      <c r="J610">
        <v>77</v>
      </c>
      <c r="K610">
        <v>389</v>
      </c>
      <c r="L610">
        <v>137.47999999999999</v>
      </c>
      <c r="M610">
        <v>1814.71</v>
      </c>
      <c r="N610">
        <v>73504</v>
      </c>
      <c r="O610">
        <v>1469.1</v>
      </c>
      <c r="P610" s="1">
        <v>-0.67400000000000004</v>
      </c>
      <c r="Q610">
        <f t="shared" si="45"/>
        <v>104</v>
      </c>
      <c r="R610">
        <f t="shared" si="46"/>
        <v>88</v>
      </c>
      <c r="S610" s="1">
        <f t="shared" si="47"/>
        <v>0.375</v>
      </c>
      <c r="T610">
        <f t="shared" si="48"/>
        <v>1.04</v>
      </c>
      <c r="U610" t="str">
        <f t="shared" si="49"/>
        <v>Mar</v>
      </c>
    </row>
    <row r="611" spans="1:21">
      <c r="A611" s="2">
        <v>46084</v>
      </c>
      <c r="B611" t="s">
        <v>6</v>
      </c>
      <c r="C611" t="s">
        <v>31</v>
      </c>
      <c r="D611" t="s">
        <v>9</v>
      </c>
      <c r="E611" t="s">
        <v>37</v>
      </c>
      <c r="F611" t="s">
        <v>39</v>
      </c>
      <c r="G611">
        <v>69</v>
      </c>
      <c r="H611">
        <v>75</v>
      </c>
      <c r="I611">
        <v>0</v>
      </c>
      <c r="J611">
        <v>43</v>
      </c>
      <c r="K611">
        <v>308</v>
      </c>
      <c r="L611">
        <v>132.71</v>
      </c>
      <c r="M611">
        <v>2253.64</v>
      </c>
      <c r="N611">
        <v>64958</v>
      </c>
      <c r="O611">
        <v>1029.75</v>
      </c>
      <c r="P611" s="1">
        <v>0.57899999999999996</v>
      </c>
      <c r="Q611">
        <f t="shared" si="45"/>
        <v>144</v>
      </c>
      <c r="R611">
        <f t="shared" si="46"/>
        <v>118</v>
      </c>
      <c r="S611" s="1">
        <f t="shared" si="47"/>
        <v>1</v>
      </c>
      <c r="T611">
        <f t="shared" si="48"/>
        <v>1.44</v>
      </c>
      <c r="U611" t="str">
        <f t="shared" si="49"/>
        <v>Mar</v>
      </c>
    </row>
    <row r="612" spans="1:21">
      <c r="A612" s="2">
        <v>46075</v>
      </c>
      <c r="B612" t="s">
        <v>6</v>
      </c>
      <c r="C612" t="s">
        <v>48</v>
      </c>
      <c r="D612" t="s">
        <v>5</v>
      </c>
      <c r="E612" t="s">
        <v>47</v>
      </c>
      <c r="F612" t="s">
        <v>49</v>
      </c>
      <c r="G612">
        <v>52</v>
      </c>
      <c r="H612">
        <v>25</v>
      </c>
      <c r="I612">
        <v>27</v>
      </c>
      <c r="J612">
        <v>19</v>
      </c>
      <c r="K612">
        <v>331</v>
      </c>
      <c r="L612">
        <v>106.91</v>
      </c>
      <c r="M612">
        <v>2308.46</v>
      </c>
      <c r="N612">
        <v>67315</v>
      </c>
      <c r="O612">
        <v>1659.11</v>
      </c>
      <c r="P612" s="1">
        <v>-0.99299999999999999</v>
      </c>
      <c r="Q612">
        <f t="shared" si="45"/>
        <v>77</v>
      </c>
      <c r="R612">
        <f t="shared" si="46"/>
        <v>44</v>
      </c>
      <c r="S612" s="1">
        <f t="shared" si="47"/>
        <v>0.64935064935064934</v>
      </c>
      <c r="T612">
        <f t="shared" si="48"/>
        <v>0.77</v>
      </c>
      <c r="U612" t="str">
        <f t="shared" si="49"/>
        <v>Feb</v>
      </c>
    </row>
    <row r="613" spans="1:21">
      <c r="A613" s="2">
        <v>46122</v>
      </c>
      <c r="B613" t="s">
        <v>4</v>
      </c>
      <c r="C613" t="s">
        <v>48</v>
      </c>
      <c r="D613" t="s">
        <v>11</v>
      </c>
      <c r="E613" t="s">
        <v>42</v>
      </c>
      <c r="F613" t="s">
        <v>39</v>
      </c>
      <c r="G613">
        <v>85</v>
      </c>
      <c r="H613">
        <v>46</v>
      </c>
      <c r="I613">
        <v>88</v>
      </c>
      <c r="J613">
        <v>95</v>
      </c>
      <c r="K613">
        <v>258</v>
      </c>
      <c r="L613">
        <v>133.19999999999999</v>
      </c>
      <c r="M613">
        <v>2008.36</v>
      </c>
      <c r="N613">
        <v>70875</v>
      </c>
      <c r="O613">
        <v>1528.56</v>
      </c>
      <c r="P613" s="1">
        <v>0.64100000000000001</v>
      </c>
      <c r="Q613">
        <f t="shared" si="45"/>
        <v>131</v>
      </c>
      <c r="R613">
        <f t="shared" si="46"/>
        <v>141</v>
      </c>
      <c r="S613" s="1">
        <f t="shared" si="47"/>
        <v>0.3282442748091603</v>
      </c>
      <c r="T613">
        <f t="shared" si="48"/>
        <v>1.31</v>
      </c>
      <c r="U613" t="str">
        <f t="shared" si="49"/>
        <v>Apr</v>
      </c>
    </row>
    <row r="614" spans="1:21">
      <c r="A614" s="2">
        <v>46124</v>
      </c>
      <c r="B614" t="s">
        <v>6</v>
      </c>
      <c r="C614" t="s">
        <v>51</v>
      </c>
      <c r="D614" t="s">
        <v>9</v>
      </c>
      <c r="E614" t="s">
        <v>38</v>
      </c>
      <c r="F614" t="s">
        <v>49</v>
      </c>
      <c r="G614">
        <v>38</v>
      </c>
      <c r="H614">
        <v>14</v>
      </c>
      <c r="I614">
        <v>65</v>
      </c>
      <c r="J614">
        <v>152</v>
      </c>
      <c r="K614">
        <v>393</v>
      </c>
      <c r="L614">
        <v>100.62</v>
      </c>
      <c r="M614">
        <v>2036.23</v>
      </c>
      <c r="N614">
        <v>68863</v>
      </c>
      <c r="O614">
        <v>1771.03</v>
      </c>
      <c r="P614" s="1">
        <v>-2.4E-2</v>
      </c>
      <c r="Q614">
        <f t="shared" si="45"/>
        <v>52</v>
      </c>
      <c r="R614">
        <f t="shared" si="46"/>
        <v>166</v>
      </c>
      <c r="S614" s="1">
        <f t="shared" si="47"/>
        <v>-0.25</v>
      </c>
      <c r="T614">
        <f t="shared" si="48"/>
        <v>0.52</v>
      </c>
      <c r="U614" t="str">
        <f t="shared" si="49"/>
        <v>Apr</v>
      </c>
    </row>
    <row r="615" spans="1:21">
      <c r="A615" s="2">
        <v>46121</v>
      </c>
      <c r="B615" t="s">
        <v>4</v>
      </c>
      <c r="C615" t="s">
        <v>44</v>
      </c>
      <c r="D615" t="s">
        <v>10</v>
      </c>
      <c r="E615" t="s">
        <v>38</v>
      </c>
      <c r="F615" t="s">
        <v>45</v>
      </c>
      <c r="G615">
        <v>46</v>
      </c>
      <c r="H615">
        <v>13</v>
      </c>
      <c r="I615">
        <v>61</v>
      </c>
      <c r="J615">
        <v>33</v>
      </c>
      <c r="K615">
        <v>240</v>
      </c>
      <c r="L615">
        <v>106.17</v>
      </c>
      <c r="M615">
        <v>2261.4299999999998</v>
      </c>
      <c r="N615">
        <v>65648</v>
      </c>
      <c r="O615">
        <v>1667.18</v>
      </c>
      <c r="P615" s="1">
        <v>0.28799999999999998</v>
      </c>
      <c r="Q615">
        <f t="shared" si="45"/>
        <v>59</v>
      </c>
      <c r="R615">
        <f t="shared" si="46"/>
        <v>46</v>
      </c>
      <c r="S615" s="1">
        <f t="shared" si="47"/>
        <v>-3.3898305084745763E-2</v>
      </c>
      <c r="T615">
        <f t="shared" si="48"/>
        <v>0.59</v>
      </c>
      <c r="U615" t="str">
        <f t="shared" si="49"/>
        <v>Apr</v>
      </c>
    </row>
    <row r="616" spans="1:21">
      <c r="A616" s="2">
        <v>46072</v>
      </c>
      <c r="B616" t="s">
        <v>4</v>
      </c>
      <c r="C616" t="s">
        <v>31</v>
      </c>
      <c r="D616" t="s">
        <v>9</v>
      </c>
      <c r="E616" t="s">
        <v>42</v>
      </c>
      <c r="F616" t="s">
        <v>33</v>
      </c>
      <c r="G616">
        <v>35</v>
      </c>
      <c r="H616">
        <v>51</v>
      </c>
      <c r="I616">
        <v>16</v>
      </c>
      <c r="J616">
        <v>28</v>
      </c>
      <c r="K616">
        <v>264</v>
      </c>
      <c r="L616">
        <v>136.21</v>
      </c>
      <c r="M616">
        <v>2192.61</v>
      </c>
      <c r="N616">
        <v>64342</v>
      </c>
      <c r="O616">
        <v>1349.86</v>
      </c>
      <c r="P616" s="1">
        <v>-0.79300000000000004</v>
      </c>
      <c r="Q616">
        <f t="shared" si="45"/>
        <v>86</v>
      </c>
      <c r="R616">
        <f t="shared" si="46"/>
        <v>79</v>
      </c>
      <c r="S616" s="1">
        <f t="shared" si="47"/>
        <v>0.81395348837209303</v>
      </c>
      <c r="T616">
        <f t="shared" si="48"/>
        <v>0.86</v>
      </c>
      <c r="U616" t="str">
        <f t="shared" si="49"/>
        <v>Feb</v>
      </c>
    </row>
    <row r="617" spans="1:21">
      <c r="A617" s="2">
        <v>46114</v>
      </c>
      <c r="B617" t="s">
        <v>4</v>
      </c>
      <c r="C617" t="s">
        <v>50</v>
      </c>
      <c r="D617" t="s">
        <v>11</v>
      </c>
      <c r="E617" t="s">
        <v>38</v>
      </c>
      <c r="F617" t="s">
        <v>39</v>
      </c>
      <c r="G617">
        <v>85</v>
      </c>
      <c r="H617">
        <v>48</v>
      </c>
      <c r="I617">
        <v>74</v>
      </c>
      <c r="J617">
        <v>40</v>
      </c>
      <c r="K617">
        <v>279</v>
      </c>
      <c r="L617">
        <v>133.69999999999999</v>
      </c>
      <c r="M617">
        <v>2281.4899999999998</v>
      </c>
      <c r="N617">
        <v>67908</v>
      </c>
      <c r="O617">
        <v>1793.6</v>
      </c>
      <c r="P617" s="1">
        <v>-0.71899999999999997</v>
      </c>
      <c r="Q617">
        <f t="shared" si="45"/>
        <v>133</v>
      </c>
      <c r="R617">
        <f t="shared" si="46"/>
        <v>88</v>
      </c>
      <c r="S617" s="1">
        <f t="shared" si="47"/>
        <v>0.44360902255639095</v>
      </c>
      <c r="T617">
        <f t="shared" si="48"/>
        <v>1.33</v>
      </c>
      <c r="U617" t="str">
        <f t="shared" si="49"/>
        <v>Apr</v>
      </c>
    </row>
    <row r="618" spans="1:21">
      <c r="A618" s="2">
        <v>46071</v>
      </c>
      <c r="B618" t="s">
        <v>6</v>
      </c>
      <c r="C618" t="s">
        <v>34</v>
      </c>
      <c r="D618" t="s">
        <v>9</v>
      </c>
      <c r="E618" t="s">
        <v>37</v>
      </c>
      <c r="F618" t="s">
        <v>49</v>
      </c>
      <c r="G618">
        <v>12</v>
      </c>
      <c r="H618">
        <v>60</v>
      </c>
      <c r="I618">
        <v>86</v>
      </c>
      <c r="J618">
        <v>92</v>
      </c>
      <c r="K618">
        <v>381</v>
      </c>
      <c r="L618">
        <v>126.91</v>
      </c>
      <c r="M618">
        <v>1876.17</v>
      </c>
      <c r="N618">
        <v>66849</v>
      </c>
      <c r="O618">
        <v>1269.94</v>
      </c>
      <c r="P618" s="1">
        <v>-0.52400000000000002</v>
      </c>
      <c r="Q618">
        <f t="shared" si="45"/>
        <v>72</v>
      </c>
      <c r="R618">
        <f t="shared" si="46"/>
        <v>152</v>
      </c>
      <c r="S618" s="1">
        <f t="shared" si="47"/>
        <v>-0.19444444444444445</v>
      </c>
      <c r="T618">
        <f t="shared" si="48"/>
        <v>0.72</v>
      </c>
      <c r="U618" t="str">
        <f t="shared" si="49"/>
        <v>Feb</v>
      </c>
    </row>
    <row r="619" spans="1:21">
      <c r="A619" s="2">
        <v>46116</v>
      </c>
      <c r="B619" t="s">
        <v>6</v>
      </c>
      <c r="C619" t="s">
        <v>51</v>
      </c>
      <c r="D619" t="s">
        <v>9</v>
      </c>
      <c r="E619" t="s">
        <v>47</v>
      </c>
      <c r="F619" t="s">
        <v>33</v>
      </c>
      <c r="G619">
        <v>83</v>
      </c>
      <c r="H619">
        <v>29</v>
      </c>
      <c r="I619">
        <v>11</v>
      </c>
      <c r="J619">
        <v>75</v>
      </c>
      <c r="K619">
        <v>404</v>
      </c>
      <c r="L619">
        <v>118.75</v>
      </c>
      <c r="M619">
        <v>2418.31</v>
      </c>
      <c r="N619">
        <v>70611</v>
      </c>
      <c r="O619">
        <v>1144.02</v>
      </c>
      <c r="P619" s="1">
        <v>-0.312</v>
      </c>
      <c r="Q619">
        <f t="shared" si="45"/>
        <v>112</v>
      </c>
      <c r="R619">
        <f t="shared" si="46"/>
        <v>104</v>
      </c>
      <c r="S619" s="1">
        <f t="shared" si="47"/>
        <v>0.9017857142857143</v>
      </c>
      <c r="T619">
        <f t="shared" si="48"/>
        <v>1.1200000000000001</v>
      </c>
      <c r="U619" t="str">
        <f t="shared" si="49"/>
        <v>Apr</v>
      </c>
    </row>
    <row r="620" spans="1:21">
      <c r="A620" s="2">
        <v>46091</v>
      </c>
      <c r="B620" t="s">
        <v>4</v>
      </c>
      <c r="C620" t="s">
        <v>34</v>
      </c>
      <c r="D620" t="s">
        <v>9</v>
      </c>
      <c r="E620" t="s">
        <v>32</v>
      </c>
      <c r="F620" t="s">
        <v>33</v>
      </c>
      <c r="G620">
        <v>26</v>
      </c>
      <c r="H620">
        <v>7</v>
      </c>
      <c r="I620">
        <v>49</v>
      </c>
      <c r="J620">
        <v>122</v>
      </c>
      <c r="K620">
        <v>230</v>
      </c>
      <c r="L620">
        <v>114.48</v>
      </c>
      <c r="M620">
        <v>1956.57</v>
      </c>
      <c r="N620">
        <v>74757</v>
      </c>
      <c r="O620">
        <v>1736.12</v>
      </c>
      <c r="P620" s="1">
        <v>0.216</v>
      </c>
      <c r="Q620">
        <f t="shared" si="45"/>
        <v>33</v>
      </c>
      <c r="R620">
        <f t="shared" si="46"/>
        <v>129</v>
      </c>
      <c r="S620" s="1">
        <f t="shared" si="47"/>
        <v>-0.48484848484848486</v>
      </c>
      <c r="T620">
        <f t="shared" si="48"/>
        <v>0.33</v>
      </c>
      <c r="U620" t="str">
        <f t="shared" si="49"/>
        <v>Mar</v>
      </c>
    </row>
    <row r="621" spans="1:21">
      <c r="A621" s="2">
        <v>46114</v>
      </c>
      <c r="B621" t="s">
        <v>4</v>
      </c>
      <c r="C621" t="s">
        <v>51</v>
      </c>
      <c r="D621" t="s">
        <v>11</v>
      </c>
      <c r="E621" t="s">
        <v>47</v>
      </c>
      <c r="F621" t="s">
        <v>45</v>
      </c>
      <c r="G621">
        <v>111</v>
      </c>
      <c r="H621">
        <v>34</v>
      </c>
      <c r="I621">
        <v>11</v>
      </c>
      <c r="J621">
        <v>79</v>
      </c>
      <c r="K621">
        <v>227</v>
      </c>
      <c r="L621">
        <v>86.43</v>
      </c>
      <c r="M621">
        <v>1931.61</v>
      </c>
      <c r="N621">
        <v>74334</v>
      </c>
      <c r="O621">
        <v>1406.37</v>
      </c>
      <c r="P621" s="1">
        <v>5.6000000000000001E-2</v>
      </c>
      <c r="Q621">
        <f t="shared" si="45"/>
        <v>145</v>
      </c>
      <c r="R621">
        <f t="shared" si="46"/>
        <v>113</v>
      </c>
      <c r="S621" s="1">
        <f t="shared" si="47"/>
        <v>0.92413793103448272</v>
      </c>
      <c r="T621">
        <f t="shared" si="48"/>
        <v>1.45</v>
      </c>
      <c r="U621" t="str">
        <f t="shared" si="49"/>
        <v>Apr</v>
      </c>
    </row>
    <row r="622" spans="1:21">
      <c r="A622" s="2">
        <v>46096</v>
      </c>
      <c r="B622" t="s">
        <v>4</v>
      </c>
      <c r="C622" t="s">
        <v>31</v>
      </c>
      <c r="D622" t="s">
        <v>7</v>
      </c>
      <c r="E622" t="s">
        <v>38</v>
      </c>
      <c r="F622" t="s">
        <v>33</v>
      </c>
      <c r="G622">
        <v>12</v>
      </c>
      <c r="H622">
        <v>30</v>
      </c>
      <c r="I622">
        <v>22</v>
      </c>
      <c r="J622">
        <v>101</v>
      </c>
      <c r="K622">
        <v>424</v>
      </c>
      <c r="L622">
        <v>117.17</v>
      </c>
      <c r="M622">
        <v>2460.36</v>
      </c>
      <c r="N622">
        <v>70805</v>
      </c>
      <c r="O622">
        <v>1561.41</v>
      </c>
      <c r="P622" s="1">
        <v>0.88800000000000001</v>
      </c>
      <c r="Q622">
        <f t="shared" si="45"/>
        <v>42</v>
      </c>
      <c r="R622">
        <f t="shared" si="46"/>
        <v>131</v>
      </c>
      <c r="S622" s="1">
        <f t="shared" si="47"/>
        <v>0.47619047619047616</v>
      </c>
      <c r="T622">
        <f t="shared" si="48"/>
        <v>0.42</v>
      </c>
      <c r="U622" t="str">
        <f t="shared" si="49"/>
        <v>Mar</v>
      </c>
    </row>
    <row r="623" spans="1:21">
      <c r="A623" s="2">
        <v>46112</v>
      </c>
      <c r="B623" t="s">
        <v>6</v>
      </c>
      <c r="C623" t="s">
        <v>31</v>
      </c>
      <c r="D623" t="s">
        <v>7</v>
      </c>
      <c r="E623" t="s">
        <v>41</v>
      </c>
      <c r="F623" t="s">
        <v>49</v>
      </c>
      <c r="G623">
        <v>79</v>
      </c>
      <c r="H623">
        <v>61</v>
      </c>
      <c r="I623">
        <v>73</v>
      </c>
      <c r="J623">
        <v>25</v>
      </c>
      <c r="K623">
        <v>365</v>
      </c>
      <c r="L623">
        <v>118.33</v>
      </c>
      <c r="M623">
        <v>1889.65</v>
      </c>
      <c r="N623">
        <v>73332</v>
      </c>
      <c r="O623">
        <v>1612.23</v>
      </c>
      <c r="P623" s="1">
        <v>0.30099999999999999</v>
      </c>
      <c r="Q623">
        <f t="shared" si="45"/>
        <v>140</v>
      </c>
      <c r="R623">
        <f t="shared" si="46"/>
        <v>86</v>
      </c>
      <c r="S623" s="1">
        <f t="shared" si="47"/>
        <v>0.47857142857142859</v>
      </c>
      <c r="T623">
        <f t="shared" si="48"/>
        <v>1.4</v>
      </c>
      <c r="U623" t="str">
        <f t="shared" si="49"/>
        <v>Mar</v>
      </c>
    </row>
    <row r="624" spans="1:21">
      <c r="A624" s="2">
        <v>46104</v>
      </c>
      <c r="B624" t="s">
        <v>6</v>
      </c>
      <c r="C624" t="s">
        <v>43</v>
      </c>
      <c r="D624" t="s">
        <v>10</v>
      </c>
      <c r="E624" t="s">
        <v>42</v>
      </c>
      <c r="F624" t="s">
        <v>49</v>
      </c>
      <c r="G624">
        <v>2</v>
      </c>
      <c r="H624">
        <v>7</v>
      </c>
      <c r="I624">
        <v>13</v>
      </c>
      <c r="J624">
        <v>133</v>
      </c>
      <c r="K624">
        <v>289</v>
      </c>
      <c r="L624">
        <v>104.7</v>
      </c>
      <c r="M624">
        <v>2063.23</v>
      </c>
      <c r="N624">
        <v>65917</v>
      </c>
      <c r="O624">
        <v>1066.42</v>
      </c>
      <c r="P624" s="1">
        <v>0.61199999999999999</v>
      </c>
      <c r="Q624">
        <f t="shared" si="45"/>
        <v>9</v>
      </c>
      <c r="R624">
        <f t="shared" si="46"/>
        <v>140</v>
      </c>
      <c r="S624" s="1">
        <f t="shared" si="47"/>
        <v>-0.44444444444444442</v>
      </c>
      <c r="T624">
        <f t="shared" si="48"/>
        <v>0.09</v>
      </c>
      <c r="U624" t="str">
        <f t="shared" si="49"/>
        <v>Mar</v>
      </c>
    </row>
    <row r="625" spans="1:21">
      <c r="A625" s="2">
        <v>46099</v>
      </c>
      <c r="B625" t="s">
        <v>6</v>
      </c>
      <c r="C625" t="s">
        <v>34</v>
      </c>
      <c r="D625" t="s">
        <v>10</v>
      </c>
      <c r="E625" t="s">
        <v>47</v>
      </c>
      <c r="F625" t="s">
        <v>33</v>
      </c>
      <c r="G625">
        <v>8</v>
      </c>
      <c r="H625">
        <v>8</v>
      </c>
      <c r="I625">
        <v>62</v>
      </c>
      <c r="J625">
        <v>68</v>
      </c>
      <c r="K625">
        <v>48</v>
      </c>
      <c r="L625">
        <v>90.03</v>
      </c>
      <c r="M625">
        <v>2347.77</v>
      </c>
      <c r="N625">
        <v>75521</v>
      </c>
      <c r="O625">
        <v>1027.7</v>
      </c>
      <c r="P625" s="1">
        <v>8.0000000000000002E-3</v>
      </c>
      <c r="Q625">
        <f t="shared" si="45"/>
        <v>16</v>
      </c>
      <c r="R625">
        <f t="shared" si="46"/>
        <v>76</v>
      </c>
      <c r="S625" s="1">
        <f t="shared" si="47"/>
        <v>-2.875</v>
      </c>
      <c r="T625">
        <f t="shared" si="48"/>
        <v>0.16</v>
      </c>
      <c r="U625" t="str">
        <f t="shared" si="49"/>
        <v>Mar</v>
      </c>
    </row>
    <row r="626" spans="1:21">
      <c r="A626" s="2">
        <v>46116</v>
      </c>
      <c r="B626" t="s">
        <v>6</v>
      </c>
      <c r="C626" t="s">
        <v>51</v>
      </c>
      <c r="D626" t="s">
        <v>7</v>
      </c>
      <c r="E626" t="s">
        <v>37</v>
      </c>
      <c r="F626" t="s">
        <v>45</v>
      </c>
      <c r="G626">
        <v>1</v>
      </c>
      <c r="H626">
        <v>24</v>
      </c>
      <c r="I626">
        <v>44</v>
      </c>
      <c r="J626">
        <v>49</v>
      </c>
      <c r="K626">
        <v>76</v>
      </c>
      <c r="L626">
        <v>139.26</v>
      </c>
      <c r="M626">
        <v>2493.11</v>
      </c>
      <c r="N626">
        <v>66243</v>
      </c>
      <c r="O626">
        <v>1270.1600000000001</v>
      </c>
      <c r="P626" s="1">
        <v>0.57199999999999995</v>
      </c>
      <c r="Q626">
        <f t="shared" si="45"/>
        <v>25</v>
      </c>
      <c r="R626">
        <f t="shared" si="46"/>
        <v>73</v>
      </c>
      <c r="S626" s="1">
        <f t="shared" si="47"/>
        <v>-0.76</v>
      </c>
      <c r="T626">
        <f t="shared" si="48"/>
        <v>0.25</v>
      </c>
      <c r="U626" t="str">
        <f t="shared" si="49"/>
        <v>Apr</v>
      </c>
    </row>
    <row r="627" spans="1:21">
      <c r="A627" s="2">
        <v>46108</v>
      </c>
      <c r="B627" t="s">
        <v>6</v>
      </c>
      <c r="C627" t="s">
        <v>40</v>
      </c>
      <c r="D627" t="s">
        <v>10</v>
      </c>
      <c r="E627" t="s">
        <v>35</v>
      </c>
      <c r="F627" t="s">
        <v>49</v>
      </c>
      <c r="G627">
        <v>43</v>
      </c>
      <c r="H627">
        <v>37</v>
      </c>
      <c r="I627">
        <v>31</v>
      </c>
      <c r="J627">
        <v>51</v>
      </c>
      <c r="K627">
        <v>100</v>
      </c>
      <c r="L627">
        <v>133.19</v>
      </c>
      <c r="M627">
        <v>2417.0100000000002</v>
      </c>
      <c r="N627">
        <v>72158</v>
      </c>
      <c r="O627">
        <v>1565.82</v>
      </c>
      <c r="P627" s="1">
        <v>0.96099999999999997</v>
      </c>
      <c r="Q627">
        <f t="shared" si="45"/>
        <v>80</v>
      </c>
      <c r="R627">
        <f t="shared" si="46"/>
        <v>88</v>
      </c>
      <c r="S627" s="1">
        <f t="shared" si="47"/>
        <v>0.61250000000000004</v>
      </c>
      <c r="T627">
        <f t="shared" si="48"/>
        <v>0.8</v>
      </c>
      <c r="U627" t="str">
        <f t="shared" si="49"/>
        <v>Mar</v>
      </c>
    </row>
    <row r="628" spans="1:21">
      <c r="A628" s="2">
        <v>46126</v>
      </c>
      <c r="B628" t="s">
        <v>6</v>
      </c>
      <c r="C628" t="s">
        <v>44</v>
      </c>
      <c r="D628" t="s">
        <v>5</v>
      </c>
      <c r="E628" t="s">
        <v>35</v>
      </c>
      <c r="F628" t="s">
        <v>33</v>
      </c>
      <c r="G628">
        <v>77</v>
      </c>
      <c r="H628">
        <v>43</v>
      </c>
      <c r="I628">
        <v>35</v>
      </c>
      <c r="J628">
        <v>64</v>
      </c>
      <c r="K628">
        <v>36</v>
      </c>
      <c r="L628">
        <v>106.29</v>
      </c>
      <c r="M628">
        <v>2322.25</v>
      </c>
      <c r="N628">
        <v>70674</v>
      </c>
      <c r="O628">
        <v>1343.02</v>
      </c>
      <c r="P628" s="1">
        <v>-0.70899999999999996</v>
      </c>
      <c r="Q628">
        <f t="shared" si="45"/>
        <v>120</v>
      </c>
      <c r="R628">
        <f t="shared" si="46"/>
        <v>107</v>
      </c>
      <c r="S628" s="1">
        <f t="shared" si="47"/>
        <v>0.70833333333333337</v>
      </c>
      <c r="T628">
        <f t="shared" si="48"/>
        <v>1.2</v>
      </c>
      <c r="U628" t="str">
        <f t="shared" si="49"/>
        <v>Apr</v>
      </c>
    </row>
    <row r="629" spans="1:21">
      <c r="A629" s="2">
        <v>46089</v>
      </c>
      <c r="B629" t="s">
        <v>6</v>
      </c>
      <c r="C629" t="s">
        <v>46</v>
      </c>
      <c r="D629" t="s">
        <v>5</v>
      </c>
      <c r="E629" t="s">
        <v>37</v>
      </c>
      <c r="F629" t="s">
        <v>49</v>
      </c>
      <c r="G629">
        <v>65</v>
      </c>
      <c r="H629">
        <v>79</v>
      </c>
      <c r="I629">
        <v>16</v>
      </c>
      <c r="J629">
        <v>119</v>
      </c>
      <c r="K629">
        <v>367</v>
      </c>
      <c r="L629">
        <v>121.46</v>
      </c>
      <c r="M629">
        <v>2095.6</v>
      </c>
      <c r="N629">
        <v>69830</v>
      </c>
      <c r="O629">
        <v>1037.25</v>
      </c>
      <c r="P629" s="1">
        <v>0.81899999999999995</v>
      </c>
      <c r="Q629">
        <f t="shared" si="45"/>
        <v>144</v>
      </c>
      <c r="R629">
        <f t="shared" si="46"/>
        <v>198</v>
      </c>
      <c r="S629" s="1">
        <f t="shared" si="47"/>
        <v>0.88888888888888884</v>
      </c>
      <c r="T629">
        <f t="shared" si="48"/>
        <v>1.44</v>
      </c>
      <c r="U629" t="str">
        <f t="shared" si="49"/>
        <v>Mar</v>
      </c>
    </row>
    <row r="630" spans="1:21">
      <c r="A630" s="2">
        <v>46127</v>
      </c>
      <c r="B630" t="s">
        <v>6</v>
      </c>
      <c r="C630" t="s">
        <v>51</v>
      </c>
      <c r="D630" t="s">
        <v>7</v>
      </c>
      <c r="E630" t="s">
        <v>41</v>
      </c>
      <c r="F630" t="s">
        <v>33</v>
      </c>
      <c r="G630">
        <v>61</v>
      </c>
      <c r="H630">
        <v>22</v>
      </c>
      <c r="I630">
        <v>62</v>
      </c>
      <c r="J630">
        <v>53</v>
      </c>
      <c r="K630">
        <v>320</v>
      </c>
      <c r="L630">
        <v>117.64</v>
      </c>
      <c r="M630">
        <v>2475.54</v>
      </c>
      <c r="N630">
        <v>75832</v>
      </c>
      <c r="O630">
        <v>1728.76</v>
      </c>
      <c r="P630" s="1">
        <v>0.72199999999999998</v>
      </c>
      <c r="Q630">
        <f t="shared" si="45"/>
        <v>83</v>
      </c>
      <c r="R630">
        <f t="shared" si="46"/>
        <v>75</v>
      </c>
      <c r="S630" s="1">
        <f t="shared" si="47"/>
        <v>0.25301204819277107</v>
      </c>
      <c r="T630">
        <f t="shared" si="48"/>
        <v>0.83</v>
      </c>
      <c r="U630" t="str">
        <f t="shared" si="49"/>
        <v>Apr</v>
      </c>
    </row>
    <row r="631" spans="1:21">
      <c r="A631" s="2">
        <v>46068</v>
      </c>
      <c r="B631" t="s">
        <v>6</v>
      </c>
      <c r="C631" t="s">
        <v>50</v>
      </c>
      <c r="D631" t="s">
        <v>9</v>
      </c>
      <c r="E631" t="s">
        <v>37</v>
      </c>
      <c r="F631" t="s">
        <v>49</v>
      </c>
      <c r="G631">
        <v>58</v>
      </c>
      <c r="H631">
        <v>69</v>
      </c>
      <c r="I631">
        <v>78</v>
      </c>
      <c r="J631">
        <v>5</v>
      </c>
      <c r="K631">
        <v>279</v>
      </c>
      <c r="L631">
        <v>90.13</v>
      </c>
      <c r="M631">
        <v>1886.85</v>
      </c>
      <c r="N631">
        <v>73612</v>
      </c>
      <c r="O631">
        <v>1541.75</v>
      </c>
      <c r="P631" s="1">
        <v>0.34599999999999997</v>
      </c>
      <c r="Q631">
        <f t="shared" si="45"/>
        <v>127</v>
      </c>
      <c r="R631">
        <f t="shared" si="46"/>
        <v>74</v>
      </c>
      <c r="S631" s="1">
        <f t="shared" si="47"/>
        <v>0.38582677165354329</v>
      </c>
      <c r="T631">
        <f t="shared" si="48"/>
        <v>1.27</v>
      </c>
      <c r="U631" t="str">
        <f t="shared" si="49"/>
        <v>Feb</v>
      </c>
    </row>
    <row r="632" spans="1:21">
      <c r="A632" s="2">
        <v>46096</v>
      </c>
      <c r="B632" t="s">
        <v>6</v>
      </c>
      <c r="C632" t="s">
        <v>31</v>
      </c>
      <c r="D632" t="s">
        <v>10</v>
      </c>
      <c r="E632" t="s">
        <v>47</v>
      </c>
      <c r="F632" t="s">
        <v>45</v>
      </c>
      <c r="G632">
        <v>59</v>
      </c>
      <c r="H632">
        <v>12</v>
      </c>
      <c r="I632">
        <v>2</v>
      </c>
      <c r="J632">
        <v>123</v>
      </c>
      <c r="K632">
        <v>37</v>
      </c>
      <c r="L632">
        <v>102.31</v>
      </c>
      <c r="M632">
        <v>2398.86</v>
      </c>
      <c r="N632">
        <v>70857</v>
      </c>
      <c r="O632">
        <v>1116.7</v>
      </c>
      <c r="P632" s="1">
        <v>-0.17399999999999999</v>
      </c>
      <c r="Q632">
        <f t="shared" si="45"/>
        <v>71</v>
      </c>
      <c r="R632">
        <f t="shared" si="46"/>
        <v>135</v>
      </c>
      <c r="S632" s="1">
        <f t="shared" si="47"/>
        <v>0.971830985915493</v>
      </c>
      <c r="T632">
        <f t="shared" si="48"/>
        <v>0.71</v>
      </c>
      <c r="U632" t="str">
        <f t="shared" si="49"/>
        <v>Mar</v>
      </c>
    </row>
    <row r="633" spans="1:21">
      <c r="A633" s="2">
        <v>46075</v>
      </c>
      <c r="B633" t="s">
        <v>6</v>
      </c>
      <c r="C633" t="s">
        <v>36</v>
      </c>
      <c r="D633" t="s">
        <v>9</v>
      </c>
      <c r="E633" t="s">
        <v>37</v>
      </c>
      <c r="F633" t="s">
        <v>39</v>
      </c>
      <c r="G633">
        <v>107</v>
      </c>
      <c r="H633">
        <v>4</v>
      </c>
      <c r="I633">
        <v>33</v>
      </c>
      <c r="J633">
        <v>122</v>
      </c>
      <c r="K633">
        <v>218</v>
      </c>
      <c r="L633">
        <v>134.91</v>
      </c>
      <c r="M633">
        <v>2447.5500000000002</v>
      </c>
      <c r="N633">
        <v>70850</v>
      </c>
      <c r="O633">
        <v>977.11</v>
      </c>
      <c r="P633" s="1">
        <v>-0.75600000000000001</v>
      </c>
      <c r="Q633">
        <f t="shared" si="45"/>
        <v>111</v>
      </c>
      <c r="R633">
        <f t="shared" si="46"/>
        <v>126</v>
      </c>
      <c r="S633" s="1">
        <f t="shared" si="47"/>
        <v>0.70270270270270274</v>
      </c>
      <c r="T633">
        <f t="shared" si="48"/>
        <v>1.1100000000000001</v>
      </c>
      <c r="U633" t="str">
        <f t="shared" si="49"/>
        <v>Feb</v>
      </c>
    </row>
    <row r="634" spans="1:21">
      <c r="A634" s="2">
        <v>46111</v>
      </c>
      <c r="B634" t="s">
        <v>4</v>
      </c>
      <c r="C634" t="s">
        <v>50</v>
      </c>
      <c r="D634" t="s">
        <v>5</v>
      </c>
      <c r="E634" t="s">
        <v>37</v>
      </c>
      <c r="F634" t="s">
        <v>39</v>
      </c>
      <c r="G634">
        <v>107</v>
      </c>
      <c r="H634">
        <v>59</v>
      </c>
      <c r="I634">
        <v>3</v>
      </c>
      <c r="J634">
        <v>69</v>
      </c>
      <c r="K634">
        <v>421</v>
      </c>
      <c r="L634">
        <v>123.28</v>
      </c>
      <c r="M634">
        <v>2261.0300000000002</v>
      </c>
      <c r="N634">
        <v>69887</v>
      </c>
      <c r="O634">
        <v>938.63</v>
      </c>
      <c r="P634" s="1">
        <v>-0.80200000000000005</v>
      </c>
      <c r="Q634">
        <f t="shared" si="45"/>
        <v>166</v>
      </c>
      <c r="R634">
        <f t="shared" si="46"/>
        <v>128</v>
      </c>
      <c r="S634" s="1">
        <f t="shared" si="47"/>
        <v>0.98192771084337349</v>
      </c>
      <c r="T634">
        <f t="shared" si="48"/>
        <v>1.66</v>
      </c>
      <c r="U634" t="str">
        <f t="shared" si="49"/>
        <v>Mar</v>
      </c>
    </row>
    <row r="635" spans="1:21">
      <c r="A635" s="2">
        <v>46094</v>
      </c>
      <c r="B635" t="s">
        <v>6</v>
      </c>
      <c r="C635" t="s">
        <v>51</v>
      </c>
      <c r="D635" t="s">
        <v>5</v>
      </c>
      <c r="E635" t="s">
        <v>41</v>
      </c>
      <c r="F635" t="s">
        <v>45</v>
      </c>
      <c r="G635">
        <v>114</v>
      </c>
      <c r="H635">
        <v>51</v>
      </c>
      <c r="I635">
        <v>12</v>
      </c>
      <c r="J635">
        <v>44</v>
      </c>
      <c r="K635">
        <v>377</v>
      </c>
      <c r="L635">
        <v>124.72</v>
      </c>
      <c r="M635">
        <v>1982.51</v>
      </c>
      <c r="N635">
        <v>75529</v>
      </c>
      <c r="O635">
        <v>1339.11</v>
      </c>
      <c r="P635" s="1">
        <v>-0.49299999999999999</v>
      </c>
      <c r="Q635">
        <f t="shared" si="45"/>
        <v>165</v>
      </c>
      <c r="R635">
        <f t="shared" si="46"/>
        <v>95</v>
      </c>
      <c r="S635" s="1">
        <f t="shared" si="47"/>
        <v>0.92727272727272725</v>
      </c>
      <c r="T635">
        <f t="shared" si="48"/>
        <v>1.65</v>
      </c>
      <c r="U635" t="str">
        <f t="shared" si="49"/>
        <v>Mar</v>
      </c>
    </row>
    <row r="636" spans="1:21">
      <c r="A636" s="2">
        <v>46073</v>
      </c>
      <c r="B636" t="s">
        <v>4</v>
      </c>
      <c r="C636" t="s">
        <v>51</v>
      </c>
      <c r="D636" t="s">
        <v>11</v>
      </c>
      <c r="E636" t="s">
        <v>32</v>
      </c>
      <c r="F636" t="s">
        <v>39</v>
      </c>
      <c r="G636">
        <v>28</v>
      </c>
      <c r="H636">
        <v>15</v>
      </c>
      <c r="I636">
        <v>50</v>
      </c>
      <c r="J636">
        <v>10</v>
      </c>
      <c r="K636">
        <v>385</v>
      </c>
      <c r="L636">
        <v>81.209999999999994</v>
      </c>
      <c r="M636">
        <v>1821.28</v>
      </c>
      <c r="N636">
        <v>70408</v>
      </c>
      <c r="O636">
        <v>1146.23</v>
      </c>
      <c r="P636" s="1">
        <v>0.83499999999999996</v>
      </c>
      <c r="Q636">
        <f t="shared" si="45"/>
        <v>43</v>
      </c>
      <c r="R636">
        <f t="shared" si="46"/>
        <v>25</v>
      </c>
      <c r="S636" s="1">
        <f t="shared" si="47"/>
        <v>-0.16279069767441862</v>
      </c>
      <c r="T636">
        <f t="shared" si="48"/>
        <v>0.43</v>
      </c>
      <c r="U636" t="str">
        <f t="shared" si="49"/>
        <v>Feb</v>
      </c>
    </row>
    <row r="637" spans="1:21">
      <c r="A637" s="2">
        <v>46080</v>
      </c>
      <c r="B637" t="s">
        <v>6</v>
      </c>
      <c r="C637" t="s">
        <v>31</v>
      </c>
      <c r="D637" t="s">
        <v>5</v>
      </c>
      <c r="E637" t="s">
        <v>47</v>
      </c>
      <c r="F637" t="s">
        <v>39</v>
      </c>
      <c r="G637">
        <v>34</v>
      </c>
      <c r="H637">
        <v>73</v>
      </c>
      <c r="I637">
        <v>25</v>
      </c>
      <c r="J637">
        <v>156</v>
      </c>
      <c r="K637">
        <v>23</v>
      </c>
      <c r="L637">
        <v>86.73</v>
      </c>
      <c r="M637">
        <v>2078.85</v>
      </c>
      <c r="N637">
        <v>64277</v>
      </c>
      <c r="O637">
        <v>1515.84</v>
      </c>
      <c r="P637" s="1">
        <v>-0.82699999999999996</v>
      </c>
      <c r="Q637">
        <f t="shared" si="45"/>
        <v>107</v>
      </c>
      <c r="R637">
        <f t="shared" si="46"/>
        <v>229</v>
      </c>
      <c r="S637" s="1">
        <f t="shared" si="47"/>
        <v>0.76635514018691586</v>
      </c>
      <c r="T637">
        <f t="shared" si="48"/>
        <v>1.07</v>
      </c>
      <c r="U637" t="str">
        <f t="shared" si="49"/>
        <v>Feb</v>
      </c>
    </row>
    <row r="638" spans="1:21">
      <c r="A638" s="2">
        <v>46069</v>
      </c>
      <c r="B638" t="s">
        <v>4</v>
      </c>
      <c r="C638" t="s">
        <v>48</v>
      </c>
      <c r="D638" t="s">
        <v>7</v>
      </c>
      <c r="E638" t="s">
        <v>35</v>
      </c>
      <c r="F638" t="s">
        <v>39</v>
      </c>
      <c r="G638">
        <v>43</v>
      </c>
      <c r="H638">
        <v>62</v>
      </c>
      <c r="I638">
        <v>32</v>
      </c>
      <c r="J638">
        <v>111</v>
      </c>
      <c r="K638">
        <v>10</v>
      </c>
      <c r="L638">
        <v>85.05</v>
      </c>
      <c r="M638">
        <v>2209.46</v>
      </c>
      <c r="N638">
        <v>71187</v>
      </c>
      <c r="O638">
        <v>1524.79</v>
      </c>
      <c r="P638" s="1">
        <v>0.33</v>
      </c>
      <c r="Q638">
        <f t="shared" si="45"/>
        <v>105</v>
      </c>
      <c r="R638">
        <f t="shared" si="46"/>
        <v>173</v>
      </c>
      <c r="S638" s="1">
        <f t="shared" si="47"/>
        <v>0.69523809523809521</v>
      </c>
      <c r="T638">
        <f t="shared" si="48"/>
        <v>1.05</v>
      </c>
      <c r="U638" t="str">
        <f t="shared" si="49"/>
        <v>Feb</v>
      </c>
    </row>
    <row r="639" spans="1:21">
      <c r="A639" s="2">
        <v>46089</v>
      </c>
      <c r="B639" t="s">
        <v>4</v>
      </c>
      <c r="C639" t="s">
        <v>44</v>
      </c>
      <c r="D639" t="s">
        <v>5</v>
      </c>
      <c r="E639" t="s">
        <v>41</v>
      </c>
      <c r="F639" t="s">
        <v>49</v>
      </c>
      <c r="G639">
        <v>87</v>
      </c>
      <c r="H639">
        <v>50</v>
      </c>
      <c r="I639">
        <v>1</v>
      </c>
      <c r="J639">
        <v>115</v>
      </c>
      <c r="K639">
        <v>341</v>
      </c>
      <c r="L639">
        <v>100.22</v>
      </c>
      <c r="M639">
        <v>1900.84</v>
      </c>
      <c r="N639">
        <v>64995</v>
      </c>
      <c r="O639">
        <v>1785.61</v>
      </c>
      <c r="P639" s="1">
        <v>0.41299999999999998</v>
      </c>
      <c r="Q639">
        <f t="shared" si="45"/>
        <v>137</v>
      </c>
      <c r="R639">
        <f t="shared" si="46"/>
        <v>165</v>
      </c>
      <c r="S639" s="1">
        <f t="shared" si="47"/>
        <v>0.99270072992700731</v>
      </c>
      <c r="T639">
        <f t="shared" si="48"/>
        <v>1.37</v>
      </c>
      <c r="U639" t="str">
        <f t="shared" si="49"/>
        <v>Mar</v>
      </c>
    </row>
    <row r="640" spans="1:21">
      <c r="A640" s="2">
        <v>46093</v>
      </c>
      <c r="B640" t="s">
        <v>4</v>
      </c>
      <c r="C640" t="s">
        <v>34</v>
      </c>
      <c r="D640" t="s">
        <v>11</v>
      </c>
      <c r="E640" t="s">
        <v>41</v>
      </c>
      <c r="F640" t="s">
        <v>49</v>
      </c>
      <c r="G640">
        <v>71</v>
      </c>
      <c r="H640">
        <v>30</v>
      </c>
      <c r="I640">
        <v>47</v>
      </c>
      <c r="J640">
        <v>136</v>
      </c>
      <c r="K640">
        <v>59</v>
      </c>
      <c r="L640">
        <v>139.63999999999999</v>
      </c>
      <c r="M640">
        <v>2003.03</v>
      </c>
      <c r="N640">
        <v>65122</v>
      </c>
      <c r="O640">
        <v>1733.59</v>
      </c>
      <c r="P640" s="1">
        <v>-0.25900000000000001</v>
      </c>
      <c r="Q640">
        <f t="shared" si="45"/>
        <v>101</v>
      </c>
      <c r="R640">
        <f t="shared" si="46"/>
        <v>166</v>
      </c>
      <c r="S640" s="1">
        <f t="shared" si="47"/>
        <v>0.53465346534653468</v>
      </c>
      <c r="T640">
        <f t="shared" si="48"/>
        <v>1.01</v>
      </c>
      <c r="U640" t="str">
        <f t="shared" si="49"/>
        <v>Mar</v>
      </c>
    </row>
    <row r="641" spans="1:21">
      <c r="A641" s="2">
        <v>46120</v>
      </c>
      <c r="B641" t="s">
        <v>6</v>
      </c>
      <c r="C641" t="s">
        <v>43</v>
      </c>
      <c r="D641" t="s">
        <v>7</v>
      </c>
      <c r="E641" t="s">
        <v>32</v>
      </c>
      <c r="F641" t="s">
        <v>49</v>
      </c>
      <c r="G641">
        <v>109</v>
      </c>
      <c r="H641">
        <v>67</v>
      </c>
      <c r="I641">
        <v>70</v>
      </c>
      <c r="J641">
        <v>9</v>
      </c>
      <c r="K641">
        <v>416</v>
      </c>
      <c r="L641">
        <v>137.57</v>
      </c>
      <c r="M641">
        <v>2166.0100000000002</v>
      </c>
      <c r="N641">
        <v>75352</v>
      </c>
      <c r="O641">
        <v>1775.92</v>
      </c>
      <c r="P641" s="1">
        <v>0.29099999999999998</v>
      </c>
      <c r="Q641">
        <f t="shared" si="45"/>
        <v>176</v>
      </c>
      <c r="R641">
        <f t="shared" si="46"/>
        <v>76</v>
      </c>
      <c r="S641" s="1">
        <f t="shared" si="47"/>
        <v>0.60227272727272729</v>
      </c>
      <c r="T641">
        <f t="shared" si="48"/>
        <v>1.76</v>
      </c>
      <c r="U641" t="str">
        <f t="shared" si="49"/>
        <v>Apr</v>
      </c>
    </row>
    <row r="642" spans="1:21">
      <c r="A642" s="2">
        <v>46117</v>
      </c>
      <c r="B642" t="s">
        <v>4</v>
      </c>
      <c r="C642" t="s">
        <v>40</v>
      </c>
      <c r="D642" t="s">
        <v>5</v>
      </c>
      <c r="E642" t="s">
        <v>47</v>
      </c>
      <c r="F642" t="s">
        <v>45</v>
      </c>
      <c r="G642">
        <v>66</v>
      </c>
      <c r="H642">
        <v>72</v>
      </c>
      <c r="I642">
        <v>7</v>
      </c>
      <c r="J642">
        <v>63</v>
      </c>
      <c r="K642">
        <v>187</v>
      </c>
      <c r="L642">
        <v>120.76</v>
      </c>
      <c r="M642">
        <v>1914.6</v>
      </c>
      <c r="N642">
        <v>66219</v>
      </c>
      <c r="O642">
        <v>1439.91</v>
      </c>
      <c r="P642" s="1">
        <v>0.94199999999999995</v>
      </c>
      <c r="Q642">
        <f t="shared" si="45"/>
        <v>138</v>
      </c>
      <c r="R642">
        <f t="shared" si="46"/>
        <v>135</v>
      </c>
      <c r="S642" s="1">
        <f t="shared" si="47"/>
        <v>0.94927536231884058</v>
      </c>
      <c r="T642">
        <f t="shared" si="48"/>
        <v>1.38</v>
      </c>
      <c r="U642" t="str">
        <f t="shared" si="49"/>
        <v>Apr</v>
      </c>
    </row>
    <row r="643" spans="1:21">
      <c r="A643" s="2">
        <v>46093</v>
      </c>
      <c r="B643" t="s">
        <v>4</v>
      </c>
      <c r="C643" t="s">
        <v>40</v>
      </c>
      <c r="D643" t="s">
        <v>11</v>
      </c>
      <c r="E643" t="s">
        <v>38</v>
      </c>
      <c r="F643" t="s">
        <v>39</v>
      </c>
      <c r="G643">
        <v>57</v>
      </c>
      <c r="H643">
        <v>73</v>
      </c>
      <c r="I643">
        <v>6</v>
      </c>
      <c r="J643">
        <v>100</v>
      </c>
      <c r="K643">
        <v>1</v>
      </c>
      <c r="L643">
        <v>104.33</v>
      </c>
      <c r="M643">
        <v>2212.83</v>
      </c>
      <c r="N643">
        <v>64464</v>
      </c>
      <c r="O643">
        <v>1535.36</v>
      </c>
      <c r="P643" s="1">
        <v>5.2999999999999999E-2</v>
      </c>
      <c r="Q643">
        <f t="shared" ref="Q643:Q706" si="50">G643+H643</f>
        <v>130</v>
      </c>
      <c r="R643">
        <f t="shared" ref="R643:R706" si="51">J643+H643</f>
        <v>173</v>
      </c>
      <c r="S643" s="1">
        <f t="shared" ref="S643:S706" si="52">(Q643-I643)/(Q643)</f>
        <v>0.9538461538461539</v>
      </c>
      <c r="T643">
        <f t="shared" ref="T643:T706" si="53">Q643/100</f>
        <v>1.3</v>
      </c>
      <c r="U643" t="str">
        <f t="shared" ref="U643:U706" si="54">TEXT(A643,"mmm")</f>
        <v>Mar</v>
      </c>
    </row>
    <row r="644" spans="1:21">
      <c r="A644" s="2">
        <v>46122</v>
      </c>
      <c r="B644" t="s">
        <v>6</v>
      </c>
      <c r="C644" t="s">
        <v>48</v>
      </c>
      <c r="D644" t="s">
        <v>10</v>
      </c>
      <c r="E644" t="s">
        <v>37</v>
      </c>
      <c r="F644" t="s">
        <v>45</v>
      </c>
      <c r="G644">
        <v>7</v>
      </c>
      <c r="H644">
        <v>10</v>
      </c>
      <c r="I644">
        <v>1</v>
      </c>
      <c r="J644">
        <v>152</v>
      </c>
      <c r="K644">
        <v>392</v>
      </c>
      <c r="L644">
        <v>105.03</v>
      </c>
      <c r="M644">
        <v>2448.89</v>
      </c>
      <c r="N644">
        <v>67593</v>
      </c>
      <c r="O644">
        <v>1051.3699999999999</v>
      </c>
      <c r="P644" s="1">
        <v>0.16800000000000001</v>
      </c>
      <c r="Q644">
        <f t="shared" si="50"/>
        <v>17</v>
      </c>
      <c r="R644">
        <f t="shared" si="51"/>
        <v>162</v>
      </c>
      <c r="S644" s="1">
        <f t="shared" si="52"/>
        <v>0.94117647058823528</v>
      </c>
      <c r="T644">
        <f t="shared" si="53"/>
        <v>0.17</v>
      </c>
      <c r="U644" t="str">
        <f t="shared" si="54"/>
        <v>Apr</v>
      </c>
    </row>
    <row r="645" spans="1:21">
      <c r="A645" s="2">
        <v>46126</v>
      </c>
      <c r="B645" t="s">
        <v>6</v>
      </c>
      <c r="C645" t="s">
        <v>44</v>
      </c>
      <c r="D645" t="s">
        <v>5</v>
      </c>
      <c r="E645" t="s">
        <v>32</v>
      </c>
      <c r="F645" t="s">
        <v>39</v>
      </c>
      <c r="G645">
        <v>91</v>
      </c>
      <c r="H645">
        <v>6</v>
      </c>
      <c r="I645">
        <v>21</v>
      </c>
      <c r="J645">
        <v>24</v>
      </c>
      <c r="K645">
        <v>422</v>
      </c>
      <c r="L645">
        <v>136.57</v>
      </c>
      <c r="M645">
        <v>2116.39</v>
      </c>
      <c r="N645">
        <v>64273</v>
      </c>
      <c r="O645">
        <v>1090.9100000000001</v>
      </c>
      <c r="P645" s="1">
        <v>-0.78900000000000003</v>
      </c>
      <c r="Q645">
        <f t="shared" si="50"/>
        <v>97</v>
      </c>
      <c r="R645">
        <f t="shared" si="51"/>
        <v>30</v>
      </c>
      <c r="S645" s="1">
        <f t="shared" si="52"/>
        <v>0.78350515463917525</v>
      </c>
      <c r="T645">
        <f t="shared" si="53"/>
        <v>0.97</v>
      </c>
      <c r="U645" t="str">
        <f t="shared" si="54"/>
        <v>Apr</v>
      </c>
    </row>
    <row r="646" spans="1:21">
      <c r="A646" s="2">
        <v>46089</v>
      </c>
      <c r="B646" t="s">
        <v>4</v>
      </c>
      <c r="C646" t="s">
        <v>36</v>
      </c>
      <c r="D646" t="s">
        <v>9</v>
      </c>
      <c r="E646" t="s">
        <v>42</v>
      </c>
      <c r="F646" t="s">
        <v>39</v>
      </c>
      <c r="G646">
        <v>104</v>
      </c>
      <c r="H646">
        <v>57</v>
      </c>
      <c r="I646">
        <v>68</v>
      </c>
      <c r="J646">
        <v>90</v>
      </c>
      <c r="K646">
        <v>393</v>
      </c>
      <c r="L646">
        <v>89.32</v>
      </c>
      <c r="M646">
        <v>2192.89</v>
      </c>
      <c r="N646">
        <v>72180</v>
      </c>
      <c r="O646">
        <v>1787.72</v>
      </c>
      <c r="P646" s="1">
        <v>0.83499999999999996</v>
      </c>
      <c r="Q646">
        <f t="shared" si="50"/>
        <v>161</v>
      </c>
      <c r="R646">
        <f t="shared" si="51"/>
        <v>147</v>
      </c>
      <c r="S646" s="1">
        <f t="shared" si="52"/>
        <v>0.57763975155279501</v>
      </c>
      <c r="T646">
        <f t="shared" si="53"/>
        <v>1.61</v>
      </c>
      <c r="U646" t="str">
        <f t="shared" si="54"/>
        <v>Mar</v>
      </c>
    </row>
    <row r="647" spans="1:21">
      <c r="A647" s="2">
        <v>46106</v>
      </c>
      <c r="B647" t="s">
        <v>4</v>
      </c>
      <c r="C647" t="s">
        <v>44</v>
      </c>
      <c r="D647" t="s">
        <v>9</v>
      </c>
      <c r="E647" t="s">
        <v>32</v>
      </c>
      <c r="F647" t="s">
        <v>45</v>
      </c>
      <c r="G647">
        <v>34</v>
      </c>
      <c r="H647">
        <v>52</v>
      </c>
      <c r="I647">
        <v>72</v>
      </c>
      <c r="J647">
        <v>71</v>
      </c>
      <c r="K647">
        <v>240</v>
      </c>
      <c r="L647">
        <v>132.28</v>
      </c>
      <c r="M647">
        <v>1907.88</v>
      </c>
      <c r="N647">
        <v>75534</v>
      </c>
      <c r="O647">
        <v>1172.27</v>
      </c>
      <c r="P647" s="1">
        <v>-0.44</v>
      </c>
      <c r="Q647">
        <f t="shared" si="50"/>
        <v>86</v>
      </c>
      <c r="R647">
        <f t="shared" si="51"/>
        <v>123</v>
      </c>
      <c r="S647" s="1">
        <f t="shared" si="52"/>
        <v>0.16279069767441862</v>
      </c>
      <c r="T647">
        <f t="shared" si="53"/>
        <v>0.86</v>
      </c>
      <c r="U647" t="str">
        <f t="shared" si="54"/>
        <v>Mar</v>
      </c>
    </row>
    <row r="648" spans="1:21">
      <c r="A648" s="2">
        <v>46111</v>
      </c>
      <c r="B648" t="s">
        <v>4</v>
      </c>
      <c r="C648" t="s">
        <v>43</v>
      </c>
      <c r="D648" t="s">
        <v>7</v>
      </c>
      <c r="E648" t="s">
        <v>38</v>
      </c>
      <c r="F648" t="s">
        <v>33</v>
      </c>
      <c r="G648">
        <v>82</v>
      </c>
      <c r="H648">
        <v>44</v>
      </c>
      <c r="I648">
        <v>38</v>
      </c>
      <c r="J648">
        <v>76</v>
      </c>
      <c r="K648">
        <v>22</v>
      </c>
      <c r="L648">
        <v>89.04</v>
      </c>
      <c r="M648">
        <v>2203.08</v>
      </c>
      <c r="N648">
        <v>73970</v>
      </c>
      <c r="O648">
        <v>1737.08</v>
      </c>
      <c r="P648" s="1">
        <v>0.307</v>
      </c>
      <c r="Q648">
        <f t="shared" si="50"/>
        <v>126</v>
      </c>
      <c r="R648">
        <f t="shared" si="51"/>
        <v>120</v>
      </c>
      <c r="S648" s="1">
        <f t="shared" si="52"/>
        <v>0.69841269841269837</v>
      </c>
      <c r="T648">
        <f t="shared" si="53"/>
        <v>1.26</v>
      </c>
      <c r="U648" t="str">
        <f t="shared" si="54"/>
        <v>Mar</v>
      </c>
    </row>
    <row r="649" spans="1:21">
      <c r="A649" s="2">
        <v>46124</v>
      </c>
      <c r="B649" t="s">
        <v>4</v>
      </c>
      <c r="C649" t="s">
        <v>51</v>
      </c>
      <c r="D649" t="s">
        <v>5</v>
      </c>
      <c r="E649" t="s">
        <v>42</v>
      </c>
      <c r="F649" t="s">
        <v>39</v>
      </c>
      <c r="G649">
        <v>112</v>
      </c>
      <c r="H649">
        <v>39</v>
      </c>
      <c r="I649">
        <v>57</v>
      </c>
      <c r="J649">
        <v>75</v>
      </c>
      <c r="K649">
        <v>67</v>
      </c>
      <c r="L649">
        <v>88.83</v>
      </c>
      <c r="M649">
        <v>1903.63</v>
      </c>
      <c r="N649">
        <v>75661</v>
      </c>
      <c r="O649">
        <v>1341.63</v>
      </c>
      <c r="P649" s="1">
        <v>3.1E-2</v>
      </c>
      <c r="Q649">
        <f t="shared" si="50"/>
        <v>151</v>
      </c>
      <c r="R649">
        <f t="shared" si="51"/>
        <v>114</v>
      </c>
      <c r="S649" s="1">
        <f t="shared" si="52"/>
        <v>0.62251655629139069</v>
      </c>
      <c r="T649">
        <f t="shared" si="53"/>
        <v>1.51</v>
      </c>
      <c r="U649" t="str">
        <f t="shared" si="54"/>
        <v>Apr</v>
      </c>
    </row>
    <row r="650" spans="1:21">
      <c r="A650" s="2">
        <v>46105</v>
      </c>
      <c r="B650" t="s">
        <v>6</v>
      </c>
      <c r="C650" t="s">
        <v>51</v>
      </c>
      <c r="D650" t="s">
        <v>7</v>
      </c>
      <c r="E650" t="s">
        <v>38</v>
      </c>
      <c r="F650" t="s">
        <v>49</v>
      </c>
      <c r="G650">
        <v>46</v>
      </c>
      <c r="H650">
        <v>19</v>
      </c>
      <c r="I650">
        <v>41</v>
      </c>
      <c r="J650">
        <v>124</v>
      </c>
      <c r="K650">
        <v>405</v>
      </c>
      <c r="L650">
        <v>82.21</v>
      </c>
      <c r="M650">
        <v>2226.77</v>
      </c>
      <c r="N650">
        <v>69870</v>
      </c>
      <c r="O650">
        <v>1745.13</v>
      </c>
      <c r="P650" s="1">
        <v>-0.74299999999999999</v>
      </c>
      <c r="Q650">
        <f t="shared" si="50"/>
        <v>65</v>
      </c>
      <c r="R650">
        <f t="shared" si="51"/>
        <v>143</v>
      </c>
      <c r="S650" s="1">
        <f t="shared" si="52"/>
        <v>0.36923076923076925</v>
      </c>
      <c r="T650">
        <f t="shared" si="53"/>
        <v>0.65</v>
      </c>
      <c r="U650" t="str">
        <f t="shared" si="54"/>
        <v>Mar</v>
      </c>
    </row>
    <row r="651" spans="1:21">
      <c r="A651" s="2">
        <v>46093</v>
      </c>
      <c r="B651" t="s">
        <v>6</v>
      </c>
      <c r="C651" t="s">
        <v>50</v>
      </c>
      <c r="D651" t="s">
        <v>5</v>
      </c>
      <c r="E651" t="s">
        <v>37</v>
      </c>
      <c r="F651" t="s">
        <v>49</v>
      </c>
      <c r="G651">
        <v>108</v>
      </c>
      <c r="H651">
        <v>22</v>
      </c>
      <c r="I651">
        <v>37</v>
      </c>
      <c r="J651">
        <v>117</v>
      </c>
      <c r="K651">
        <v>232</v>
      </c>
      <c r="L651">
        <v>81.739999999999995</v>
      </c>
      <c r="M651">
        <v>2381.7600000000002</v>
      </c>
      <c r="N651">
        <v>71047</v>
      </c>
      <c r="O651">
        <v>1307.21</v>
      </c>
      <c r="P651" s="1">
        <v>0.105</v>
      </c>
      <c r="Q651">
        <f t="shared" si="50"/>
        <v>130</v>
      </c>
      <c r="R651">
        <f t="shared" si="51"/>
        <v>139</v>
      </c>
      <c r="S651" s="1">
        <f t="shared" si="52"/>
        <v>0.7153846153846154</v>
      </c>
      <c r="T651">
        <f t="shared" si="53"/>
        <v>1.3</v>
      </c>
      <c r="U651" t="str">
        <f t="shared" si="54"/>
        <v>Mar</v>
      </c>
    </row>
    <row r="652" spans="1:21">
      <c r="A652" s="2">
        <v>46072</v>
      </c>
      <c r="B652" t="s">
        <v>6</v>
      </c>
      <c r="C652" t="s">
        <v>48</v>
      </c>
      <c r="D652" t="s">
        <v>10</v>
      </c>
      <c r="E652" t="s">
        <v>37</v>
      </c>
      <c r="F652" t="s">
        <v>39</v>
      </c>
      <c r="G652">
        <v>70</v>
      </c>
      <c r="H652">
        <v>0</v>
      </c>
      <c r="I652">
        <v>46</v>
      </c>
      <c r="J652">
        <v>103</v>
      </c>
      <c r="K652">
        <v>69</v>
      </c>
      <c r="L652">
        <v>119.76</v>
      </c>
      <c r="M652">
        <v>2036.5</v>
      </c>
      <c r="N652">
        <v>75905</v>
      </c>
      <c r="O652">
        <v>1552.69</v>
      </c>
      <c r="P652" s="1">
        <v>-0.39900000000000002</v>
      </c>
      <c r="Q652">
        <f t="shared" si="50"/>
        <v>70</v>
      </c>
      <c r="R652">
        <f t="shared" si="51"/>
        <v>103</v>
      </c>
      <c r="S652" s="1">
        <f t="shared" si="52"/>
        <v>0.34285714285714286</v>
      </c>
      <c r="T652">
        <f t="shared" si="53"/>
        <v>0.7</v>
      </c>
      <c r="U652" t="str">
        <f t="shared" si="54"/>
        <v>Feb</v>
      </c>
    </row>
    <row r="653" spans="1:21">
      <c r="A653" s="2">
        <v>46097</v>
      </c>
      <c r="B653" t="s">
        <v>4</v>
      </c>
      <c r="C653" t="s">
        <v>44</v>
      </c>
      <c r="D653" t="s">
        <v>5</v>
      </c>
      <c r="E653" t="s">
        <v>41</v>
      </c>
      <c r="F653" t="s">
        <v>39</v>
      </c>
      <c r="G653">
        <v>105</v>
      </c>
      <c r="H653">
        <v>65</v>
      </c>
      <c r="I653">
        <v>85</v>
      </c>
      <c r="J653">
        <v>154</v>
      </c>
      <c r="K653">
        <v>25</v>
      </c>
      <c r="L653">
        <v>125.09</v>
      </c>
      <c r="M653">
        <v>2451.2399999999998</v>
      </c>
      <c r="N653">
        <v>73798</v>
      </c>
      <c r="O653">
        <v>1402.29</v>
      </c>
      <c r="P653" s="1">
        <v>0.46400000000000002</v>
      </c>
      <c r="Q653">
        <f t="shared" si="50"/>
        <v>170</v>
      </c>
      <c r="R653">
        <f t="shared" si="51"/>
        <v>219</v>
      </c>
      <c r="S653" s="1">
        <f t="shared" si="52"/>
        <v>0.5</v>
      </c>
      <c r="T653">
        <f t="shared" si="53"/>
        <v>1.7</v>
      </c>
      <c r="U653" t="str">
        <f t="shared" si="54"/>
        <v>Mar</v>
      </c>
    </row>
    <row r="654" spans="1:21">
      <c r="A654" s="2">
        <v>46090</v>
      </c>
      <c r="B654" t="s">
        <v>6</v>
      </c>
      <c r="C654" t="s">
        <v>34</v>
      </c>
      <c r="D654" t="s">
        <v>5</v>
      </c>
      <c r="E654" t="s">
        <v>41</v>
      </c>
      <c r="F654" t="s">
        <v>33</v>
      </c>
      <c r="G654">
        <v>93</v>
      </c>
      <c r="H654">
        <v>39</v>
      </c>
      <c r="I654">
        <v>28</v>
      </c>
      <c r="J654">
        <v>69</v>
      </c>
      <c r="K654">
        <v>199</v>
      </c>
      <c r="L654">
        <v>124.01</v>
      </c>
      <c r="M654">
        <v>2444.9499999999998</v>
      </c>
      <c r="N654">
        <v>71470</v>
      </c>
      <c r="O654">
        <v>1259.3</v>
      </c>
      <c r="P654" s="1">
        <v>0.73099999999999998</v>
      </c>
      <c r="Q654">
        <f t="shared" si="50"/>
        <v>132</v>
      </c>
      <c r="R654">
        <f t="shared" si="51"/>
        <v>108</v>
      </c>
      <c r="S654" s="1">
        <f t="shared" si="52"/>
        <v>0.78787878787878785</v>
      </c>
      <c r="T654">
        <f t="shared" si="53"/>
        <v>1.32</v>
      </c>
      <c r="U654" t="str">
        <f t="shared" si="54"/>
        <v>Mar</v>
      </c>
    </row>
    <row r="655" spans="1:21">
      <c r="A655" s="2">
        <v>46100</v>
      </c>
      <c r="B655" t="s">
        <v>6</v>
      </c>
      <c r="C655" t="s">
        <v>48</v>
      </c>
      <c r="D655" t="s">
        <v>5</v>
      </c>
      <c r="E655" t="s">
        <v>42</v>
      </c>
      <c r="F655" t="s">
        <v>45</v>
      </c>
      <c r="G655">
        <v>101</v>
      </c>
      <c r="H655">
        <v>31</v>
      </c>
      <c r="I655">
        <v>15</v>
      </c>
      <c r="J655">
        <v>102</v>
      </c>
      <c r="K655">
        <v>373</v>
      </c>
      <c r="L655">
        <v>105.31</v>
      </c>
      <c r="M655">
        <v>2187.42</v>
      </c>
      <c r="N655">
        <v>75603</v>
      </c>
      <c r="O655">
        <v>1611.03</v>
      </c>
      <c r="P655" s="1">
        <v>-0.46100000000000002</v>
      </c>
      <c r="Q655">
        <f t="shared" si="50"/>
        <v>132</v>
      </c>
      <c r="R655">
        <f t="shared" si="51"/>
        <v>133</v>
      </c>
      <c r="S655" s="1">
        <f t="shared" si="52"/>
        <v>0.88636363636363635</v>
      </c>
      <c r="T655">
        <f t="shared" si="53"/>
        <v>1.32</v>
      </c>
      <c r="U655" t="str">
        <f t="shared" si="54"/>
        <v>Mar</v>
      </c>
    </row>
    <row r="656" spans="1:21">
      <c r="A656" s="2">
        <v>46090</v>
      </c>
      <c r="B656" t="s">
        <v>6</v>
      </c>
      <c r="C656" t="s">
        <v>40</v>
      </c>
      <c r="D656" t="s">
        <v>9</v>
      </c>
      <c r="E656" t="s">
        <v>42</v>
      </c>
      <c r="F656" t="s">
        <v>33</v>
      </c>
      <c r="G656">
        <v>58</v>
      </c>
      <c r="H656">
        <v>68</v>
      </c>
      <c r="I656">
        <v>54</v>
      </c>
      <c r="J656">
        <v>135</v>
      </c>
      <c r="K656">
        <v>168</v>
      </c>
      <c r="L656">
        <v>118.26</v>
      </c>
      <c r="M656">
        <v>2496.96</v>
      </c>
      <c r="N656">
        <v>67487</v>
      </c>
      <c r="O656">
        <v>1017.39</v>
      </c>
      <c r="P656" s="1">
        <v>0.69199999999999995</v>
      </c>
      <c r="Q656">
        <f t="shared" si="50"/>
        <v>126</v>
      </c>
      <c r="R656">
        <f t="shared" si="51"/>
        <v>203</v>
      </c>
      <c r="S656" s="1">
        <f t="shared" si="52"/>
        <v>0.5714285714285714</v>
      </c>
      <c r="T656">
        <f t="shared" si="53"/>
        <v>1.26</v>
      </c>
      <c r="U656" t="str">
        <f t="shared" si="54"/>
        <v>Mar</v>
      </c>
    </row>
    <row r="657" spans="1:21">
      <c r="A657" s="2">
        <v>46102</v>
      </c>
      <c r="B657" t="s">
        <v>4</v>
      </c>
      <c r="C657" t="s">
        <v>50</v>
      </c>
      <c r="D657" t="s">
        <v>7</v>
      </c>
      <c r="E657" t="s">
        <v>32</v>
      </c>
      <c r="F657" t="s">
        <v>39</v>
      </c>
      <c r="G657">
        <v>31</v>
      </c>
      <c r="H657">
        <v>59</v>
      </c>
      <c r="I657">
        <v>5</v>
      </c>
      <c r="J657">
        <v>7</v>
      </c>
      <c r="K657">
        <v>379</v>
      </c>
      <c r="L657">
        <v>82.17</v>
      </c>
      <c r="M657">
        <v>1917.21</v>
      </c>
      <c r="N657">
        <v>66805</v>
      </c>
      <c r="O657">
        <v>1205.71</v>
      </c>
      <c r="P657" s="1">
        <v>0.47299999999999998</v>
      </c>
      <c r="Q657">
        <f t="shared" si="50"/>
        <v>90</v>
      </c>
      <c r="R657">
        <f t="shared" si="51"/>
        <v>66</v>
      </c>
      <c r="S657" s="1">
        <f t="shared" si="52"/>
        <v>0.94444444444444442</v>
      </c>
      <c r="T657">
        <f t="shared" si="53"/>
        <v>0.9</v>
      </c>
      <c r="U657" t="str">
        <f t="shared" si="54"/>
        <v>Mar</v>
      </c>
    </row>
    <row r="658" spans="1:21">
      <c r="A658" s="2">
        <v>46078</v>
      </c>
      <c r="B658" t="s">
        <v>4</v>
      </c>
      <c r="C658" t="s">
        <v>43</v>
      </c>
      <c r="D658" t="s">
        <v>5</v>
      </c>
      <c r="E658" t="s">
        <v>38</v>
      </c>
      <c r="F658" t="s">
        <v>45</v>
      </c>
      <c r="G658">
        <v>3</v>
      </c>
      <c r="H658">
        <v>6</v>
      </c>
      <c r="I658">
        <v>0</v>
      </c>
      <c r="J658">
        <v>75</v>
      </c>
      <c r="K658">
        <v>396</v>
      </c>
      <c r="L658">
        <v>117.05</v>
      </c>
      <c r="M658">
        <v>2390.73</v>
      </c>
      <c r="N658">
        <v>75876</v>
      </c>
      <c r="O658">
        <v>1102.74</v>
      </c>
      <c r="P658" s="1">
        <v>0.48799999999999999</v>
      </c>
      <c r="Q658">
        <f t="shared" si="50"/>
        <v>9</v>
      </c>
      <c r="R658">
        <f t="shared" si="51"/>
        <v>81</v>
      </c>
      <c r="S658" s="1">
        <f t="shared" si="52"/>
        <v>1</v>
      </c>
      <c r="T658">
        <f t="shared" si="53"/>
        <v>0.09</v>
      </c>
      <c r="U658" t="str">
        <f t="shared" si="54"/>
        <v>Feb</v>
      </c>
    </row>
    <row r="659" spans="1:21">
      <c r="A659" s="2">
        <v>46081</v>
      </c>
      <c r="B659" t="s">
        <v>6</v>
      </c>
      <c r="C659" t="s">
        <v>43</v>
      </c>
      <c r="D659" t="s">
        <v>11</v>
      </c>
      <c r="E659" t="s">
        <v>47</v>
      </c>
      <c r="F659" t="s">
        <v>39</v>
      </c>
      <c r="G659">
        <v>99</v>
      </c>
      <c r="H659">
        <v>53</v>
      </c>
      <c r="I659">
        <v>47</v>
      </c>
      <c r="J659">
        <v>117</v>
      </c>
      <c r="K659">
        <v>353</v>
      </c>
      <c r="L659">
        <v>103.31</v>
      </c>
      <c r="M659">
        <v>2352.4699999999998</v>
      </c>
      <c r="N659">
        <v>67419</v>
      </c>
      <c r="O659">
        <v>1751.97</v>
      </c>
      <c r="P659" s="1">
        <v>0.20399999999999999</v>
      </c>
      <c r="Q659">
        <f t="shared" si="50"/>
        <v>152</v>
      </c>
      <c r="R659">
        <f t="shared" si="51"/>
        <v>170</v>
      </c>
      <c r="S659" s="1">
        <f t="shared" si="52"/>
        <v>0.69078947368421051</v>
      </c>
      <c r="T659">
        <f t="shared" si="53"/>
        <v>1.52</v>
      </c>
      <c r="U659" t="str">
        <f t="shared" si="54"/>
        <v>Feb</v>
      </c>
    </row>
    <row r="660" spans="1:21">
      <c r="A660" s="2">
        <v>46103</v>
      </c>
      <c r="B660" t="s">
        <v>6</v>
      </c>
      <c r="C660" t="s">
        <v>40</v>
      </c>
      <c r="D660" t="s">
        <v>9</v>
      </c>
      <c r="E660" t="s">
        <v>41</v>
      </c>
      <c r="F660" t="s">
        <v>33</v>
      </c>
      <c r="G660">
        <v>22</v>
      </c>
      <c r="H660">
        <v>62</v>
      </c>
      <c r="I660">
        <v>28</v>
      </c>
      <c r="J660">
        <v>52</v>
      </c>
      <c r="K660">
        <v>438</v>
      </c>
      <c r="L660">
        <v>106.8</v>
      </c>
      <c r="M660">
        <v>2460.41</v>
      </c>
      <c r="N660">
        <v>67034</v>
      </c>
      <c r="O660">
        <v>1687.41</v>
      </c>
      <c r="P660" s="1">
        <v>-0.27600000000000002</v>
      </c>
      <c r="Q660">
        <f t="shared" si="50"/>
        <v>84</v>
      </c>
      <c r="R660">
        <f t="shared" si="51"/>
        <v>114</v>
      </c>
      <c r="S660" s="1">
        <f t="shared" si="52"/>
        <v>0.66666666666666663</v>
      </c>
      <c r="T660">
        <f t="shared" si="53"/>
        <v>0.84</v>
      </c>
      <c r="U660" t="str">
        <f t="shared" si="54"/>
        <v>Mar</v>
      </c>
    </row>
    <row r="661" spans="1:21">
      <c r="A661" s="2">
        <v>46101</v>
      </c>
      <c r="B661" t="s">
        <v>4</v>
      </c>
      <c r="C661" t="s">
        <v>51</v>
      </c>
      <c r="D661" t="s">
        <v>5</v>
      </c>
      <c r="E661" t="s">
        <v>38</v>
      </c>
      <c r="F661" t="s">
        <v>39</v>
      </c>
      <c r="G661">
        <v>51</v>
      </c>
      <c r="H661">
        <v>64</v>
      </c>
      <c r="I661">
        <v>35</v>
      </c>
      <c r="J661">
        <v>49</v>
      </c>
      <c r="K661">
        <v>306</v>
      </c>
      <c r="L661">
        <v>119.08</v>
      </c>
      <c r="M661">
        <v>2011.86</v>
      </c>
      <c r="N661">
        <v>74571</v>
      </c>
      <c r="O661">
        <v>1179.03</v>
      </c>
      <c r="P661" s="1">
        <v>0.83599999999999997</v>
      </c>
      <c r="Q661">
        <f t="shared" si="50"/>
        <v>115</v>
      </c>
      <c r="R661">
        <f t="shared" si="51"/>
        <v>113</v>
      </c>
      <c r="S661" s="1">
        <f t="shared" si="52"/>
        <v>0.69565217391304346</v>
      </c>
      <c r="T661">
        <f t="shared" si="53"/>
        <v>1.1499999999999999</v>
      </c>
      <c r="U661" t="str">
        <f t="shared" si="54"/>
        <v>Mar</v>
      </c>
    </row>
    <row r="662" spans="1:21">
      <c r="A662" s="2">
        <v>46106</v>
      </c>
      <c r="B662" t="s">
        <v>4</v>
      </c>
      <c r="C662" t="s">
        <v>31</v>
      </c>
      <c r="D662" t="s">
        <v>7</v>
      </c>
      <c r="E662" t="s">
        <v>38</v>
      </c>
      <c r="F662" t="s">
        <v>45</v>
      </c>
      <c r="G662">
        <v>65</v>
      </c>
      <c r="H662">
        <v>75</v>
      </c>
      <c r="I662">
        <v>3</v>
      </c>
      <c r="J662">
        <v>107</v>
      </c>
      <c r="K662">
        <v>406</v>
      </c>
      <c r="L662">
        <v>129.83000000000001</v>
      </c>
      <c r="M662">
        <v>2026.76</v>
      </c>
      <c r="N662">
        <v>69206</v>
      </c>
      <c r="O662">
        <v>1236.57</v>
      </c>
      <c r="P662" s="1">
        <v>0.97399999999999998</v>
      </c>
      <c r="Q662">
        <f t="shared" si="50"/>
        <v>140</v>
      </c>
      <c r="R662">
        <f t="shared" si="51"/>
        <v>182</v>
      </c>
      <c r="S662" s="1">
        <f t="shared" si="52"/>
        <v>0.97857142857142854</v>
      </c>
      <c r="T662">
        <f t="shared" si="53"/>
        <v>1.4</v>
      </c>
      <c r="U662" t="str">
        <f t="shared" si="54"/>
        <v>Mar</v>
      </c>
    </row>
    <row r="663" spans="1:21">
      <c r="A663" s="2">
        <v>46107</v>
      </c>
      <c r="B663" t="s">
        <v>4</v>
      </c>
      <c r="C663" t="s">
        <v>34</v>
      </c>
      <c r="D663" t="s">
        <v>9</v>
      </c>
      <c r="E663" t="s">
        <v>37</v>
      </c>
      <c r="F663" t="s">
        <v>39</v>
      </c>
      <c r="G663">
        <v>75</v>
      </c>
      <c r="H663">
        <v>3</v>
      </c>
      <c r="I663">
        <v>80</v>
      </c>
      <c r="J663">
        <v>14</v>
      </c>
      <c r="K663">
        <v>90</v>
      </c>
      <c r="L663">
        <v>130.28</v>
      </c>
      <c r="M663">
        <v>2259.92</v>
      </c>
      <c r="N663">
        <v>69316</v>
      </c>
      <c r="O663">
        <v>1420.83</v>
      </c>
      <c r="P663" s="1">
        <v>0.49399999999999999</v>
      </c>
      <c r="Q663">
        <f t="shared" si="50"/>
        <v>78</v>
      </c>
      <c r="R663">
        <f t="shared" si="51"/>
        <v>17</v>
      </c>
      <c r="S663" s="1">
        <f t="shared" si="52"/>
        <v>-2.564102564102564E-2</v>
      </c>
      <c r="T663">
        <f t="shared" si="53"/>
        <v>0.78</v>
      </c>
      <c r="U663" t="str">
        <f t="shared" si="54"/>
        <v>Mar</v>
      </c>
    </row>
    <row r="664" spans="1:21">
      <c r="A664" s="2">
        <v>46116</v>
      </c>
      <c r="B664" t="s">
        <v>4</v>
      </c>
      <c r="C664" t="s">
        <v>51</v>
      </c>
      <c r="D664" t="s">
        <v>11</v>
      </c>
      <c r="E664" t="s">
        <v>37</v>
      </c>
      <c r="F664" t="s">
        <v>49</v>
      </c>
      <c r="G664">
        <v>31</v>
      </c>
      <c r="H664">
        <v>34</v>
      </c>
      <c r="I664">
        <v>83</v>
      </c>
      <c r="J664">
        <v>43</v>
      </c>
      <c r="K664">
        <v>265</v>
      </c>
      <c r="L664">
        <v>109.26</v>
      </c>
      <c r="M664">
        <v>2345.62</v>
      </c>
      <c r="N664">
        <v>69386</v>
      </c>
      <c r="O664">
        <v>1594.27</v>
      </c>
      <c r="P664" s="1">
        <v>0.47</v>
      </c>
      <c r="Q664">
        <f t="shared" si="50"/>
        <v>65</v>
      </c>
      <c r="R664">
        <f t="shared" si="51"/>
        <v>77</v>
      </c>
      <c r="S664" s="1">
        <f t="shared" si="52"/>
        <v>-0.27692307692307694</v>
      </c>
      <c r="T664">
        <f t="shared" si="53"/>
        <v>0.65</v>
      </c>
      <c r="U664" t="str">
        <f t="shared" si="54"/>
        <v>Apr</v>
      </c>
    </row>
    <row r="665" spans="1:21">
      <c r="A665" s="2">
        <v>46084</v>
      </c>
      <c r="B665" t="s">
        <v>4</v>
      </c>
      <c r="C665" t="s">
        <v>40</v>
      </c>
      <c r="D665" t="s">
        <v>5</v>
      </c>
      <c r="E665" t="s">
        <v>32</v>
      </c>
      <c r="F665" t="s">
        <v>39</v>
      </c>
      <c r="G665">
        <v>103</v>
      </c>
      <c r="H665">
        <v>4</v>
      </c>
      <c r="I665">
        <v>1</v>
      </c>
      <c r="J665">
        <v>144</v>
      </c>
      <c r="K665">
        <v>163</v>
      </c>
      <c r="L665">
        <v>82.25</v>
      </c>
      <c r="M665">
        <v>1936.55</v>
      </c>
      <c r="N665">
        <v>72078</v>
      </c>
      <c r="O665">
        <v>1763.87</v>
      </c>
      <c r="P665" s="1">
        <v>0.71699999999999997</v>
      </c>
      <c r="Q665">
        <f t="shared" si="50"/>
        <v>107</v>
      </c>
      <c r="R665">
        <f t="shared" si="51"/>
        <v>148</v>
      </c>
      <c r="S665" s="1">
        <f t="shared" si="52"/>
        <v>0.99065420560747663</v>
      </c>
      <c r="T665">
        <f t="shared" si="53"/>
        <v>1.07</v>
      </c>
      <c r="U665" t="str">
        <f t="shared" si="54"/>
        <v>Mar</v>
      </c>
    </row>
    <row r="666" spans="1:21">
      <c r="A666" s="2">
        <v>46072</v>
      </c>
      <c r="B666" t="s">
        <v>6</v>
      </c>
      <c r="C666" t="s">
        <v>48</v>
      </c>
      <c r="D666" t="s">
        <v>9</v>
      </c>
      <c r="E666" t="s">
        <v>37</v>
      </c>
      <c r="F666" t="s">
        <v>45</v>
      </c>
      <c r="G666">
        <v>74</v>
      </c>
      <c r="H666">
        <v>54</v>
      </c>
      <c r="I666">
        <v>60</v>
      </c>
      <c r="J666">
        <v>41</v>
      </c>
      <c r="K666">
        <v>376</v>
      </c>
      <c r="L666">
        <v>131.04</v>
      </c>
      <c r="M666">
        <v>2291.1</v>
      </c>
      <c r="N666">
        <v>71619</v>
      </c>
      <c r="O666">
        <v>1528.52</v>
      </c>
      <c r="P666" s="1">
        <v>-0.21</v>
      </c>
      <c r="Q666">
        <f t="shared" si="50"/>
        <v>128</v>
      </c>
      <c r="R666">
        <f t="shared" si="51"/>
        <v>95</v>
      </c>
      <c r="S666" s="1">
        <f t="shared" si="52"/>
        <v>0.53125</v>
      </c>
      <c r="T666">
        <f t="shared" si="53"/>
        <v>1.28</v>
      </c>
      <c r="U666" t="str">
        <f t="shared" si="54"/>
        <v>Feb</v>
      </c>
    </row>
    <row r="667" spans="1:21">
      <c r="A667" s="2">
        <v>46091</v>
      </c>
      <c r="B667" t="s">
        <v>6</v>
      </c>
      <c r="C667" t="s">
        <v>34</v>
      </c>
      <c r="D667" t="s">
        <v>9</v>
      </c>
      <c r="E667" t="s">
        <v>37</v>
      </c>
      <c r="F667" t="s">
        <v>33</v>
      </c>
      <c r="G667">
        <v>82</v>
      </c>
      <c r="H667">
        <v>71</v>
      </c>
      <c r="I667">
        <v>31</v>
      </c>
      <c r="J667">
        <v>99</v>
      </c>
      <c r="K667">
        <v>252</v>
      </c>
      <c r="L667">
        <v>83.59</v>
      </c>
      <c r="M667">
        <v>2337.5700000000002</v>
      </c>
      <c r="N667">
        <v>72791</v>
      </c>
      <c r="O667">
        <v>984.93</v>
      </c>
      <c r="P667" s="1">
        <v>-0.36899999999999999</v>
      </c>
      <c r="Q667">
        <f t="shared" si="50"/>
        <v>153</v>
      </c>
      <c r="R667">
        <f t="shared" si="51"/>
        <v>170</v>
      </c>
      <c r="S667" s="1">
        <f t="shared" si="52"/>
        <v>0.79738562091503273</v>
      </c>
      <c r="T667">
        <f t="shared" si="53"/>
        <v>1.53</v>
      </c>
      <c r="U667" t="str">
        <f t="shared" si="54"/>
        <v>Mar</v>
      </c>
    </row>
    <row r="668" spans="1:21">
      <c r="A668" s="2">
        <v>46068</v>
      </c>
      <c r="B668" t="s">
        <v>6</v>
      </c>
      <c r="C668" t="s">
        <v>36</v>
      </c>
      <c r="D668" t="s">
        <v>10</v>
      </c>
      <c r="E668" t="s">
        <v>42</v>
      </c>
      <c r="F668" t="s">
        <v>33</v>
      </c>
      <c r="G668">
        <v>92</v>
      </c>
      <c r="H668">
        <v>18</v>
      </c>
      <c r="I668">
        <v>38</v>
      </c>
      <c r="J668">
        <v>75</v>
      </c>
      <c r="K668">
        <v>129</v>
      </c>
      <c r="L668">
        <v>114.53</v>
      </c>
      <c r="M668">
        <v>2231.84</v>
      </c>
      <c r="N668">
        <v>69402</v>
      </c>
      <c r="O668">
        <v>1333.22</v>
      </c>
      <c r="P668" s="1">
        <v>0.433</v>
      </c>
      <c r="Q668">
        <f t="shared" si="50"/>
        <v>110</v>
      </c>
      <c r="R668">
        <f t="shared" si="51"/>
        <v>93</v>
      </c>
      <c r="S668" s="1">
        <f t="shared" si="52"/>
        <v>0.65454545454545454</v>
      </c>
      <c r="T668">
        <f t="shared" si="53"/>
        <v>1.1000000000000001</v>
      </c>
      <c r="U668" t="str">
        <f t="shared" si="54"/>
        <v>Feb</v>
      </c>
    </row>
    <row r="669" spans="1:21">
      <c r="A669" s="2">
        <v>46086</v>
      </c>
      <c r="B669" t="s">
        <v>6</v>
      </c>
      <c r="C669" t="s">
        <v>44</v>
      </c>
      <c r="D669" t="s">
        <v>10</v>
      </c>
      <c r="E669" t="s">
        <v>35</v>
      </c>
      <c r="F669" t="s">
        <v>33</v>
      </c>
      <c r="G669">
        <v>0</v>
      </c>
      <c r="H669">
        <v>63</v>
      </c>
      <c r="I669">
        <v>74</v>
      </c>
      <c r="J669">
        <v>79</v>
      </c>
      <c r="K669">
        <v>340</v>
      </c>
      <c r="L669">
        <v>84.76</v>
      </c>
      <c r="M669">
        <v>2176.46</v>
      </c>
      <c r="N669">
        <v>66294</v>
      </c>
      <c r="O669">
        <v>1367.38</v>
      </c>
      <c r="P669" s="1">
        <v>0.36499999999999999</v>
      </c>
      <c r="Q669">
        <f t="shared" si="50"/>
        <v>63</v>
      </c>
      <c r="R669">
        <f t="shared" si="51"/>
        <v>142</v>
      </c>
      <c r="S669" s="1">
        <f t="shared" si="52"/>
        <v>-0.17460317460317459</v>
      </c>
      <c r="T669">
        <f t="shared" si="53"/>
        <v>0.63</v>
      </c>
      <c r="U669" t="str">
        <f t="shared" si="54"/>
        <v>Mar</v>
      </c>
    </row>
    <row r="670" spans="1:21">
      <c r="A670" s="2">
        <v>46077</v>
      </c>
      <c r="B670" t="s">
        <v>6</v>
      </c>
      <c r="C670" t="s">
        <v>50</v>
      </c>
      <c r="D670" t="s">
        <v>10</v>
      </c>
      <c r="E670" t="s">
        <v>42</v>
      </c>
      <c r="F670" t="s">
        <v>49</v>
      </c>
      <c r="G670">
        <v>27</v>
      </c>
      <c r="H670">
        <v>36</v>
      </c>
      <c r="I670">
        <v>10</v>
      </c>
      <c r="J670">
        <v>85</v>
      </c>
      <c r="K670">
        <v>128</v>
      </c>
      <c r="L670">
        <v>110.04</v>
      </c>
      <c r="M670">
        <v>1969.69</v>
      </c>
      <c r="N670">
        <v>66178</v>
      </c>
      <c r="O670">
        <v>972.76</v>
      </c>
      <c r="P670" s="1">
        <v>-0.95399999999999996</v>
      </c>
      <c r="Q670">
        <f t="shared" si="50"/>
        <v>63</v>
      </c>
      <c r="R670">
        <f t="shared" si="51"/>
        <v>121</v>
      </c>
      <c r="S670" s="1">
        <f t="shared" si="52"/>
        <v>0.84126984126984128</v>
      </c>
      <c r="T670">
        <f t="shared" si="53"/>
        <v>0.63</v>
      </c>
      <c r="U670" t="str">
        <f t="shared" si="54"/>
        <v>Feb</v>
      </c>
    </row>
    <row r="671" spans="1:21">
      <c r="A671" s="2">
        <v>46074</v>
      </c>
      <c r="B671" t="s">
        <v>6</v>
      </c>
      <c r="C671" t="s">
        <v>50</v>
      </c>
      <c r="D671" t="s">
        <v>5</v>
      </c>
      <c r="E671" t="s">
        <v>42</v>
      </c>
      <c r="F671" t="s">
        <v>49</v>
      </c>
      <c r="G671">
        <v>74</v>
      </c>
      <c r="H671">
        <v>37</v>
      </c>
      <c r="I671">
        <v>16</v>
      </c>
      <c r="J671">
        <v>29</v>
      </c>
      <c r="K671">
        <v>143</v>
      </c>
      <c r="L671">
        <v>130.13999999999999</v>
      </c>
      <c r="M671">
        <v>2110.2399999999998</v>
      </c>
      <c r="N671">
        <v>67498</v>
      </c>
      <c r="O671">
        <v>974.4</v>
      </c>
      <c r="P671" s="1">
        <v>-0.19500000000000001</v>
      </c>
      <c r="Q671">
        <f t="shared" si="50"/>
        <v>111</v>
      </c>
      <c r="R671">
        <f t="shared" si="51"/>
        <v>66</v>
      </c>
      <c r="S671" s="1">
        <f t="shared" si="52"/>
        <v>0.85585585585585588</v>
      </c>
      <c r="T671">
        <f t="shared" si="53"/>
        <v>1.1100000000000001</v>
      </c>
      <c r="U671" t="str">
        <f t="shared" si="54"/>
        <v>Feb</v>
      </c>
    </row>
    <row r="672" spans="1:21">
      <c r="A672" s="2">
        <v>46085</v>
      </c>
      <c r="B672" t="s">
        <v>6</v>
      </c>
      <c r="C672" t="s">
        <v>40</v>
      </c>
      <c r="D672" t="s">
        <v>10</v>
      </c>
      <c r="E672" t="s">
        <v>47</v>
      </c>
      <c r="F672" t="s">
        <v>45</v>
      </c>
      <c r="G672">
        <v>114</v>
      </c>
      <c r="H672">
        <v>31</v>
      </c>
      <c r="I672">
        <v>9</v>
      </c>
      <c r="J672">
        <v>63</v>
      </c>
      <c r="K672">
        <v>82</v>
      </c>
      <c r="L672">
        <v>116.34</v>
      </c>
      <c r="M672">
        <v>2066.08</v>
      </c>
      <c r="N672">
        <v>75096</v>
      </c>
      <c r="O672">
        <v>1243.58</v>
      </c>
      <c r="P672" s="1">
        <v>0.67800000000000005</v>
      </c>
      <c r="Q672">
        <f t="shared" si="50"/>
        <v>145</v>
      </c>
      <c r="R672">
        <f t="shared" si="51"/>
        <v>94</v>
      </c>
      <c r="S672" s="1">
        <f t="shared" si="52"/>
        <v>0.93793103448275861</v>
      </c>
      <c r="T672">
        <f t="shared" si="53"/>
        <v>1.45</v>
      </c>
      <c r="U672" t="str">
        <f t="shared" si="54"/>
        <v>Mar</v>
      </c>
    </row>
    <row r="673" spans="1:21">
      <c r="A673" s="2">
        <v>46070</v>
      </c>
      <c r="B673" t="s">
        <v>6</v>
      </c>
      <c r="C673" t="s">
        <v>44</v>
      </c>
      <c r="D673" t="s">
        <v>5</v>
      </c>
      <c r="E673" t="s">
        <v>47</v>
      </c>
      <c r="F673" t="s">
        <v>39</v>
      </c>
      <c r="G673">
        <v>66</v>
      </c>
      <c r="H673">
        <v>45</v>
      </c>
      <c r="I673">
        <v>83</v>
      </c>
      <c r="J673">
        <v>81</v>
      </c>
      <c r="K673">
        <v>124</v>
      </c>
      <c r="L673">
        <v>91</v>
      </c>
      <c r="M673">
        <v>2084.98</v>
      </c>
      <c r="N673">
        <v>75033</v>
      </c>
      <c r="O673">
        <v>1305.8</v>
      </c>
      <c r="P673" s="1">
        <v>-0.51300000000000001</v>
      </c>
      <c r="Q673">
        <f t="shared" si="50"/>
        <v>111</v>
      </c>
      <c r="R673">
        <f t="shared" si="51"/>
        <v>126</v>
      </c>
      <c r="S673" s="1">
        <f t="shared" si="52"/>
        <v>0.25225225225225223</v>
      </c>
      <c r="T673">
        <f t="shared" si="53"/>
        <v>1.1100000000000001</v>
      </c>
      <c r="U673" t="str">
        <f t="shared" si="54"/>
        <v>Feb</v>
      </c>
    </row>
    <row r="674" spans="1:21">
      <c r="A674" s="2">
        <v>46082</v>
      </c>
      <c r="B674" t="s">
        <v>4</v>
      </c>
      <c r="C674" t="s">
        <v>44</v>
      </c>
      <c r="D674" t="s">
        <v>9</v>
      </c>
      <c r="E674" t="s">
        <v>38</v>
      </c>
      <c r="F674" t="s">
        <v>39</v>
      </c>
      <c r="G674">
        <v>37</v>
      </c>
      <c r="H674">
        <v>71</v>
      </c>
      <c r="I674">
        <v>88</v>
      </c>
      <c r="J674">
        <v>75</v>
      </c>
      <c r="K674">
        <v>227</v>
      </c>
      <c r="L674">
        <v>122.28</v>
      </c>
      <c r="M674">
        <v>1922.42</v>
      </c>
      <c r="N674">
        <v>71362</v>
      </c>
      <c r="O674">
        <v>1080.71</v>
      </c>
      <c r="P674" s="1">
        <v>-0.88700000000000001</v>
      </c>
      <c r="Q674">
        <f t="shared" si="50"/>
        <v>108</v>
      </c>
      <c r="R674">
        <f t="shared" si="51"/>
        <v>146</v>
      </c>
      <c r="S674" s="1">
        <f t="shared" si="52"/>
        <v>0.18518518518518517</v>
      </c>
      <c r="T674">
        <f t="shared" si="53"/>
        <v>1.08</v>
      </c>
      <c r="U674" t="str">
        <f t="shared" si="54"/>
        <v>Mar</v>
      </c>
    </row>
    <row r="675" spans="1:21">
      <c r="A675" s="2">
        <v>46114</v>
      </c>
      <c r="B675" t="s">
        <v>4</v>
      </c>
      <c r="C675" t="s">
        <v>40</v>
      </c>
      <c r="D675" t="s">
        <v>11</v>
      </c>
      <c r="E675" t="s">
        <v>41</v>
      </c>
      <c r="F675" t="s">
        <v>33</v>
      </c>
      <c r="G675">
        <v>80</v>
      </c>
      <c r="H675">
        <v>18</v>
      </c>
      <c r="I675">
        <v>57</v>
      </c>
      <c r="J675">
        <v>87</v>
      </c>
      <c r="K675">
        <v>432</v>
      </c>
      <c r="L675">
        <v>132.38999999999999</v>
      </c>
      <c r="M675">
        <v>1903.16</v>
      </c>
      <c r="N675">
        <v>66503</v>
      </c>
      <c r="O675">
        <v>1205.52</v>
      </c>
      <c r="P675" s="1">
        <v>-0.34</v>
      </c>
      <c r="Q675">
        <f t="shared" si="50"/>
        <v>98</v>
      </c>
      <c r="R675">
        <f t="shared" si="51"/>
        <v>105</v>
      </c>
      <c r="S675" s="1">
        <f t="shared" si="52"/>
        <v>0.41836734693877553</v>
      </c>
      <c r="T675">
        <f t="shared" si="53"/>
        <v>0.98</v>
      </c>
      <c r="U675" t="str">
        <f t="shared" si="54"/>
        <v>Apr</v>
      </c>
    </row>
    <row r="676" spans="1:21">
      <c r="A676" s="2">
        <v>46070</v>
      </c>
      <c r="B676" t="s">
        <v>6</v>
      </c>
      <c r="C676" t="s">
        <v>50</v>
      </c>
      <c r="D676" t="s">
        <v>7</v>
      </c>
      <c r="E676" t="s">
        <v>47</v>
      </c>
      <c r="F676" t="s">
        <v>49</v>
      </c>
      <c r="G676">
        <v>19</v>
      </c>
      <c r="H676">
        <v>62</v>
      </c>
      <c r="I676">
        <v>24</v>
      </c>
      <c r="J676">
        <v>80</v>
      </c>
      <c r="K676">
        <v>50</v>
      </c>
      <c r="L676">
        <v>125.04</v>
      </c>
      <c r="M676">
        <v>1922.52</v>
      </c>
      <c r="N676">
        <v>71403</v>
      </c>
      <c r="O676">
        <v>1377.38</v>
      </c>
      <c r="P676" s="1">
        <v>-0.86099999999999999</v>
      </c>
      <c r="Q676">
        <f t="shared" si="50"/>
        <v>81</v>
      </c>
      <c r="R676">
        <f t="shared" si="51"/>
        <v>142</v>
      </c>
      <c r="S676" s="1">
        <f t="shared" si="52"/>
        <v>0.70370370370370372</v>
      </c>
      <c r="T676">
        <f t="shared" si="53"/>
        <v>0.81</v>
      </c>
      <c r="U676" t="str">
        <f t="shared" si="54"/>
        <v>Feb</v>
      </c>
    </row>
    <row r="677" spans="1:21">
      <c r="A677" s="2">
        <v>46099</v>
      </c>
      <c r="B677" t="s">
        <v>4</v>
      </c>
      <c r="C677" t="s">
        <v>50</v>
      </c>
      <c r="D677" t="s">
        <v>10</v>
      </c>
      <c r="E677" t="s">
        <v>32</v>
      </c>
      <c r="F677" t="s">
        <v>39</v>
      </c>
      <c r="G677">
        <v>17</v>
      </c>
      <c r="H677">
        <v>33</v>
      </c>
      <c r="I677">
        <v>86</v>
      </c>
      <c r="J677">
        <v>28</v>
      </c>
      <c r="K677">
        <v>28</v>
      </c>
      <c r="L677">
        <v>103.77</v>
      </c>
      <c r="M677">
        <v>2361.09</v>
      </c>
      <c r="N677">
        <v>64798</v>
      </c>
      <c r="O677">
        <v>1536.73</v>
      </c>
      <c r="P677" s="1">
        <v>0.10299999999999999</v>
      </c>
      <c r="Q677">
        <f t="shared" si="50"/>
        <v>50</v>
      </c>
      <c r="R677">
        <f t="shared" si="51"/>
        <v>61</v>
      </c>
      <c r="S677" s="1">
        <f t="shared" si="52"/>
        <v>-0.72</v>
      </c>
      <c r="T677">
        <f t="shared" si="53"/>
        <v>0.5</v>
      </c>
      <c r="U677" t="str">
        <f t="shared" si="54"/>
        <v>Mar</v>
      </c>
    </row>
    <row r="678" spans="1:21">
      <c r="A678" s="2">
        <v>46076</v>
      </c>
      <c r="B678" t="s">
        <v>4</v>
      </c>
      <c r="C678" t="s">
        <v>40</v>
      </c>
      <c r="D678" t="s">
        <v>11</v>
      </c>
      <c r="E678" t="s">
        <v>42</v>
      </c>
      <c r="F678" t="s">
        <v>45</v>
      </c>
      <c r="G678">
        <v>112</v>
      </c>
      <c r="H678">
        <v>17</v>
      </c>
      <c r="I678">
        <v>50</v>
      </c>
      <c r="J678">
        <v>105</v>
      </c>
      <c r="K678">
        <v>148</v>
      </c>
      <c r="L678">
        <v>134.9</v>
      </c>
      <c r="M678">
        <v>2036.36</v>
      </c>
      <c r="N678">
        <v>66629</v>
      </c>
      <c r="O678">
        <v>1598.91</v>
      </c>
      <c r="P678" s="1">
        <v>-0.65</v>
      </c>
      <c r="Q678">
        <f t="shared" si="50"/>
        <v>129</v>
      </c>
      <c r="R678">
        <f t="shared" si="51"/>
        <v>122</v>
      </c>
      <c r="S678" s="1">
        <f t="shared" si="52"/>
        <v>0.61240310077519378</v>
      </c>
      <c r="T678">
        <f t="shared" si="53"/>
        <v>1.29</v>
      </c>
      <c r="U678" t="str">
        <f t="shared" si="54"/>
        <v>Feb</v>
      </c>
    </row>
    <row r="679" spans="1:21">
      <c r="A679" s="2">
        <v>46081</v>
      </c>
      <c r="B679" t="s">
        <v>6</v>
      </c>
      <c r="C679" t="s">
        <v>43</v>
      </c>
      <c r="D679" t="s">
        <v>11</v>
      </c>
      <c r="E679" t="s">
        <v>47</v>
      </c>
      <c r="F679" t="s">
        <v>39</v>
      </c>
      <c r="G679">
        <v>46</v>
      </c>
      <c r="H679">
        <v>35</v>
      </c>
      <c r="I679">
        <v>16</v>
      </c>
      <c r="J679">
        <v>96</v>
      </c>
      <c r="K679">
        <v>406</v>
      </c>
      <c r="L679">
        <v>124.28</v>
      </c>
      <c r="M679">
        <v>1937.02</v>
      </c>
      <c r="N679">
        <v>67368</v>
      </c>
      <c r="O679">
        <v>1425.28</v>
      </c>
      <c r="P679" s="1">
        <v>0.67500000000000004</v>
      </c>
      <c r="Q679">
        <f t="shared" si="50"/>
        <v>81</v>
      </c>
      <c r="R679">
        <f t="shared" si="51"/>
        <v>131</v>
      </c>
      <c r="S679" s="1">
        <f t="shared" si="52"/>
        <v>0.80246913580246915</v>
      </c>
      <c r="T679">
        <f t="shared" si="53"/>
        <v>0.81</v>
      </c>
      <c r="U679" t="str">
        <f t="shared" si="54"/>
        <v>Feb</v>
      </c>
    </row>
    <row r="680" spans="1:21">
      <c r="A680" s="2">
        <v>46096</v>
      </c>
      <c r="B680" t="s">
        <v>6</v>
      </c>
      <c r="C680" t="s">
        <v>36</v>
      </c>
      <c r="D680" t="s">
        <v>5</v>
      </c>
      <c r="E680" t="s">
        <v>32</v>
      </c>
      <c r="F680" t="s">
        <v>33</v>
      </c>
      <c r="G680">
        <v>68</v>
      </c>
      <c r="H680">
        <v>79</v>
      </c>
      <c r="I680">
        <v>89</v>
      </c>
      <c r="J680">
        <v>109</v>
      </c>
      <c r="K680">
        <v>442</v>
      </c>
      <c r="L680">
        <v>109.75</v>
      </c>
      <c r="M680">
        <v>1994.15</v>
      </c>
      <c r="N680">
        <v>74659</v>
      </c>
      <c r="O680">
        <v>1515.61</v>
      </c>
      <c r="P680" s="1">
        <v>-0.40400000000000003</v>
      </c>
      <c r="Q680">
        <f t="shared" si="50"/>
        <v>147</v>
      </c>
      <c r="R680">
        <f t="shared" si="51"/>
        <v>188</v>
      </c>
      <c r="S680" s="1">
        <f t="shared" si="52"/>
        <v>0.39455782312925169</v>
      </c>
      <c r="T680">
        <f t="shared" si="53"/>
        <v>1.47</v>
      </c>
      <c r="U680" t="str">
        <f t="shared" si="54"/>
        <v>Mar</v>
      </c>
    </row>
    <row r="681" spans="1:21">
      <c r="A681" s="2">
        <v>46109</v>
      </c>
      <c r="B681" t="s">
        <v>4</v>
      </c>
      <c r="C681" t="s">
        <v>46</v>
      </c>
      <c r="D681" t="s">
        <v>7</v>
      </c>
      <c r="E681" t="s">
        <v>37</v>
      </c>
      <c r="F681" t="s">
        <v>33</v>
      </c>
      <c r="G681">
        <v>66</v>
      </c>
      <c r="H681">
        <v>36</v>
      </c>
      <c r="I681">
        <v>68</v>
      </c>
      <c r="J681">
        <v>88</v>
      </c>
      <c r="K681">
        <v>193</v>
      </c>
      <c r="L681">
        <v>89.94</v>
      </c>
      <c r="M681">
        <v>2268.16</v>
      </c>
      <c r="N681">
        <v>70193</v>
      </c>
      <c r="O681">
        <v>1661.47</v>
      </c>
      <c r="P681" s="1">
        <v>0.29799999999999999</v>
      </c>
      <c r="Q681">
        <f t="shared" si="50"/>
        <v>102</v>
      </c>
      <c r="R681">
        <f t="shared" si="51"/>
        <v>124</v>
      </c>
      <c r="S681" s="1">
        <f t="shared" si="52"/>
        <v>0.33333333333333331</v>
      </c>
      <c r="T681">
        <f t="shared" si="53"/>
        <v>1.02</v>
      </c>
      <c r="U681" t="str">
        <f t="shared" si="54"/>
        <v>Mar</v>
      </c>
    </row>
    <row r="682" spans="1:21">
      <c r="A682" s="2">
        <v>46094</v>
      </c>
      <c r="B682" t="s">
        <v>6</v>
      </c>
      <c r="C682" t="s">
        <v>34</v>
      </c>
      <c r="D682" t="s">
        <v>11</v>
      </c>
      <c r="E682" t="s">
        <v>37</v>
      </c>
      <c r="F682" t="s">
        <v>49</v>
      </c>
      <c r="G682">
        <v>56</v>
      </c>
      <c r="H682">
        <v>16</v>
      </c>
      <c r="I682">
        <v>25</v>
      </c>
      <c r="J682">
        <v>67</v>
      </c>
      <c r="K682">
        <v>408</v>
      </c>
      <c r="L682">
        <v>131.81</v>
      </c>
      <c r="M682">
        <v>2280.59</v>
      </c>
      <c r="N682">
        <v>67083</v>
      </c>
      <c r="O682">
        <v>1728.7</v>
      </c>
      <c r="P682" s="1">
        <v>0.48199999999999998</v>
      </c>
      <c r="Q682">
        <f t="shared" si="50"/>
        <v>72</v>
      </c>
      <c r="R682">
        <f t="shared" si="51"/>
        <v>83</v>
      </c>
      <c r="S682" s="1">
        <f t="shared" si="52"/>
        <v>0.65277777777777779</v>
      </c>
      <c r="T682">
        <f t="shared" si="53"/>
        <v>0.72</v>
      </c>
      <c r="U682" t="str">
        <f t="shared" si="54"/>
        <v>Mar</v>
      </c>
    </row>
    <row r="683" spans="1:21">
      <c r="A683" s="2">
        <v>46107</v>
      </c>
      <c r="B683" t="s">
        <v>6</v>
      </c>
      <c r="C683" t="s">
        <v>43</v>
      </c>
      <c r="D683" t="s">
        <v>5</v>
      </c>
      <c r="E683" t="s">
        <v>32</v>
      </c>
      <c r="F683" t="s">
        <v>33</v>
      </c>
      <c r="G683">
        <v>24</v>
      </c>
      <c r="H683">
        <v>39</v>
      </c>
      <c r="I683">
        <v>18</v>
      </c>
      <c r="J683">
        <v>12</v>
      </c>
      <c r="K683">
        <v>123</v>
      </c>
      <c r="L683">
        <v>139.86000000000001</v>
      </c>
      <c r="M683">
        <v>1872.13</v>
      </c>
      <c r="N683">
        <v>64490</v>
      </c>
      <c r="O683">
        <v>1158.8900000000001</v>
      </c>
      <c r="P683" s="1">
        <v>-0.23799999999999999</v>
      </c>
      <c r="Q683">
        <f t="shared" si="50"/>
        <v>63</v>
      </c>
      <c r="R683">
        <f t="shared" si="51"/>
        <v>51</v>
      </c>
      <c r="S683" s="1">
        <f t="shared" si="52"/>
        <v>0.7142857142857143</v>
      </c>
      <c r="T683">
        <f t="shared" si="53"/>
        <v>0.63</v>
      </c>
      <c r="U683" t="str">
        <f t="shared" si="54"/>
        <v>Mar</v>
      </c>
    </row>
    <row r="684" spans="1:21">
      <c r="A684" s="2">
        <v>46086</v>
      </c>
      <c r="B684" t="s">
        <v>6</v>
      </c>
      <c r="C684" t="s">
        <v>46</v>
      </c>
      <c r="D684" t="s">
        <v>11</v>
      </c>
      <c r="E684" t="s">
        <v>37</v>
      </c>
      <c r="F684" t="s">
        <v>33</v>
      </c>
      <c r="G684">
        <v>54</v>
      </c>
      <c r="H684">
        <v>10</v>
      </c>
      <c r="I684">
        <v>74</v>
      </c>
      <c r="J684">
        <v>3</v>
      </c>
      <c r="K684">
        <v>404</v>
      </c>
      <c r="L684">
        <v>80.19</v>
      </c>
      <c r="M684">
        <v>2021.71</v>
      </c>
      <c r="N684">
        <v>74196</v>
      </c>
      <c r="O684">
        <v>1249.97</v>
      </c>
      <c r="P684" s="1">
        <v>0.33500000000000002</v>
      </c>
      <c r="Q684">
        <f t="shared" si="50"/>
        <v>64</v>
      </c>
      <c r="R684">
        <f t="shared" si="51"/>
        <v>13</v>
      </c>
      <c r="S684" s="1">
        <f t="shared" si="52"/>
        <v>-0.15625</v>
      </c>
      <c r="T684">
        <f t="shared" si="53"/>
        <v>0.64</v>
      </c>
      <c r="U684" t="str">
        <f t="shared" si="54"/>
        <v>Mar</v>
      </c>
    </row>
    <row r="685" spans="1:21">
      <c r="A685" s="2">
        <v>46088</v>
      </c>
      <c r="B685" t="s">
        <v>6</v>
      </c>
      <c r="C685" t="s">
        <v>40</v>
      </c>
      <c r="D685" t="s">
        <v>11</v>
      </c>
      <c r="E685" t="s">
        <v>35</v>
      </c>
      <c r="F685" t="s">
        <v>39</v>
      </c>
      <c r="G685">
        <v>17</v>
      </c>
      <c r="H685">
        <v>26</v>
      </c>
      <c r="I685">
        <v>12</v>
      </c>
      <c r="J685">
        <v>42</v>
      </c>
      <c r="K685">
        <v>357</v>
      </c>
      <c r="L685">
        <v>120.39</v>
      </c>
      <c r="M685">
        <v>2227.3000000000002</v>
      </c>
      <c r="N685">
        <v>66385</v>
      </c>
      <c r="O685">
        <v>1613.82</v>
      </c>
      <c r="P685" s="1">
        <v>-0.68</v>
      </c>
      <c r="Q685">
        <f t="shared" si="50"/>
        <v>43</v>
      </c>
      <c r="R685">
        <f t="shared" si="51"/>
        <v>68</v>
      </c>
      <c r="S685" s="1">
        <f t="shared" si="52"/>
        <v>0.72093023255813948</v>
      </c>
      <c r="T685">
        <f t="shared" si="53"/>
        <v>0.43</v>
      </c>
      <c r="U685" t="str">
        <f t="shared" si="54"/>
        <v>Mar</v>
      </c>
    </row>
    <row r="686" spans="1:21">
      <c r="A686" s="2">
        <v>46091</v>
      </c>
      <c r="B686" t="s">
        <v>4</v>
      </c>
      <c r="C686" t="s">
        <v>34</v>
      </c>
      <c r="D686" t="s">
        <v>11</v>
      </c>
      <c r="E686" t="s">
        <v>38</v>
      </c>
      <c r="F686" t="s">
        <v>39</v>
      </c>
      <c r="G686">
        <v>17</v>
      </c>
      <c r="H686">
        <v>72</v>
      </c>
      <c r="I686">
        <v>35</v>
      </c>
      <c r="J686">
        <v>27</v>
      </c>
      <c r="K686">
        <v>300</v>
      </c>
      <c r="L686">
        <v>106.84</v>
      </c>
      <c r="M686">
        <v>1879.4</v>
      </c>
      <c r="N686">
        <v>67261</v>
      </c>
      <c r="O686">
        <v>1281.1600000000001</v>
      </c>
      <c r="P686" s="1">
        <v>2.9000000000000001E-2</v>
      </c>
      <c r="Q686">
        <f t="shared" si="50"/>
        <v>89</v>
      </c>
      <c r="R686">
        <f t="shared" si="51"/>
        <v>99</v>
      </c>
      <c r="S686" s="1">
        <f t="shared" si="52"/>
        <v>0.6067415730337079</v>
      </c>
      <c r="T686">
        <f t="shared" si="53"/>
        <v>0.89</v>
      </c>
      <c r="U686" t="str">
        <f t="shared" si="54"/>
        <v>Mar</v>
      </c>
    </row>
    <row r="687" spans="1:21">
      <c r="A687" s="2">
        <v>46123</v>
      </c>
      <c r="B687" t="s">
        <v>6</v>
      </c>
      <c r="C687" t="s">
        <v>46</v>
      </c>
      <c r="D687" t="s">
        <v>5</v>
      </c>
      <c r="E687" t="s">
        <v>41</v>
      </c>
      <c r="F687" t="s">
        <v>45</v>
      </c>
      <c r="G687">
        <v>102</v>
      </c>
      <c r="H687">
        <v>68</v>
      </c>
      <c r="I687">
        <v>28</v>
      </c>
      <c r="J687">
        <v>19</v>
      </c>
      <c r="K687">
        <v>171</v>
      </c>
      <c r="L687">
        <v>104.8</v>
      </c>
      <c r="M687">
        <v>1911.53</v>
      </c>
      <c r="N687">
        <v>70864</v>
      </c>
      <c r="O687">
        <v>1582.1</v>
      </c>
      <c r="P687" s="1">
        <v>-0.72599999999999998</v>
      </c>
      <c r="Q687">
        <f t="shared" si="50"/>
        <v>170</v>
      </c>
      <c r="R687">
        <f t="shared" si="51"/>
        <v>87</v>
      </c>
      <c r="S687" s="1">
        <f t="shared" si="52"/>
        <v>0.83529411764705885</v>
      </c>
      <c r="T687">
        <f t="shared" si="53"/>
        <v>1.7</v>
      </c>
      <c r="U687" t="str">
        <f t="shared" si="54"/>
        <v>Apr</v>
      </c>
    </row>
    <row r="688" spans="1:21">
      <c r="A688" s="2">
        <v>46096</v>
      </c>
      <c r="B688" t="s">
        <v>4</v>
      </c>
      <c r="C688" t="s">
        <v>50</v>
      </c>
      <c r="D688" t="s">
        <v>9</v>
      </c>
      <c r="E688" t="s">
        <v>42</v>
      </c>
      <c r="F688" t="s">
        <v>49</v>
      </c>
      <c r="G688">
        <v>19</v>
      </c>
      <c r="H688">
        <v>44</v>
      </c>
      <c r="I688">
        <v>10</v>
      </c>
      <c r="J688">
        <v>118</v>
      </c>
      <c r="K688">
        <v>79</v>
      </c>
      <c r="L688">
        <v>135.47999999999999</v>
      </c>
      <c r="M688">
        <v>1851.14</v>
      </c>
      <c r="N688">
        <v>73871</v>
      </c>
      <c r="O688">
        <v>1321.1</v>
      </c>
      <c r="P688" s="1">
        <v>-0.97499999999999998</v>
      </c>
      <c r="Q688">
        <f t="shared" si="50"/>
        <v>63</v>
      </c>
      <c r="R688">
        <f t="shared" si="51"/>
        <v>162</v>
      </c>
      <c r="S688" s="1">
        <f t="shared" si="52"/>
        <v>0.84126984126984128</v>
      </c>
      <c r="T688">
        <f t="shared" si="53"/>
        <v>0.63</v>
      </c>
      <c r="U688" t="str">
        <f t="shared" si="54"/>
        <v>Mar</v>
      </c>
    </row>
    <row r="689" spans="1:21">
      <c r="A689" s="2">
        <v>46096</v>
      </c>
      <c r="B689" t="s">
        <v>4</v>
      </c>
      <c r="C689" t="s">
        <v>40</v>
      </c>
      <c r="D689" t="s">
        <v>7</v>
      </c>
      <c r="E689" t="s">
        <v>47</v>
      </c>
      <c r="F689" t="s">
        <v>49</v>
      </c>
      <c r="G689">
        <v>44</v>
      </c>
      <c r="H689">
        <v>77</v>
      </c>
      <c r="I689">
        <v>36</v>
      </c>
      <c r="J689">
        <v>88</v>
      </c>
      <c r="K689">
        <v>349</v>
      </c>
      <c r="L689">
        <v>135.26</v>
      </c>
      <c r="M689">
        <v>2319.46</v>
      </c>
      <c r="N689">
        <v>71576</v>
      </c>
      <c r="O689">
        <v>1026.5999999999999</v>
      </c>
      <c r="P689" s="1">
        <v>-0.96699999999999997</v>
      </c>
      <c r="Q689">
        <f t="shared" si="50"/>
        <v>121</v>
      </c>
      <c r="R689">
        <f t="shared" si="51"/>
        <v>165</v>
      </c>
      <c r="S689" s="1">
        <f t="shared" si="52"/>
        <v>0.7024793388429752</v>
      </c>
      <c r="T689">
        <f t="shared" si="53"/>
        <v>1.21</v>
      </c>
      <c r="U689" t="str">
        <f t="shared" si="54"/>
        <v>Mar</v>
      </c>
    </row>
    <row r="690" spans="1:21">
      <c r="A690" s="2">
        <v>46127</v>
      </c>
      <c r="B690" t="s">
        <v>6</v>
      </c>
      <c r="C690" t="s">
        <v>44</v>
      </c>
      <c r="D690" t="s">
        <v>5</v>
      </c>
      <c r="E690" t="s">
        <v>41</v>
      </c>
      <c r="F690" t="s">
        <v>45</v>
      </c>
      <c r="G690">
        <v>106</v>
      </c>
      <c r="H690">
        <v>67</v>
      </c>
      <c r="I690">
        <v>88</v>
      </c>
      <c r="J690">
        <v>139</v>
      </c>
      <c r="K690">
        <v>84</v>
      </c>
      <c r="L690">
        <v>84.25</v>
      </c>
      <c r="M690">
        <v>2310.04</v>
      </c>
      <c r="N690">
        <v>71879</v>
      </c>
      <c r="O690">
        <v>1057.57</v>
      </c>
      <c r="P690" s="1">
        <v>0.36</v>
      </c>
      <c r="Q690">
        <f t="shared" si="50"/>
        <v>173</v>
      </c>
      <c r="R690">
        <f t="shared" si="51"/>
        <v>206</v>
      </c>
      <c r="S690" s="1">
        <f t="shared" si="52"/>
        <v>0.4913294797687861</v>
      </c>
      <c r="T690">
        <f t="shared" si="53"/>
        <v>1.73</v>
      </c>
      <c r="U690" t="str">
        <f t="shared" si="54"/>
        <v>Apr</v>
      </c>
    </row>
    <row r="691" spans="1:21">
      <c r="A691" s="2">
        <v>46125</v>
      </c>
      <c r="B691" t="s">
        <v>6</v>
      </c>
      <c r="C691" t="s">
        <v>48</v>
      </c>
      <c r="D691" t="s">
        <v>9</v>
      </c>
      <c r="E691" t="s">
        <v>37</v>
      </c>
      <c r="F691" t="s">
        <v>39</v>
      </c>
      <c r="G691">
        <v>15</v>
      </c>
      <c r="H691">
        <v>23</v>
      </c>
      <c r="I691">
        <v>50</v>
      </c>
      <c r="J691">
        <v>134</v>
      </c>
      <c r="K691">
        <v>39</v>
      </c>
      <c r="L691">
        <v>99.4</v>
      </c>
      <c r="M691">
        <v>2478.7399999999998</v>
      </c>
      <c r="N691">
        <v>64059</v>
      </c>
      <c r="O691">
        <v>1770.58</v>
      </c>
      <c r="P691" s="1">
        <v>0.70599999999999996</v>
      </c>
      <c r="Q691">
        <f t="shared" si="50"/>
        <v>38</v>
      </c>
      <c r="R691">
        <f t="shared" si="51"/>
        <v>157</v>
      </c>
      <c r="S691" s="1">
        <f t="shared" si="52"/>
        <v>-0.31578947368421051</v>
      </c>
      <c r="T691">
        <f t="shared" si="53"/>
        <v>0.38</v>
      </c>
      <c r="U691" t="str">
        <f t="shared" si="54"/>
        <v>Apr</v>
      </c>
    </row>
    <row r="692" spans="1:21">
      <c r="A692" s="2">
        <v>46083</v>
      </c>
      <c r="B692" t="s">
        <v>4</v>
      </c>
      <c r="C692" t="s">
        <v>40</v>
      </c>
      <c r="D692" t="s">
        <v>9</v>
      </c>
      <c r="E692" t="s">
        <v>38</v>
      </c>
      <c r="F692" t="s">
        <v>49</v>
      </c>
      <c r="G692">
        <v>13</v>
      </c>
      <c r="H692">
        <v>34</v>
      </c>
      <c r="I692">
        <v>14</v>
      </c>
      <c r="J692">
        <v>116</v>
      </c>
      <c r="K692">
        <v>30</v>
      </c>
      <c r="L692">
        <v>119.62</v>
      </c>
      <c r="M692">
        <v>2066.29</v>
      </c>
      <c r="N692">
        <v>67963</v>
      </c>
      <c r="O692">
        <v>941.25</v>
      </c>
      <c r="P692" s="1">
        <v>-0.57799999999999996</v>
      </c>
      <c r="Q692">
        <f t="shared" si="50"/>
        <v>47</v>
      </c>
      <c r="R692">
        <f t="shared" si="51"/>
        <v>150</v>
      </c>
      <c r="S692" s="1">
        <f t="shared" si="52"/>
        <v>0.7021276595744681</v>
      </c>
      <c r="T692">
        <f t="shared" si="53"/>
        <v>0.47</v>
      </c>
      <c r="U692" t="str">
        <f t="shared" si="54"/>
        <v>Mar</v>
      </c>
    </row>
    <row r="693" spans="1:21">
      <c r="A693" s="2">
        <v>46113</v>
      </c>
      <c r="B693" t="s">
        <v>6</v>
      </c>
      <c r="C693" t="s">
        <v>46</v>
      </c>
      <c r="D693" t="s">
        <v>7</v>
      </c>
      <c r="E693" t="s">
        <v>47</v>
      </c>
      <c r="F693" t="s">
        <v>49</v>
      </c>
      <c r="G693">
        <v>9</v>
      </c>
      <c r="H693">
        <v>76</v>
      </c>
      <c r="I693">
        <v>56</v>
      </c>
      <c r="J693">
        <v>9</v>
      </c>
      <c r="K693">
        <v>42</v>
      </c>
      <c r="L693">
        <v>111.35</v>
      </c>
      <c r="M693">
        <v>2349.37</v>
      </c>
      <c r="N693">
        <v>73495</v>
      </c>
      <c r="O693">
        <v>1335.4</v>
      </c>
      <c r="P693" s="1">
        <v>0.40300000000000002</v>
      </c>
      <c r="Q693">
        <f t="shared" si="50"/>
        <v>85</v>
      </c>
      <c r="R693">
        <f t="shared" si="51"/>
        <v>85</v>
      </c>
      <c r="S693" s="1">
        <f t="shared" si="52"/>
        <v>0.3411764705882353</v>
      </c>
      <c r="T693">
        <f t="shared" si="53"/>
        <v>0.85</v>
      </c>
      <c r="U693" t="str">
        <f t="shared" si="54"/>
        <v>Apr</v>
      </c>
    </row>
    <row r="694" spans="1:21">
      <c r="A694" s="2">
        <v>46101</v>
      </c>
      <c r="B694" t="s">
        <v>4</v>
      </c>
      <c r="C694" t="s">
        <v>40</v>
      </c>
      <c r="D694" t="s">
        <v>7</v>
      </c>
      <c r="E694" t="s">
        <v>38</v>
      </c>
      <c r="F694" t="s">
        <v>39</v>
      </c>
      <c r="G694">
        <v>40</v>
      </c>
      <c r="H694">
        <v>65</v>
      </c>
      <c r="I694">
        <v>72</v>
      </c>
      <c r="J694">
        <v>56</v>
      </c>
      <c r="K694">
        <v>396</v>
      </c>
      <c r="L694">
        <v>95.73</v>
      </c>
      <c r="M694">
        <v>2363.34</v>
      </c>
      <c r="N694">
        <v>65354</v>
      </c>
      <c r="O694">
        <v>1638.26</v>
      </c>
      <c r="P694" s="1">
        <v>0.184</v>
      </c>
      <c r="Q694">
        <f t="shared" si="50"/>
        <v>105</v>
      </c>
      <c r="R694">
        <f t="shared" si="51"/>
        <v>121</v>
      </c>
      <c r="S694" s="1">
        <f t="shared" si="52"/>
        <v>0.31428571428571428</v>
      </c>
      <c r="T694">
        <f t="shared" si="53"/>
        <v>1.05</v>
      </c>
      <c r="U694" t="str">
        <f t="shared" si="54"/>
        <v>Mar</v>
      </c>
    </row>
    <row r="695" spans="1:21">
      <c r="A695" s="2">
        <v>46068</v>
      </c>
      <c r="B695" t="s">
        <v>6</v>
      </c>
      <c r="C695" t="s">
        <v>46</v>
      </c>
      <c r="D695" t="s">
        <v>5</v>
      </c>
      <c r="E695" t="s">
        <v>41</v>
      </c>
      <c r="F695" t="s">
        <v>39</v>
      </c>
      <c r="G695">
        <v>9</v>
      </c>
      <c r="H695">
        <v>4</v>
      </c>
      <c r="I695">
        <v>1</v>
      </c>
      <c r="J695">
        <v>131</v>
      </c>
      <c r="K695">
        <v>340</v>
      </c>
      <c r="L695">
        <v>106.03</v>
      </c>
      <c r="M695">
        <v>2257.85</v>
      </c>
      <c r="N695">
        <v>68608</v>
      </c>
      <c r="O695">
        <v>1304.0899999999999</v>
      </c>
      <c r="P695" s="1">
        <v>0.313</v>
      </c>
      <c r="Q695">
        <f t="shared" si="50"/>
        <v>13</v>
      </c>
      <c r="R695">
        <f t="shared" si="51"/>
        <v>135</v>
      </c>
      <c r="S695" s="1">
        <f t="shared" si="52"/>
        <v>0.92307692307692313</v>
      </c>
      <c r="T695">
        <f t="shared" si="53"/>
        <v>0.13</v>
      </c>
      <c r="U695" t="str">
        <f t="shared" si="54"/>
        <v>Feb</v>
      </c>
    </row>
    <row r="696" spans="1:21">
      <c r="A696" s="2">
        <v>46069</v>
      </c>
      <c r="B696" t="s">
        <v>6</v>
      </c>
      <c r="C696" t="s">
        <v>50</v>
      </c>
      <c r="D696" t="s">
        <v>5</v>
      </c>
      <c r="E696" t="s">
        <v>47</v>
      </c>
      <c r="F696" t="s">
        <v>45</v>
      </c>
      <c r="G696">
        <v>72</v>
      </c>
      <c r="H696">
        <v>36</v>
      </c>
      <c r="I696">
        <v>34</v>
      </c>
      <c r="J696">
        <v>50</v>
      </c>
      <c r="K696">
        <v>345</v>
      </c>
      <c r="L696">
        <v>123.5</v>
      </c>
      <c r="M696">
        <v>2453.94</v>
      </c>
      <c r="N696">
        <v>72091</v>
      </c>
      <c r="O696">
        <v>1598.25</v>
      </c>
      <c r="P696" s="1">
        <v>-0.54600000000000004</v>
      </c>
      <c r="Q696">
        <f t="shared" si="50"/>
        <v>108</v>
      </c>
      <c r="R696">
        <f t="shared" si="51"/>
        <v>86</v>
      </c>
      <c r="S696" s="1">
        <f t="shared" si="52"/>
        <v>0.68518518518518523</v>
      </c>
      <c r="T696">
        <f t="shared" si="53"/>
        <v>1.08</v>
      </c>
      <c r="U696" t="str">
        <f t="shared" si="54"/>
        <v>Feb</v>
      </c>
    </row>
    <row r="697" spans="1:21">
      <c r="A697" s="2">
        <v>46092</v>
      </c>
      <c r="B697" t="s">
        <v>6</v>
      </c>
      <c r="C697" t="s">
        <v>43</v>
      </c>
      <c r="D697" t="s">
        <v>5</v>
      </c>
      <c r="E697" t="s">
        <v>38</v>
      </c>
      <c r="F697" t="s">
        <v>39</v>
      </c>
      <c r="G697">
        <v>100</v>
      </c>
      <c r="H697">
        <v>57</v>
      </c>
      <c r="I697">
        <v>7</v>
      </c>
      <c r="J697">
        <v>131</v>
      </c>
      <c r="K697">
        <v>186</v>
      </c>
      <c r="L697">
        <v>138.11000000000001</v>
      </c>
      <c r="M697">
        <v>1950.14</v>
      </c>
      <c r="N697">
        <v>67423</v>
      </c>
      <c r="O697">
        <v>1586.07</v>
      </c>
      <c r="P697" s="1">
        <v>-0.82</v>
      </c>
      <c r="Q697">
        <f t="shared" si="50"/>
        <v>157</v>
      </c>
      <c r="R697">
        <f t="shared" si="51"/>
        <v>188</v>
      </c>
      <c r="S697" s="1">
        <f t="shared" si="52"/>
        <v>0.95541401273885351</v>
      </c>
      <c r="T697">
        <f t="shared" si="53"/>
        <v>1.57</v>
      </c>
      <c r="U697" t="str">
        <f t="shared" si="54"/>
        <v>Mar</v>
      </c>
    </row>
    <row r="698" spans="1:21">
      <c r="A698" s="2">
        <v>46107</v>
      </c>
      <c r="B698" t="s">
        <v>4</v>
      </c>
      <c r="C698" t="s">
        <v>44</v>
      </c>
      <c r="D698" t="s">
        <v>9</v>
      </c>
      <c r="E698" t="s">
        <v>38</v>
      </c>
      <c r="F698" t="s">
        <v>39</v>
      </c>
      <c r="G698">
        <v>105</v>
      </c>
      <c r="H698">
        <v>79</v>
      </c>
      <c r="I698">
        <v>40</v>
      </c>
      <c r="J698">
        <v>33</v>
      </c>
      <c r="K698">
        <v>396</v>
      </c>
      <c r="L698">
        <v>83.64</v>
      </c>
      <c r="M698">
        <v>2032.87</v>
      </c>
      <c r="N698">
        <v>64753</v>
      </c>
      <c r="O698">
        <v>1558.72</v>
      </c>
      <c r="P698" s="1">
        <v>0.28799999999999998</v>
      </c>
      <c r="Q698">
        <f t="shared" si="50"/>
        <v>184</v>
      </c>
      <c r="R698">
        <f t="shared" si="51"/>
        <v>112</v>
      </c>
      <c r="S698" s="1">
        <f t="shared" si="52"/>
        <v>0.78260869565217395</v>
      </c>
      <c r="T698">
        <f t="shared" si="53"/>
        <v>1.84</v>
      </c>
      <c r="U698" t="str">
        <f t="shared" si="54"/>
        <v>Mar</v>
      </c>
    </row>
    <row r="699" spans="1:21">
      <c r="A699" s="2">
        <v>46126</v>
      </c>
      <c r="B699" t="s">
        <v>6</v>
      </c>
      <c r="C699" t="s">
        <v>31</v>
      </c>
      <c r="D699" t="s">
        <v>9</v>
      </c>
      <c r="E699" t="s">
        <v>35</v>
      </c>
      <c r="F699" t="s">
        <v>49</v>
      </c>
      <c r="G699">
        <v>42</v>
      </c>
      <c r="H699">
        <v>75</v>
      </c>
      <c r="I699">
        <v>89</v>
      </c>
      <c r="J699">
        <v>49</v>
      </c>
      <c r="K699">
        <v>126</v>
      </c>
      <c r="L699">
        <v>115.72</v>
      </c>
      <c r="M699">
        <v>2128</v>
      </c>
      <c r="N699">
        <v>67266</v>
      </c>
      <c r="O699">
        <v>1796.91</v>
      </c>
      <c r="P699" s="1">
        <v>0.64700000000000002</v>
      </c>
      <c r="Q699">
        <f t="shared" si="50"/>
        <v>117</v>
      </c>
      <c r="R699">
        <f t="shared" si="51"/>
        <v>124</v>
      </c>
      <c r="S699" s="1">
        <f t="shared" si="52"/>
        <v>0.23931623931623933</v>
      </c>
      <c r="T699">
        <f t="shared" si="53"/>
        <v>1.17</v>
      </c>
      <c r="U699" t="str">
        <f t="shared" si="54"/>
        <v>Apr</v>
      </c>
    </row>
    <row r="700" spans="1:21">
      <c r="A700" s="2">
        <v>46104</v>
      </c>
      <c r="B700" t="s">
        <v>4</v>
      </c>
      <c r="C700" t="s">
        <v>44</v>
      </c>
      <c r="D700" t="s">
        <v>11</v>
      </c>
      <c r="E700" t="s">
        <v>32</v>
      </c>
      <c r="F700" t="s">
        <v>49</v>
      </c>
      <c r="G700">
        <v>6</v>
      </c>
      <c r="H700">
        <v>7</v>
      </c>
      <c r="I700">
        <v>27</v>
      </c>
      <c r="J700">
        <v>75</v>
      </c>
      <c r="K700">
        <v>303</v>
      </c>
      <c r="L700">
        <v>83.37</v>
      </c>
      <c r="M700">
        <v>1969.82</v>
      </c>
      <c r="N700">
        <v>71759</v>
      </c>
      <c r="O700">
        <v>1734.26</v>
      </c>
      <c r="P700" s="1">
        <v>-0.39100000000000001</v>
      </c>
      <c r="Q700">
        <f t="shared" si="50"/>
        <v>13</v>
      </c>
      <c r="R700">
        <f t="shared" si="51"/>
        <v>82</v>
      </c>
      <c r="S700" s="1">
        <f t="shared" si="52"/>
        <v>-1.0769230769230769</v>
      </c>
      <c r="T700">
        <f t="shared" si="53"/>
        <v>0.13</v>
      </c>
      <c r="U700" t="str">
        <f t="shared" si="54"/>
        <v>Mar</v>
      </c>
    </row>
    <row r="701" spans="1:21">
      <c r="A701" s="2">
        <v>46110</v>
      </c>
      <c r="B701" t="s">
        <v>4</v>
      </c>
      <c r="C701" t="s">
        <v>34</v>
      </c>
      <c r="D701" t="s">
        <v>5</v>
      </c>
      <c r="E701" t="s">
        <v>47</v>
      </c>
      <c r="F701" t="s">
        <v>45</v>
      </c>
      <c r="G701">
        <v>58</v>
      </c>
      <c r="H701">
        <v>72</v>
      </c>
      <c r="I701">
        <v>37</v>
      </c>
      <c r="J701">
        <v>132</v>
      </c>
      <c r="K701">
        <v>19</v>
      </c>
      <c r="L701">
        <v>109.31</v>
      </c>
      <c r="M701">
        <v>1804.36</v>
      </c>
      <c r="N701">
        <v>72474</v>
      </c>
      <c r="O701">
        <v>1401.42</v>
      </c>
      <c r="P701" s="1">
        <v>-0.53600000000000003</v>
      </c>
      <c r="Q701">
        <f t="shared" si="50"/>
        <v>130</v>
      </c>
      <c r="R701">
        <f t="shared" si="51"/>
        <v>204</v>
      </c>
      <c r="S701" s="1">
        <f t="shared" si="52"/>
        <v>0.7153846153846154</v>
      </c>
      <c r="T701">
        <f t="shared" si="53"/>
        <v>1.3</v>
      </c>
      <c r="U701" t="str">
        <f t="shared" si="54"/>
        <v>Mar</v>
      </c>
    </row>
    <row r="702" spans="1:21">
      <c r="A702" s="2">
        <v>46115</v>
      </c>
      <c r="B702" t="s">
        <v>4</v>
      </c>
      <c r="C702" t="s">
        <v>48</v>
      </c>
      <c r="D702" t="s">
        <v>9</v>
      </c>
      <c r="E702" t="s">
        <v>38</v>
      </c>
      <c r="F702" t="s">
        <v>49</v>
      </c>
      <c r="G702">
        <v>56</v>
      </c>
      <c r="H702">
        <v>11</v>
      </c>
      <c r="I702">
        <v>85</v>
      </c>
      <c r="J702">
        <v>115</v>
      </c>
      <c r="K702">
        <v>407</v>
      </c>
      <c r="L702">
        <v>110.46</v>
      </c>
      <c r="M702">
        <v>2178.87</v>
      </c>
      <c r="N702">
        <v>67174</v>
      </c>
      <c r="O702">
        <v>1166.78</v>
      </c>
      <c r="P702" s="1">
        <v>-0.27700000000000002</v>
      </c>
      <c r="Q702">
        <f t="shared" si="50"/>
        <v>67</v>
      </c>
      <c r="R702">
        <f t="shared" si="51"/>
        <v>126</v>
      </c>
      <c r="S702" s="1">
        <f t="shared" si="52"/>
        <v>-0.26865671641791045</v>
      </c>
      <c r="T702">
        <f t="shared" si="53"/>
        <v>0.67</v>
      </c>
      <c r="U702" t="str">
        <f t="shared" si="54"/>
        <v>Apr</v>
      </c>
    </row>
    <row r="703" spans="1:21">
      <c r="A703" s="2">
        <v>46090</v>
      </c>
      <c r="B703" t="s">
        <v>4</v>
      </c>
      <c r="C703" t="s">
        <v>36</v>
      </c>
      <c r="D703" t="s">
        <v>10</v>
      </c>
      <c r="E703" t="s">
        <v>41</v>
      </c>
      <c r="F703" t="s">
        <v>39</v>
      </c>
      <c r="G703">
        <v>115</v>
      </c>
      <c r="H703">
        <v>73</v>
      </c>
      <c r="I703">
        <v>29</v>
      </c>
      <c r="J703">
        <v>11</v>
      </c>
      <c r="K703">
        <v>383</v>
      </c>
      <c r="L703">
        <v>86.88</v>
      </c>
      <c r="M703">
        <v>1819.78</v>
      </c>
      <c r="N703">
        <v>68138</v>
      </c>
      <c r="O703">
        <v>1279.08</v>
      </c>
      <c r="P703" s="1">
        <v>0.73399999999999999</v>
      </c>
      <c r="Q703">
        <f t="shared" si="50"/>
        <v>188</v>
      </c>
      <c r="R703">
        <f t="shared" si="51"/>
        <v>84</v>
      </c>
      <c r="S703" s="1">
        <f t="shared" si="52"/>
        <v>0.8457446808510638</v>
      </c>
      <c r="T703">
        <f t="shared" si="53"/>
        <v>1.88</v>
      </c>
      <c r="U703" t="str">
        <f t="shared" si="54"/>
        <v>Mar</v>
      </c>
    </row>
    <row r="704" spans="1:21">
      <c r="A704" s="2">
        <v>46111</v>
      </c>
      <c r="B704" t="s">
        <v>4</v>
      </c>
      <c r="C704" t="s">
        <v>43</v>
      </c>
      <c r="D704" t="s">
        <v>9</v>
      </c>
      <c r="E704" t="s">
        <v>35</v>
      </c>
      <c r="F704" t="s">
        <v>39</v>
      </c>
      <c r="G704">
        <v>45</v>
      </c>
      <c r="H704">
        <v>75</v>
      </c>
      <c r="I704">
        <v>89</v>
      </c>
      <c r="J704">
        <v>13</v>
      </c>
      <c r="K704">
        <v>229</v>
      </c>
      <c r="L704">
        <v>132.19999999999999</v>
      </c>
      <c r="M704">
        <v>2394.1799999999998</v>
      </c>
      <c r="N704">
        <v>75795</v>
      </c>
      <c r="O704">
        <v>1353.33</v>
      </c>
      <c r="P704" s="1">
        <v>-0.70799999999999996</v>
      </c>
      <c r="Q704">
        <f t="shared" si="50"/>
        <v>120</v>
      </c>
      <c r="R704">
        <f t="shared" si="51"/>
        <v>88</v>
      </c>
      <c r="S704" s="1">
        <f t="shared" si="52"/>
        <v>0.25833333333333336</v>
      </c>
      <c r="T704">
        <f t="shared" si="53"/>
        <v>1.2</v>
      </c>
      <c r="U704" t="str">
        <f t="shared" si="54"/>
        <v>Mar</v>
      </c>
    </row>
    <row r="705" spans="1:21">
      <c r="A705" s="2">
        <v>46069</v>
      </c>
      <c r="B705" t="s">
        <v>4</v>
      </c>
      <c r="C705" t="s">
        <v>50</v>
      </c>
      <c r="D705" t="s">
        <v>5</v>
      </c>
      <c r="E705" t="s">
        <v>38</v>
      </c>
      <c r="F705" t="s">
        <v>49</v>
      </c>
      <c r="G705">
        <v>116</v>
      </c>
      <c r="H705">
        <v>72</v>
      </c>
      <c r="I705">
        <v>62</v>
      </c>
      <c r="J705">
        <v>121</v>
      </c>
      <c r="K705">
        <v>346</v>
      </c>
      <c r="L705">
        <v>120.98</v>
      </c>
      <c r="M705">
        <v>2294.31</v>
      </c>
      <c r="N705">
        <v>68798</v>
      </c>
      <c r="O705">
        <v>933.72</v>
      </c>
      <c r="P705" s="1">
        <v>-0.99299999999999999</v>
      </c>
      <c r="Q705">
        <f t="shared" si="50"/>
        <v>188</v>
      </c>
      <c r="R705">
        <f t="shared" si="51"/>
        <v>193</v>
      </c>
      <c r="S705" s="1">
        <f t="shared" si="52"/>
        <v>0.67021276595744683</v>
      </c>
      <c r="T705">
        <f t="shared" si="53"/>
        <v>1.88</v>
      </c>
      <c r="U705" t="str">
        <f t="shared" si="54"/>
        <v>Feb</v>
      </c>
    </row>
    <row r="706" spans="1:21">
      <c r="A706" s="2">
        <v>46088</v>
      </c>
      <c r="B706" t="s">
        <v>6</v>
      </c>
      <c r="C706" t="s">
        <v>40</v>
      </c>
      <c r="D706" t="s">
        <v>11</v>
      </c>
      <c r="E706" t="s">
        <v>35</v>
      </c>
      <c r="F706" t="s">
        <v>49</v>
      </c>
      <c r="G706">
        <v>0</v>
      </c>
      <c r="H706">
        <v>79</v>
      </c>
      <c r="I706">
        <v>26</v>
      </c>
      <c r="J706">
        <v>127</v>
      </c>
      <c r="K706">
        <v>139</v>
      </c>
      <c r="L706">
        <v>83.35</v>
      </c>
      <c r="M706">
        <v>2146.36</v>
      </c>
      <c r="N706">
        <v>65883</v>
      </c>
      <c r="O706">
        <v>1168.22</v>
      </c>
      <c r="P706" s="1">
        <v>0.113</v>
      </c>
      <c r="Q706">
        <f t="shared" si="50"/>
        <v>79</v>
      </c>
      <c r="R706">
        <f t="shared" si="51"/>
        <v>206</v>
      </c>
      <c r="S706" s="1">
        <f t="shared" si="52"/>
        <v>0.67088607594936711</v>
      </c>
      <c r="T706">
        <f t="shared" si="53"/>
        <v>0.79</v>
      </c>
      <c r="U706" t="str">
        <f t="shared" si="54"/>
        <v>Mar</v>
      </c>
    </row>
    <row r="707" spans="1:21">
      <c r="A707" s="2">
        <v>46076</v>
      </c>
      <c r="B707" t="s">
        <v>6</v>
      </c>
      <c r="C707" t="s">
        <v>46</v>
      </c>
      <c r="D707" t="s">
        <v>10</v>
      </c>
      <c r="E707" t="s">
        <v>47</v>
      </c>
      <c r="F707" t="s">
        <v>33</v>
      </c>
      <c r="G707">
        <v>112</v>
      </c>
      <c r="H707">
        <v>1</v>
      </c>
      <c r="I707">
        <v>69</v>
      </c>
      <c r="J707">
        <v>135</v>
      </c>
      <c r="K707">
        <v>276</v>
      </c>
      <c r="L707">
        <v>84.49</v>
      </c>
      <c r="M707">
        <v>2188.52</v>
      </c>
      <c r="N707">
        <v>66126</v>
      </c>
      <c r="O707">
        <v>1524.2</v>
      </c>
      <c r="P707" s="1">
        <v>1.7000000000000001E-2</v>
      </c>
      <c r="Q707">
        <f t="shared" ref="Q707:Q770" si="55">G707+H707</f>
        <v>113</v>
      </c>
      <c r="R707">
        <f t="shared" ref="R707:R770" si="56">J707+H707</f>
        <v>136</v>
      </c>
      <c r="S707" s="1">
        <f t="shared" ref="S707:S770" si="57">(Q707-I707)/(Q707)</f>
        <v>0.38938053097345132</v>
      </c>
      <c r="T707">
        <f t="shared" ref="T707:T770" si="58">Q707/100</f>
        <v>1.1299999999999999</v>
      </c>
      <c r="U707" t="str">
        <f t="shared" ref="U707:U770" si="59">TEXT(A707,"mmm")</f>
        <v>Feb</v>
      </c>
    </row>
    <row r="708" spans="1:21">
      <c r="A708" s="2">
        <v>46091</v>
      </c>
      <c r="B708" t="s">
        <v>4</v>
      </c>
      <c r="C708" t="s">
        <v>50</v>
      </c>
      <c r="D708" t="s">
        <v>11</v>
      </c>
      <c r="E708" t="s">
        <v>42</v>
      </c>
      <c r="F708" t="s">
        <v>49</v>
      </c>
      <c r="G708">
        <v>92</v>
      </c>
      <c r="H708">
        <v>73</v>
      </c>
      <c r="I708">
        <v>53</v>
      </c>
      <c r="J708">
        <v>87</v>
      </c>
      <c r="K708">
        <v>114</v>
      </c>
      <c r="L708">
        <v>108.58</v>
      </c>
      <c r="M708">
        <v>2213.2199999999998</v>
      </c>
      <c r="N708">
        <v>68323</v>
      </c>
      <c r="O708">
        <v>1220.8399999999999</v>
      </c>
      <c r="P708" s="1">
        <v>0.106</v>
      </c>
      <c r="Q708">
        <f t="shared" si="55"/>
        <v>165</v>
      </c>
      <c r="R708">
        <f t="shared" si="56"/>
        <v>160</v>
      </c>
      <c r="S708" s="1">
        <f t="shared" si="57"/>
        <v>0.67878787878787883</v>
      </c>
      <c r="T708">
        <f t="shared" si="58"/>
        <v>1.65</v>
      </c>
      <c r="U708" t="str">
        <f t="shared" si="59"/>
        <v>Mar</v>
      </c>
    </row>
    <row r="709" spans="1:21">
      <c r="A709" s="2">
        <v>46114</v>
      </c>
      <c r="B709" t="s">
        <v>4</v>
      </c>
      <c r="C709" t="s">
        <v>31</v>
      </c>
      <c r="D709" t="s">
        <v>7</v>
      </c>
      <c r="E709" t="s">
        <v>38</v>
      </c>
      <c r="F709" t="s">
        <v>33</v>
      </c>
      <c r="G709">
        <v>38</v>
      </c>
      <c r="H709">
        <v>23</v>
      </c>
      <c r="I709">
        <v>58</v>
      </c>
      <c r="J709">
        <v>54</v>
      </c>
      <c r="K709">
        <v>91</v>
      </c>
      <c r="L709">
        <v>130.56</v>
      </c>
      <c r="M709">
        <v>2105.67</v>
      </c>
      <c r="N709">
        <v>68116</v>
      </c>
      <c r="O709">
        <v>1074.81</v>
      </c>
      <c r="P709" s="1">
        <v>0.95899999999999996</v>
      </c>
      <c r="Q709">
        <f t="shared" si="55"/>
        <v>61</v>
      </c>
      <c r="R709">
        <f t="shared" si="56"/>
        <v>77</v>
      </c>
      <c r="S709" s="1">
        <f t="shared" si="57"/>
        <v>4.9180327868852458E-2</v>
      </c>
      <c r="T709">
        <f t="shared" si="58"/>
        <v>0.61</v>
      </c>
      <c r="U709" t="str">
        <f t="shared" si="59"/>
        <v>Apr</v>
      </c>
    </row>
    <row r="710" spans="1:21">
      <c r="A710" s="2">
        <v>46119</v>
      </c>
      <c r="B710" t="s">
        <v>4</v>
      </c>
      <c r="C710" t="s">
        <v>36</v>
      </c>
      <c r="D710" t="s">
        <v>7</v>
      </c>
      <c r="E710" t="s">
        <v>38</v>
      </c>
      <c r="F710" t="s">
        <v>33</v>
      </c>
      <c r="G710">
        <v>12</v>
      </c>
      <c r="H710">
        <v>43</v>
      </c>
      <c r="I710">
        <v>77</v>
      </c>
      <c r="J710">
        <v>87</v>
      </c>
      <c r="K710">
        <v>125</v>
      </c>
      <c r="L710">
        <v>120.34</v>
      </c>
      <c r="M710">
        <v>2434.5</v>
      </c>
      <c r="N710">
        <v>68351</v>
      </c>
      <c r="O710">
        <v>900.13</v>
      </c>
      <c r="P710" s="1">
        <v>-0.35299999999999998</v>
      </c>
      <c r="Q710">
        <f t="shared" si="55"/>
        <v>55</v>
      </c>
      <c r="R710">
        <f t="shared" si="56"/>
        <v>130</v>
      </c>
      <c r="S710" s="1">
        <f t="shared" si="57"/>
        <v>-0.4</v>
      </c>
      <c r="T710">
        <f t="shared" si="58"/>
        <v>0.55000000000000004</v>
      </c>
      <c r="U710" t="str">
        <f t="shared" si="59"/>
        <v>Apr</v>
      </c>
    </row>
    <row r="711" spans="1:21">
      <c r="A711" s="2">
        <v>46095</v>
      </c>
      <c r="B711" t="s">
        <v>4</v>
      </c>
      <c r="C711" t="s">
        <v>50</v>
      </c>
      <c r="D711" t="s">
        <v>5</v>
      </c>
      <c r="E711" t="s">
        <v>35</v>
      </c>
      <c r="F711" t="s">
        <v>49</v>
      </c>
      <c r="G711">
        <v>4</v>
      </c>
      <c r="H711">
        <v>22</v>
      </c>
      <c r="I711">
        <v>71</v>
      </c>
      <c r="J711">
        <v>16</v>
      </c>
      <c r="K711">
        <v>103</v>
      </c>
      <c r="L711">
        <v>126.02</v>
      </c>
      <c r="M711">
        <v>2433.81</v>
      </c>
      <c r="N711">
        <v>75161</v>
      </c>
      <c r="O711">
        <v>1268.26</v>
      </c>
      <c r="P711" s="1">
        <v>0.62</v>
      </c>
      <c r="Q711">
        <f t="shared" si="55"/>
        <v>26</v>
      </c>
      <c r="R711">
        <f t="shared" si="56"/>
        <v>38</v>
      </c>
      <c r="S711" s="1">
        <f t="shared" si="57"/>
        <v>-1.7307692307692308</v>
      </c>
      <c r="T711">
        <f t="shared" si="58"/>
        <v>0.26</v>
      </c>
      <c r="U711" t="str">
        <f t="shared" si="59"/>
        <v>Mar</v>
      </c>
    </row>
    <row r="712" spans="1:21">
      <c r="A712" s="2">
        <v>46103</v>
      </c>
      <c r="B712" t="s">
        <v>6</v>
      </c>
      <c r="C712" t="s">
        <v>40</v>
      </c>
      <c r="D712" t="s">
        <v>11</v>
      </c>
      <c r="E712" t="s">
        <v>38</v>
      </c>
      <c r="F712" t="s">
        <v>33</v>
      </c>
      <c r="G712">
        <v>8</v>
      </c>
      <c r="H712">
        <v>45</v>
      </c>
      <c r="I712">
        <v>22</v>
      </c>
      <c r="J712">
        <v>126</v>
      </c>
      <c r="K712">
        <v>83</v>
      </c>
      <c r="L712">
        <v>115.68</v>
      </c>
      <c r="M712">
        <v>2441.5300000000002</v>
      </c>
      <c r="N712">
        <v>65789</v>
      </c>
      <c r="O712">
        <v>1073.74</v>
      </c>
      <c r="P712" s="1">
        <v>0.17</v>
      </c>
      <c r="Q712">
        <f t="shared" si="55"/>
        <v>53</v>
      </c>
      <c r="R712">
        <f t="shared" si="56"/>
        <v>171</v>
      </c>
      <c r="S712" s="1">
        <f t="shared" si="57"/>
        <v>0.58490566037735847</v>
      </c>
      <c r="T712">
        <f t="shared" si="58"/>
        <v>0.53</v>
      </c>
      <c r="U712" t="str">
        <f t="shared" si="59"/>
        <v>Mar</v>
      </c>
    </row>
    <row r="713" spans="1:21">
      <c r="A713" s="2">
        <v>46082</v>
      </c>
      <c r="B713" t="s">
        <v>6</v>
      </c>
      <c r="C713" t="s">
        <v>36</v>
      </c>
      <c r="D713" t="s">
        <v>5</v>
      </c>
      <c r="E713" t="s">
        <v>38</v>
      </c>
      <c r="F713" t="s">
        <v>45</v>
      </c>
      <c r="G713">
        <v>105</v>
      </c>
      <c r="H713">
        <v>6</v>
      </c>
      <c r="I713">
        <v>89</v>
      </c>
      <c r="J713">
        <v>9</v>
      </c>
      <c r="K713">
        <v>276</v>
      </c>
      <c r="L713">
        <v>134.6</v>
      </c>
      <c r="M713">
        <v>2425.36</v>
      </c>
      <c r="N713">
        <v>69814</v>
      </c>
      <c r="O713">
        <v>1536.49</v>
      </c>
      <c r="P713" s="1">
        <v>-0.48799999999999999</v>
      </c>
      <c r="Q713">
        <f t="shared" si="55"/>
        <v>111</v>
      </c>
      <c r="R713">
        <f t="shared" si="56"/>
        <v>15</v>
      </c>
      <c r="S713" s="1">
        <f t="shared" si="57"/>
        <v>0.1981981981981982</v>
      </c>
      <c r="T713">
        <f t="shared" si="58"/>
        <v>1.1100000000000001</v>
      </c>
      <c r="U713" t="str">
        <f t="shared" si="59"/>
        <v>Mar</v>
      </c>
    </row>
    <row r="714" spans="1:21">
      <c r="A714" s="2">
        <v>46090</v>
      </c>
      <c r="B714" t="s">
        <v>4</v>
      </c>
      <c r="C714" t="s">
        <v>51</v>
      </c>
      <c r="D714" t="s">
        <v>9</v>
      </c>
      <c r="E714" t="s">
        <v>41</v>
      </c>
      <c r="F714" t="s">
        <v>49</v>
      </c>
      <c r="G714">
        <v>38</v>
      </c>
      <c r="H714">
        <v>65</v>
      </c>
      <c r="I714">
        <v>19</v>
      </c>
      <c r="J714">
        <v>44</v>
      </c>
      <c r="K714">
        <v>14</v>
      </c>
      <c r="L714">
        <v>85.85</v>
      </c>
      <c r="M714">
        <v>1997.2</v>
      </c>
      <c r="N714">
        <v>66851</v>
      </c>
      <c r="O714">
        <v>1707.2</v>
      </c>
      <c r="P714" s="1">
        <v>-0.97199999999999998</v>
      </c>
      <c r="Q714">
        <f t="shared" si="55"/>
        <v>103</v>
      </c>
      <c r="R714">
        <f t="shared" si="56"/>
        <v>109</v>
      </c>
      <c r="S714" s="1">
        <f t="shared" si="57"/>
        <v>0.81553398058252424</v>
      </c>
      <c r="T714">
        <f t="shared" si="58"/>
        <v>1.03</v>
      </c>
      <c r="U714" t="str">
        <f t="shared" si="59"/>
        <v>Mar</v>
      </c>
    </row>
    <row r="715" spans="1:21">
      <c r="A715" s="2">
        <v>46120</v>
      </c>
      <c r="B715" t="s">
        <v>6</v>
      </c>
      <c r="C715" t="s">
        <v>40</v>
      </c>
      <c r="D715" t="s">
        <v>5</v>
      </c>
      <c r="E715" t="s">
        <v>37</v>
      </c>
      <c r="F715" t="s">
        <v>33</v>
      </c>
      <c r="G715">
        <v>115</v>
      </c>
      <c r="H715">
        <v>63</v>
      </c>
      <c r="I715">
        <v>29</v>
      </c>
      <c r="J715">
        <v>111</v>
      </c>
      <c r="K715">
        <v>234</v>
      </c>
      <c r="L715">
        <v>91.04</v>
      </c>
      <c r="M715">
        <v>2410.29</v>
      </c>
      <c r="N715">
        <v>68179</v>
      </c>
      <c r="O715">
        <v>1120.3599999999999</v>
      </c>
      <c r="P715" s="1">
        <v>-0.30399999999999999</v>
      </c>
      <c r="Q715">
        <f t="shared" si="55"/>
        <v>178</v>
      </c>
      <c r="R715">
        <f t="shared" si="56"/>
        <v>174</v>
      </c>
      <c r="S715" s="1">
        <f t="shared" si="57"/>
        <v>0.8370786516853933</v>
      </c>
      <c r="T715">
        <f t="shared" si="58"/>
        <v>1.78</v>
      </c>
      <c r="U715" t="str">
        <f t="shared" si="59"/>
        <v>Apr</v>
      </c>
    </row>
    <row r="716" spans="1:21">
      <c r="A716" s="2">
        <v>46093</v>
      </c>
      <c r="B716" t="s">
        <v>6</v>
      </c>
      <c r="C716" t="s">
        <v>48</v>
      </c>
      <c r="D716" t="s">
        <v>10</v>
      </c>
      <c r="E716" t="s">
        <v>41</v>
      </c>
      <c r="F716" t="s">
        <v>49</v>
      </c>
      <c r="G716">
        <v>91</v>
      </c>
      <c r="H716">
        <v>17</v>
      </c>
      <c r="I716">
        <v>33</v>
      </c>
      <c r="J716">
        <v>119</v>
      </c>
      <c r="K716">
        <v>52</v>
      </c>
      <c r="L716">
        <v>130.63999999999999</v>
      </c>
      <c r="M716">
        <v>2203.2399999999998</v>
      </c>
      <c r="N716">
        <v>65440</v>
      </c>
      <c r="O716">
        <v>1034.6600000000001</v>
      </c>
      <c r="P716" s="1">
        <v>-0.34699999999999998</v>
      </c>
      <c r="Q716">
        <f t="shared" si="55"/>
        <v>108</v>
      </c>
      <c r="R716">
        <f t="shared" si="56"/>
        <v>136</v>
      </c>
      <c r="S716" s="1">
        <f t="shared" si="57"/>
        <v>0.69444444444444442</v>
      </c>
      <c r="T716">
        <f t="shared" si="58"/>
        <v>1.08</v>
      </c>
      <c r="U716" t="str">
        <f t="shared" si="59"/>
        <v>Mar</v>
      </c>
    </row>
    <row r="717" spans="1:21">
      <c r="A717" s="2">
        <v>46121</v>
      </c>
      <c r="B717" t="s">
        <v>6</v>
      </c>
      <c r="C717" t="s">
        <v>31</v>
      </c>
      <c r="D717" t="s">
        <v>7</v>
      </c>
      <c r="E717" t="s">
        <v>37</v>
      </c>
      <c r="F717" t="s">
        <v>45</v>
      </c>
      <c r="G717">
        <v>11</v>
      </c>
      <c r="H717">
        <v>40</v>
      </c>
      <c r="I717">
        <v>67</v>
      </c>
      <c r="J717">
        <v>80</v>
      </c>
      <c r="K717">
        <v>231</v>
      </c>
      <c r="L717">
        <v>99.3</v>
      </c>
      <c r="M717">
        <v>2068.56</v>
      </c>
      <c r="N717">
        <v>71834</v>
      </c>
      <c r="O717">
        <v>1022.73</v>
      </c>
      <c r="P717" s="1">
        <v>0.48899999999999999</v>
      </c>
      <c r="Q717">
        <f t="shared" si="55"/>
        <v>51</v>
      </c>
      <c r="R717">
        <f t="shared" si="56"/>
        <v>120</v>
      </c>
      <c r="S717" s="1">
        <f t="shared" si="57"/>
        <v>-0.31372549019607843</v>
      </c>
      <c r="T717">
        <f t="shared" si="58"/>
        <v>0.51</v>
      </c>
      <c r="U717" t="str">
        <f t="shared" si="59"/>
        <v>Apr</v>
      </c>
    </row>
    <row r="718" spans="1:21">
      <c r="A718" s="2">
        <v>46123</v>
      </c>
      <c r="B718" t="s">
        <v>4</v>
      </c>
      <c r="C718" t="s">
        <v>48</v>
      </c>
      <c r="D718" t="s">
        <v>5</v>
      </c>
      <c r="E718" t="s">
        <v>41</v>
      </c>
      <c r="F718" t="s">
        <v>49</v>
      </c>
      <c r="G718">
        <v>71</v>
      </c>
      <c r="H718">
        <v>12</v>
      </c>
      <c r="I718">
        <v>69</v>
      </c>
      <c r="J718">
        <v>12</v>
      </c>
      <c r="K718">
        <v>161</v>
      </c>
      <c r="L718">
        <v>124.05</v>
      </c>
      <c r="M718">
        <v>1982.19</v>
      </c>
      <c r="N718">
        <v>70895</v>
      </c>
      <c r="O718">
        <v>1588.15</v>
      </c>
      <c r="P718" s="1">
        <v>-0.873</v>
      </c>
      <c r="Q718">
        <f t="shared" si="55"/>
        <v>83</v>
      </c>
      <c r="R718">
        <f t="shared" si="56"/>
        <v>24</v>
      </c>
      <c r="S718" s="1">
        <f t="shared" si="57"/>
        <v>0.16867469879518071</v>
      </c>
      <c r="T718">
        <f t="shared" si="58"/>
        <v>0.83</v>
      </c>
      <c r="U718" t="str">
        <f t="shared" si="59"/>
        <v>Apr</v>
      </c>
    </row>
    <row r="719" spans="1:21">
      <c r="A719" s="2">
        <v>46093</v>
      </c>
      <c r="B719" t="s">
        <v>6</v>
      </c>
      <c r="C719" t="s">
        <v>48</v>
      </c>
      <c r="D719" t="s">
        <v>5</v>
      </c>
      <c r="E719" t="s">
        <v>37</v>
      </c>
      <c r="F719" t="s">
        <v>45</v>
      </c>
      <c r="G719">
        <v>43</v>
      </c>
      <c r="H719">
        <v>55</v>
      </c>
      <c r="I719">
        <v>86</v>
      </c>
      <c r="J719">
        <v>17</v>
      </c>
      <c r="K719">
        <v>25</v>
      </c>
      <c r="L719">
        <v>115.65</v>
      </c>
      <c r="M719">
        <v>2158.48</v>
      </c>
      <c r="N719">
        <v>75109</v>
      </c>
      <c r="O719">
        <v>914.03</v>
      </c>
      <c r="P719" s="1">
        <v>0.71599999999999997</v>
      </c>
      <c r="Q719">
        <f t="shared" si="55"/>
        <v>98</v>
      </c>
      <c r="R719">
        <f t="shared" si="56"/>
        <v>72</v>
      </c>
      <c r="S719" s="1">
        <f t="shared" si="57"/>
        <v>0.12244897959183673</v>
      </c>
      <c r="T719">
        <f t="shared" si="58"/>
        <v>0.98</v>
      </c>
      <c r="U719" t="str">
        <f t="shared" si="59"/>
        <v>Mar</v>
      </c>
    </row>
    <row r="720" spans="1:21">
      <c r="A720" s="2">
        <v>46114</v>
      </c>
      <c r="B720" t="s">
        <v>4</v>
      </c>
      <c r="C720" t="s">
        <v>44</v>
      </c>
      <c r="D720" t="s">
        <v>10</v>
      </c>
      <c r="E720" t="s">
        <v>42</v>
      </c>
      <c r="F720" t="s">
        <v>33</v>
      </c>
      <c r="G720">
        <v>22</v>
      </c>
      <c r="H720">
        <v>76</v>
      </c>
      <c r="I720">
        <v>23</v>
      </c>
      <c r="J720">
        <v>42</v>
      </c>
      <c r="K720">
        <v>232</v>
      </c>
      <c r="L720">
        <v>139.80000000000001</v>
      </c>
      <c r="M720">
        <v>2430.29</v>
      </c>
      <c r="N720">
        <v>73129</v>
      </c>
      <c r="O720">
        <v>1093.67</v>
      </c>
      <c r="P720" s="1">
        <v>-0.40200000000000002</v>
      </c>
      <c r="Q720">
        <f t="shared" si="55"/>
        <v>98</v>
      </c>
      <c r="R720">
        <f t="shared" si="56"/>
        <v>118</v>
      </c>
      <c r="S720" s="1">
        <f t="shared" si="57"/>
        <v>0.76530612244897955</v>
      </c>
      <c r="T720">
        <f t="shared" si="58"/>
        <v>0.98</v>
      </c>
      <c r="U720" t="str">
        <f t="shared" si="59"/>
        <v>Apr</v>
      </c>
    </row>
    <row r="721" spans="1:21">
      <c r="A721" s="2">
        <v>46098</v>
      </c>
      <c r="B721" t="s">
        <v>4</v>
      </c>
      <c r="C721" t="s">
        <v>51</v>
      </c>
      <c r="D721" t="s">
        <v>7</v>
      </c>
      <c r="E721" t="s">
        <v>42</v>
      </c>
      <c r="F721" t="s">
        <v>39</v>
      </c>
      <c r="G721">
        <v>104</v>
      </c>
      <c r="H721">
        <v>74</v>
      </c>
      <c r="I721">
        <v>77</v>
      </c>
      <c r="J721">
        <v>111</v>
      </c>
      <c r="K721">
        <v>250</v>
      </c>
      <c r="L721">
        <v>125.12</v>
      </c>
      <c r="M721">
        <v>2015.42</v>
      </c>
      <c r="N721">
        <v>70070</v>
      </c>
      <c r="O721">
        <v>1440.45</v>
      </c>
      <c r="P721" s="1">
        <v>-0.49299999999999999</v>
      </c>
      <c r="Q721">
        <f t="shared" si="55"/>
        <v>178</v>
      </c>
      <c r="R721">
        <f t="shared" si="56"/>
        <v>185</v>
      </c>
      <c r="S721" s="1">
        <f t="shared" si="57"/>
        <v>0.56741573033707871</v>
      </c>
      <c r="T721">
        <f t="shared" si="58"/>
        <v>1.78</v>
      </c>
      <c r="U721" t="str">
        <f t="shared" si="59"/>
        <v>Mar</v>
      </c>
    </row>
    <row r="722" spans="1:21">
      <c r="A722" s="2">
        <v>46110</v>
      </c>
      <c r="B722" t="s">
        <v>6</v>
      </c>
      <c r="C722" t="s">
        <v>51</v>
      </c>
      <c r="D722" t="s">
        <v>7</v>
      </c>
      <c r="E722" t="s">
        <v>38</v>
      </c>
      <c r="F722" t="s">
        <v>45</v>
      </c>
      <c r="G722">
        <v>99</v>
      </c>
      <c r="H722">
        <v>79</v>
      </c>
      <c r="I722">
        <v>81</v>
      </c>
      <c r="J722">
        <v>92</v>
      </c>
      <c r="K722">
        <v>2</v>
      </c>
      <c r="L722">
        <v>136.82</v>
      </c>
      <c r="M722">
        <v>2365.94</v>
      </c>
      <c r="N722">
        <v>73726</v>
      </c>
      <c r="O722">
        <v>1275.3</v>
      </c>
      <c r="P722" s="1">
        <v>-0.65500000000000003</v>
      </c>
      <c r="Q722">
        <f t="shared" si="55"/>
        <v>178</v>
      </c>
      <c r="R722">
        <f t="shared" si="56"/>
        <v>171</v>
      </c>
      <c r="S722" s="1">
        <f t="shared" si="57"/>
        <v>0.5449438202247191</v>
      </c>
      <c r="T722">
        <f t="shared" si="58"/>
        <v>1.78</v>
      </c>
      <c r="U722" t="str">
        <f t="shared" si="59"/>
        <v>Mar</v>
      </c>
    </row>
    <row r="723" spans="1:21">
      <c r="A723" s="2">
        <v>46080</v>
      </c>
      <c r="B723" t="s">
        <v>4</v>
      </c>
      <c r="C723" t="s">
        <v>51</v>
      </c>
      <c r="D723" t="s">
        <v>9</v>
      </c>
      <c r="E723" t="s">
        <v>47</v>
      </c>
      <c r="F723" t="s">
        <v>49</v>
      </c>
      <c r="G723">
        <v>46</v>
      </c>
      <c r="H723">
        <v>15</v>
      </c>
      <c r="I723">
        <v>33</v>
      </c>
      <c r="J723">
        <v>147</v>
      </c>
      <c r="K723">
        <v>68</v>
      </c>
      <c r="L723">
        <v>105.23</v>
      </c>
      <c r="M723">
        <v>2163.91</v>
      </c>
      <c r="N723">
        <v>71208</v>
      </c>
      <c r="O723">
        <v>1610.06</v>
      </c>
      <c r="P723" s="1">
        <v>-0.91100000000000003</v>
      </c>
      <c r="Q723">
        <f t="shared" si="55"/>
        <v>61</v>
      </c>
      <c r="R723">
        <f t="shared" si="56"/>
        <v>162</v>
      </c>
      <c r="S723" s="1">
        <f t="shared" si="57"/>
        <v>0.45901639344262296</v>
      </c>
      <c r="T723">
        <f t="shared" si="58"/>
        <v>0.61</v>
      </c>
      <c r="U723" t="str">
        <f t="shared" si="59"/>
        <v>Feb</v>
      </c>
    </row>
    <row r="724" spans="1:21">
      <c r="A724" s="2">
        <v>46125</v>
      </c>
      <c r="B724" t="s">
        <v>4</v>
      </c>
      <c r="C724" t="s">
        <v>48</v>
      </c>
      <c r="D724" t="s">
        <v>10</v>
      </c>
      <c r="E724" t="s">
        <v>35</v>
      </c>
      <c r="F724" t="s">
        <v>33</v>
      </c>
      <c r="G724">
        <v>39</v>
      </c>
      <c r="H724">
        <v>57</v>
      </c>
      <c r="I724">
        <v>18</v>
      </c>
      <c r="J724">
        <v>60</v>
      </c>
      <c r="K724">
        <v>363</v>
      </c>
      <c r="L724">
        <v>104.1</v>
      </c>
      <c r="M724">
        <v>2394.0500000000002</v>
      </c>
      <c r="N724">
        <v>75449</v>
      </c>
      <c r="O724">
        <v>919.97</v>
      </c>
      <c r="P724" s="1">
        <v>0.41199999999999998</v>
      </c>
      <c r="Q724">
        <f t="shared" si="55"/>
        <v>96</v>
      </c>
      <c r="R724">
        <f t="shared" si="56"/>
        <v>117</v>
      </c>
      <c r="S724" s="1">
        <f t="shared" si="57"/>
        <v>0.8125</v>
      </c>
      <c r="T724">
        <f t="shared" si="58"/>
        <v>0.96</v>
      </c>
      <c r="U724" t="str">
        <f t="shared" si="59"/>
        <v>Apr</v>
      </c>
    </row>
    <row r="725" spans="1:21">
      <c r="A725" s="2">
        <v>46114</v>
      </c>
      <c r="B725" t="s">
        <v>6</v>
      </c>
      <c r="C725" t="s">
        <v>34</v>
      </c>
      <c r="D725" t="s">
        <v>9</v>
      </c>
      <c r="E725" t="s">
        <v>37</v>
      </c>
      <c r="F725" t="s">
        <v>33</v>
      </c>
      <c r="G725">
        <v>66</v>
      </c>
      <c r="H725">
        <v>73</v>
      </c>
      <c r="I725">
        <v>30</v>
      </c>
      <c r="J725">
        <v>76</v>
      </c>
      <c r="K725">
        <v>7</v>
      </c>
      <c r="L725">
        <v>109.67</v>
      </c>
      <c r="M725">
        <v>1830.07</v>
      </c>
      <c r="N725">
        <v>66022</v>
      </c>
      <c r="O725">
        <v>944.01</v>
      </c>
      <c r="P725" s="1">
        <v>-0.108</v>
      </c>
      <c r="Q725">
        <f t="shared" si="55"/>
        <v>139</v>
      </c>
      <c r="R725">
        <f t="shared" si="56"/>
        <v>149</v>
      </c>
      <c r="S725" s="1">
        <f t="shared" si="57"/>
        <v>0.78417266187050361</v>
      </c>
      <c r="T725">
        <f t="shared" si="58"/>
        <v>1.39</v>
      </c>
      <c r="U725" t="str">
        <f t="shared" si="59"/>
        <v>Apr</v>
      </c>
    </row>
    <row r="726" spans="1:21">
      <c r="A726" s="2">
        <v>46113</v>
      </c>
      <c r="B726" t="s">
        <v>4</v>
      </c>
      <c r="C726" t="s">
        <v>51</v>
      </c>
      <c r="D726" t="s">
        <v>7</v>
      </c>
      <c r="E726" t="s">
        <v>41</v>
      </c>
      <c r="F726" t="s">
        <v>39</v>
      </c>
      <c r="G726">
        <v>118</v>
      </c>
      <c r="H726">
        <v>51</v>
      </c>
      <c r="I726">
        <v>27</v>
      </c>
      <c r="J726">
        <v>41</v>
      </c>
      <c r="K726">
        <v>256</v>
      </c>
      <c r="L726">
        <v>118.91</v>
      </c>
      <c r="M726">
        <v>1815.07</v>
      </c>
      <c r="N726">
        <v>69764</v>
      </c>
      <c r="O726">
        <v>1069.6600000000001</v>
      </c>
      <c r="P726" s="1">
        <v>0.64800000000000002</v>
      </c>
      <c r="Q726">
        <f t="shared" si="55"/>
        <v>169</v>
      </c>
      <c r="R726">
        <f t="shared" si="56"/>
        <v>92</v>
      </c>
      <c r="S726" s="1">
        <f t="shared" si="57"/>
        <v>0.84023668639053251</v>
      </c>
      <c r="T726">
        <f t="shared" si="58"/>
        <v>1.69</v>
      </c>
      <c r="U726" t="str">
        <f t="shared" si="59"/>
        <v>Apr</v>
      </c>
    </row>
    <row r="727" spans="1:21">
      <c r="A727" s="2">
        <v>46091</v>
      </c>
      <c r="B727" t="s">
        <v>4</v>
      </c>
      <c r="C727" t="s">
        <v>44</v>
      </c>
      <c r="D727" t="s">
        <v>5</v>
      </c>
      <c r="E727" t="s">
        <v>41</v>
      </c>
      <c r="F727" t="s">
        <v>33</v>
      </c>
      <c r="G727">
        <v>75</v>
      </c>
      <c r="H727">
        <v>79</v>
      </c>
      <c r="I727">
        <v>64</v>
      </c>
      <c r="J727">
        <v>35</v>
      </c>
      <c r="K727">
        <v>291</v>
      </c>
      <c r="L727">
        <v>101.16</v>
      </c>
      <c r="M727">
        <v>2363.7399999999998</v>
      </c>
      <c r="N727">
        <v>73661</v>
      </c>
      <c r="O727">
        <v>1035.42</v>
      </c>
      <c r="P727" s="1">
        <v>-0.77500000000000002</v>
      </c>
      <c r="Q727">
        <f t="shared" si="55"/>
        <v>154</v>
      </c>
      <c r="R727">
        <f t="shared" si="56"/>
        <v>114</v>
      </c>
      <c r="S727" s="1">
        <f t="shared" si="57"/>
        <v>0.58441558441558439</v>
      </c>
      <c r="T727">
        <f t="shared" si="58"/>
        <v>1.54</v>
      </c>
      <c r="U727" t="str">
        <f t="shared" si="59"/>
        <v>Mar</v>
      </c>
    </row>
    <row r="728" spans="1:21">
      <c r="A728" s="2">
        <v>46106</v>
      </c>
      <c r="B728" t="s">
        <v>4</v>
      </c>
      <c r="C728" t="s">
        <v>51</v>
      </c>
      <c r="D728" t="s">
        <v>11</v>
      </c>
      <c r="E728" t="s">
        <v>47</v>
      </c>
      <c r="F728" t="s">
        <v>45</v>
      </c>
      <c r="G728">
        <v>112</v>
      </c>
      <c r="H728">
        <v>25</v>
      </c>
      <c r="I728">
        <v>27</v>
      </c>
      <c r="J728">
        <v>28</v>
      </c>
      <c r="K728">
        <v>448</v>
      </c>
      <c r="L728">
        <v>82.11</v>
      </c>
      <c r="M728">
        <v>2207.5700000000002</v>
      </c>
      <c r="N728">
        <v>68606</v>
      </c>
      <c r="O728">
        <v>1102.46</v>
      </c>
      <c r="P728" s="1">
        <v>0.3</v>
      </c>
      <c r="Q728">
        <f t="shared" si="55"/>
        <v>137</v>
      </c>
      <c r="R728">
        <f t="shared" si="56"/>
        <v>53</v>
      </c>
      <c r="S728" s="1">
        <f t="shared" si="57"/>
        <v>0.8029197080291971</v>
      </c>
      <c r="T728">
        <f t="shared" si="58"/>
        <v>1.37</v>
      </c>
      <c r="U728" t="str">
        <f t="shared" si="59"/>
        <v>Mar</v>
      </c>
    </row>
    <row r="729" spans="1:21">
      <c r="A729" s="2">
        <v>46125</v>
      </c>
      <c r="B729" t="s">
        <v>4</v>
      </c>
      <c r="C729" t="s">
        <v>40</v>
      </c>
      <c r="D729" t="s">
        <v>10</v>
      </c>
      <c r="E729" t="s">
        <v>47</v>
      </c>
      <c r="F729" t="s">
        <v>45</v>
      </c>
      <c r="G729">
        <v>107</v>
      </c>
      <c r="H729">
        <v>21</v>
      </c>
      <c r="I729">
        <v>13</v>
      </c>
      <c r="J729">
        <v>122</v>
      </c>
      <c r="K729">
        <v>197</v>
      </c>
      <c r="L729">
        <v>102.16</v>
      </c>
      <c r="M729">
        <v>1873.32</v>
      </c>
      <c r="N729">
        <v>67453</v>
      </c>
      <c r="O729">
        <v>1125.25</v>
      </c>
      <c r="P729" s="1">
        <v>0.61799999999999999</v>
      </c>
      <c r="Q729">
        <f t="shared" si="55"/>
        <v>128</v>
      </c>
      <c r="R729">
        <f t="shared" si="56"/>
        <v>143</v>
      </c>
      <c r="S729" s="1">
        <f t="shared" si="57"/>
        <v>0.8984375</v>
      </c>
      <c r="T729">
        <f t="shared" si="58"/>
        <v>1.28</v>
      </c>
      <c r="U729" t="str">
        <f t="shared" si="59"/>
        <v>Apr</v>
      </c>
    </row>
    <row r="730" spans="1:21">
      <c r="A730" s="2">
        <v>46124</v>
      </c>
      <c r="B730" t="s">
        <v>4</v>
      </c>
      <c r="C730" t="s">
        <v>40</v>
      </c>
      <c r="D730" t="s">
        <v>5</v>
      </c>
      <c r="E730" t="s">
        <v>47</v>
      </c>
      <c r="F730" t="s">
        <v>49</v>
      </c>
      <c r="G730">
        <v>12</v>
      </c>
      <c r="H730">
        <v>45</v>
      </c>
      <c r="I730">
        <v>67</v>
      </c>
      <c r="J730">
        <v>28</v>
      </c>
      <c r="K730">
        <v>249</v>
      </c>
      <c r="L730">
        <v>110.25</v>
      </c>
      <c r="M730">
        <v>2182.73</v>
      </c>
      <c r="N730">
        <v>73404</v>
      </c>
      <c r="O730">
        <v>1425.53</v>
      </c>
      <c r="P730" s="1">
        <v>-0.89500000000000002</v>
      </c>
      <c r="Q730">
        <f t="shared" si="55"/>
        <v>57</v>
      </c>
      <c r="R730">
        <f t="shared" si="56"/>
        <v>73</v>
      </c>
      <c r="S730" s="1">
        <f t="shared" si="57"/>
        <v>-0.17543859649122806</v>
      </c>
      <c r="T730">
        <f t="shared" si="58"/>
        <v>0.56999999999999995</v>
      </c>
      <c r="U730" t="str">
        <f t="shared" si="59"/>
        <v>Apr</v>
      </c>
    </row>
    <row r="731" spans="1:21">
      <c r="A731" s="2">
        <v>46127</v>
      </c>
      <c r="B731" t="s">
        <v>6</v>
      </c>
      <c r="C731" t="s">
        <v>34</v>
      </c>
      <c r="D731" t="s">
        <v>10</v>
      </c>
      <c r="E731" t="s">
        <v>41</v>
      </c>
      <c r="F731" t="s">
        <v>39</v>
      </c>
      <c r="G731">
        <v>59</v>
      </c>
      <c r="H731">
        <v>51</v>
      </c>
      <c r="I731">
        <v>53</v>
      </c>
      <c r="J731">
        <v>9</v>
      </c>
      <c r="K731">
        <v>80</v>
      </c>
      <c r="L731">
        <v>102.31</v>
      </c>
      <c r="M731">
        <v>2035.35</v>
      </c>
      <c r="N731">
        <v>74178</v>
      </c>
      <c r="O731">
        <v>1763.91</v>
      </c>
      <c r="P731" s="1">
        <v>-0.65200000000000002</v>
      </c>
      <c r="Q731">
        <f t="shared" si="55"/>
        <v>110</v>
      </c>
      <c r="R731">
        <f t="shared" si="56"/>
        <v>60</v>
      </c>
      <c r="S731" s="1">
        <f t="shared" si="57"/>
        <v>0.51818181818181819</v>
      </c>
      <c r="T731">
        <f t="shared" si="58"/>
        <v>1.1000000000000001</v>
      </c>
      <c r="U731" t="str">
        <f t="shared" si="59"/>
        <v>Apr</v>
      </c>
    </row>
    <row r="732" spans="1:21">
      <c r="A732" s="2">
        <v>46092</v>
      </c>
      <c r="B732" t="s">
        <v>6</v>
      </c>
      <c r="C732" t="s">
        <v>43</v>
      </c>
      <c r="D732" t="s">
        <v>7</v>
      </c>
      <c r="E732" t="s">
        <v>35</v>
      </c>
      <c r="F732" t="s">
        <v>45</v>
      </c>
      <c r="G732">
        <v>117</v>
      </c>
      <c r="H732">
        <v>75</v>
      </c>
      <c r="I732">
        <v>2</v>
      </c>
      <c r="J732">
        <v>14</v>
      </c>
      <c r="K732">
        <v>78</v>
      </c>
      <c r="L732">
        <v>104.4</v>
      </c>
      <c r="M732">
        <v>2219.4299999999998</v>
      </c>
      <c r="N732">
        <v>74513</v>
      </c>
      <c r="O732">
        <v>1295.19</v>
      </c>
      <c r="P732" s="1">
        <v>-0.40600000000000003</v>
      </c>
      <c r="Q732">
        <f t="shared" si="55"/>
        <v>192</v>
      </c>
      <c r="R732">
        <f t="shared" si="56"/>
        <v>89</v>
      </c>
      <c r="S732" s="1">
        <f t="shared" si="57"/>
        <v>0.98958333333333337</v>
      </c>
      <c r="T732">
        <f t="shared" si="58"/>
        <v>1.92</v>
      </c>
      <c r="U732" t="str">
        <f t="shared" si="59"/>
        <v>Mar</v>
      </c>
    </row>
    <row r="733" spans="1:21">
      <c r="A733" s="2">
        <v>46090</v>
      </c>
      <c r="B733" t="s">
        <v>4</v>
      </c>
      <c r="C733" t="s">
        <v>31</v>
      </c>
      <c r="D733" t="s">
        <v>10</v>
      </c>
      <c r="E733" t="s">
        <v>47</v>
      </c>
      <c r="F733" t="s">
        <v>45</v>
      </c>
      <c r="G733">
        <v>51</v>
      </c>
      <c r="H733">
        <v>2</v>
      </c>
      <c r="I733">
        <v>42</v>
      </c>
      <c r="J733">
        <v>79</v>
      </c>
      <c r="K733">
        <v>393</v>
      </c>
      <c r="L733">
        <v>116.87</v>
      </c>
      <c r="M733">
        <v>2200.5700000000002</v>
      </c>
      <c r="N733">
        <v>68889</v>
      </c>
      <c r="O733">
        <v>1463.69</v>
      </c>
      <c r="P733" s="1">
        <v>-0.91400000000000003</v>
      </c>
      <c r="Q733">
        <f t="shared" si="55"/>
        <v>53</v>
      </c>
      <c r="R733">
        <f t="shared" si="56"/>
        <v>81</v>
      </c>
      <c r="S733" s="1">
        <f t="shared" si="57"/>
        <v>0.20754716981132076</v>
      </c>
      <c r="T733">
        <f t="shared" si="58"/>
        <v>0.53</v>
      </c>
      <c r="U733" t="str">
        <f t="shared" si="59"/>
        <v>Mar</v>
      </c>
    </row>
    <row r="734" spans="1:21">
      <c r="A734" s="2">
        <v>46095</v>
      </c>
      <c r="B734" t="s">
        <v>4</v>
      </c>
      <c r="C734" t="s">
        <v>31</v>
      </c>
      <c r="D734" t="s">
        <v>7</v>
      </c>
      <c r="E734" t="s">
        <v>38</v>
      </c>
      <c r="F734" t="s">
        <v>49</v>
      </c>
      <c r="G734">
        <v>56</v>
      </c>
      <c r="H734">
        <v>10</v>
      </c>
      <c r="I734">
        <v>67</v>
      </c>
      <c r="J734">
        <v>16</v>
      </c>
      <c r="K734">
        <v>399</v>
      </c>
      <c r="L734">
        <v>134.19999999999999</v>
      </c>
      <c r="M734">
        <v>2411.67</v>
      </c>
      <c r="N734">
        <v>73809</v>
      </c>
      <c r="O734">
        <v>1302.22</v>
      </c>
      <c r="P734" s="1">
        <v>-0.33400000000000002</v>
      </c>
      <c r="Q734">
        <f t="shared" si="55"/>
        <v>66</v>
      </c>
      <c r="R734">
        <f t="shared" si="56"/>
        <v>26</v>
      </c>
      <c r="S734" s="1">
        <f t="shared" si="57"/>
        <v>-1.5151515151515152E-2</v>
      </c>
      <c r="T734">
        <f t="shared" si="58"/>
        <v>0.66</v>
      </c>
      <c r="U734" t="str">
        <f t="shared" si="59"/>
        <v>Mar</v>
      </c>
    </row>
    <row r="735" spans="1:21">
      <c r="A735" s="2">
        <v>46070</v>
      </c>
      <c r="B735" t="s">
        <v>6</v>
      </c>
      <c r="C735" t="s">
        <v>50</v>
      </c>
      <c r="D735" t="s">
        <v>7</v>
      </c>
      <c r="E735" t="s">
        <v>41</v>
      </c>
      <c r="F735" t="s">
        <v>33</v>
      </c>
      <c r="G735">
        <v>80</v>
      </c>
      <c r="H735">
        <v>8</v>
      </c>
      <c r="I735">
        <v>39</v>
      </c>
      <c r="J735">
        <v>57</v>
      </c>
      <c r="K735">
        <v>355</v>
      </c>
      <c r="L735">
        <v>96.43</v>
      </c>
      <c r="M735">
        <v>2374.5100000000002</v>
      </c>
      <c r="N735">
        <v>66779</v>
      </c>
      <c r="O735">
        <v>1224.3900000000001</v>
      </c>
      <c r="P735" s="1">
        <v>0.97399999999999998</v>
      </c>
      <c r="Q735">
        <f t="shared" si="55"/>
        <v>88</v>
      </c>
      <c r="R735">
        <f t="shared" si="56"/>
        <v>65</v>
      </c>
      <c r="S735" s="1">
        <f t="shared" si="57"/>
        <v>0.55681818181818177</v>
      </c>
      <c r="T735">
        <f t="shared" si="58"/>
        <v>0.88</v>
      </c>
      <c r="U735" t="str">
        <f t="shared" si="59"/>
        <v>Feb</v>
      </c>
    </row>
    <row r="736" spans="1:21">
      <c r="A736" s="2">
        <v>46118</v>
      </c>
      <c r="B736" t="s">
        <v>4</v>
      </c>
      <c r="C736" t="s">
        <v>50</v>
      </c>
      <c r="D736" t="s">
        <v>9</v>
      </c>
      <c r="E736" t="s">
        <v>41</v>
      </c>
      <c r="F736" t="s">
        <v>39</v>
      </c>
      <c r="G736">
        <v>92</v>
      </c>
      <c r="H736">
        <v>63</v>
      </c>
      <c r="I736">
        <v>42</v>
      </c>
      <c r="J736">
        <v>54</v>
      </c>
      <c r="K736">
        <v>402</v>
      </c>
      <c r="L736">
        <v>110.7</v>
      </c>
      <c r="M736">
        <v>1807.71</v>
      </c>
      <c r="N736">
        <v>70110</v>
      </c>
      <c r="O736">
        <v>1104.57</v>
      </c>
      <c r="P736" s="1">
        <v>-0.186</v>
      </c>
      <c r="Q736">
        <f t="shared" si="55"/>
        <v>155</v>
      </c>
      <c r="R736">
        <f t="shared" si="56"/>
        <v>117</v>
      </c>
      <c r="S736" s="1">
        <f t="shared" si="57"/>
        <v>0.7290322580645161</v>
      </c>
      <c r="T736">
        <f t="shared" si="58"/>
        <v>1.55</v>
      </c>
      <c r="U736" t="str">
        <f t="shared" si="59"/>
        <v>Apr</v>
      </c>
    </row>
    <row r="737" spans="1:21">
      <c r="A737" s="2">
        <v>46086</v>
      </c>
      <c r="B737" t="s">
        <v>6</v>
      </c>
      <c r="C737" t="s">
        <v>44</v>
      </c>
      <c r="D737" t="s">
        <v>7</v>
      </c>
      <c r="E737" t="s">
        <v>41</v>
      </c>
      <c r="F737" t="s">
        <v>45</v>
      </c>
      <c r="G737">
        <v>38</v>
      </c>
      <c r="H737">
        <v>20</v>
      </c>
      <c r="I737">
        <v>72</v>
      </c>
      <c r="J737">
        <v>116</v>
      </c>
      <c r="K737">
        <v>260</v>
      </c>
      <c r="L737">
        <v>114.91</v>
      </c>
      <c r="M737">
        <v>2404.2199999999998</v>
      </c>
      <c r="N737">
        <v>67857</v>
      </c>
      <c r="O737">
        <v>1303.1099999999999</v>
      </c>
      <c r="P737" s="1">
        <v>0.27600000000000002</v>
      </c>
      <c r="Q737">
        <f t="shared" si="55"/>
        <v>58</v>
      </c>
      <c r="R737">
        <f t="shared" si="56"/>
        <v>136</v>
      </c>
      <c r="S737" s="1">
        <f t="shared" si="57"/>
        <v>-0.2413793103448276</v>
      </c>
      <c r="T737">
        <f t="shared" si="58"/>
        <v>0.57999999999999996</v>
      </c>
      <c r="U737" t="str">
        <f t="shared" si="59"/>
        <v>Mar</v>
      </c>
    </row>
    <row r="738" spans="1:21">
      <c r="A738" s="2">
        <v>46111</v>
      </c>
      <c r="B738" t="s">
        <v>4</v>
      </c>
      <c r="C738" t="s">
        <v>46</v>
      </c>
      <c r="D738" t="s">
        <v>11</v>
      </c>
      <c r="E738" t="s">
        <v>41</v>
      </c>
      <c r="F738" t="s">
        <v>45</v>
      </c>
      <c r="G738">
        <v>31</v>
      </c>
      <c r="H738">
        <v>69</v>
      </c>
      <c r="I738">
        <v>41</v>
      </c>
      <c r="J738">
        <v>143</v>
      </c>
      <c r="K738">
        <v>79</v>
      </c>
      <c r="L738">
        <v>91.02</v>
      </c>
      <c r="M738">
        <v>2344.21</v>
      </c>
      <c r="N738">
        <v>75402</v>
      </c>
      <c r="O738">
        <v>1519.47</v>
      </c>
      <c r="P738" s="1">
        <v>0.95099999999999996</v>
      </c>
      <c r="Q738">
        <f t="shared" si="55"/>
        <v>100</v>
      </c>
      <c r="R738">
        <f t="shared" si="56"/>
        <v>212</v>
      </c>
      <c r="S738" s="1">
        <f t="shared" si="57"/>
        <v>0.59</v>
      </c>
      <c r="T738">
        <f t="shared" si="58"/>
        <v>1</v>
      </c>
      <c r="U738" t="str">
        <f t="shared" si="59"/>
        <v>Mar</v>
      </c>
    </row>
    <row r="739" spans="1:21">
      <c r="A739" s="2">
        <v>46105</v>
      </c>
      <c r="B739" t="s">
        <v>4</v>
      </c>
      <c r="C739" t="s">
        <v>46</v>
      </c>
      <c r="D739" t="s">
        <v>5</v>
      </c>
      <c r="E739" t="s">
        <v>38</v>
      </c>
      <c r="F739" t="s">
        <v>39</v>
      </c>
      <c r="G739">
        <v>78</v>
      </c>
      <c r="H739">
        <v>23</v>
      </c>
      <c r="I739">
        <v>80</v>
      </c>
      <c r="J739">
        <v>18</v>
      </c>
      <c r="K739">
        <v>140</v>
      </c>
      <c r="L739">
        <v>101.29</v>
      </c>
      <c r="M739">
        <v>2047.39</v>
      </c>
      <c r="N739">
        <v>70841</v>
      </c>
      <c r="O739">
        <v>980.21</v>
      </c>
      <c r="P739" s="1">
        <v>-0.28899999999999998</v>
      </c>
      <c r="Q739">
        <f t="shared" si="55"/>
        <v>101</v>
      </c>
      <c r="R739">
        <f t="shared" si="56"/>
        <v>41</v>
      </c>
      <c r="S739" s="1">
        <f t="shared" si="57"/>
        <v>0.20792079207920791</v>
      </c>
      <c r="T739">
        <f t="shared" si="58"/>
        <v>1.01</v>
      </c>
      <c r="U739" t="str">
        <f t="shared" si="59"/>
        <v>Mar</v>
      </c>
    </row>
    <row r="740" spans="1:21">
      <c r="A740" s="2">
        <v>46085</v>
      </c>
      <c r="B740" t="s">
        <v>6</v>
      </c>
      <c r="C740" t="s">
        <v>31</v>
      </c>
      <c r="D740" t="s">
        <v>10</v>
      </c>
      <c r="E740" t="s">
        <v>37</v>
      </c>
      <c r="F740" t="s">
        <v>45</v>
      </c>
      <c r="G740">
        <v>93</v>
      </c>
      <c r="H740">
        <v>15</v>
      </c>
      <c r="I740">
        <v>55</v>
      </c>
      <c r="J740">
        <v>102</v>
      </c>
      <c r="K740">
        <v>365</v>
      </c>
      <c r="L740">
        <v>116.85</v>
      </c>
      <c r="M740">
        <v>1963.93</v>
      </c>
      <c r="N740">
        <v>65370</v>
      </c>
      <c r="O740">
        <v>1124.6600000000001</v>
      </c>
      <c r="P740" s="1">
        <v>0.79500000000000004</v>
      </c>
      <c r="Q740">
        <f t="shared" si="55"/>
        <v>108</v>
      </c>
      <c r="R740">
        <f t="shared" si="56"/>
        <v>117</v>
      </c>
      <c r="S740" s="1">
        <f t="shared" si="57"/>
        <v>0.49074074074074076</v>
      </c>
      <c r="T740">
        <f t="shared" si="58"/>
        <v>1.08</v>
      </c>
      <c r="U740" t="str">
        <f t="shared" si="59"/>
        <v>Mar</v>
      </c>
    </row>
    <row r="741" spans="1:21">
      <c r="A741" s="2">
        <v>46120</v>
      </c>
      <c r="B741" t="s">
        <v>6</v>
      </c>
      <c r="C741" t="s">
        <v>43</v>
      </c>
      <c r="D741" t="s">
        <v>7</v>
      </c>
      <c r="E741" t="s">
        <v>38</v>
      </c>
      <c r="F741" t="s">
        <v>45</v>
      </c>
      <c r="G741">
        <v>102</v>
      </c>
      <c r="H741">
        <v>20</v>
      </c>
      <c r="I741">
        <v>86</v>
      </c>
      <c r="J741">
        <v>21</v>
      </c>
      <c r="K741">
        <v>419</v>
      </c>
      <c r="L741">
        <v>132.29</v>
      </c>
      <c r="M741">
        <v>2060.4299999999998</v>
      </c>
      <c r="N741">
        <v>67389</v>
      </c>
      <c r="O741">
        <v>964.45</v>
      </c>
      <c r="P741" s="1">
        <v>0.95299999999999996</v>
      </c>
      <c r="Q741">
        <f t="shared" si="55"/>
        <v>122</v>
      </c>
      <c r="R741">
        <f t="shared" si="56"/>
        <v>41</v>
      </c>
      <c r="S741" s="1">
        <f t="shared" si="57"/>
        <v>0.29508196721311475</v>
      </c>
      <c r="T741">
        <f t="shared" si="58"/>
        <v>1.22</v>
      </c>
      <c r="U741" t="str">
        <f t="shared" si="59"/>
        <v>Apr</v>
      </c>
    </row>
    <row r="742" spans="1:21">
      <c r="A742" s="2">
        <v>46085</v>
      </c>
      <c r="B742" t="s">
        <v>4</v>
      </c>
      <c r="C742" t="s">
        <v>50</v>
      </c>
      <c r="D742" t="s">
        <v>11</v>
      </c>
      <c r="E742" t="s">
        <v>47</v>
      </c>
      <c r="F742" t="s">
        <v>39</v>
      </c>
      <c r="G742">
        <v>55</v>
      </c>
      <c r="H742">
        <v>15</v>
      </c>
      <c r="I742">
        <v>1</v>
      </c>
      <c r="J742">
        <v>142</v>
      </c>
      <c r="K742">
        <v>15</v>
      </c>
      <c r="L742">
        <v>103.36</v>
      </c>
      <c r="M742">
        <v>1914.33</v>
      </c>
      <c r="N742">
        <v>75412</v>
      </c>
      <c r="O742">
        <v>1125.95</v>
      </c>
      <c r="P742" s="1">
        <v>-0.96799999999999997</v>
      </c>
      <c r="Q742">
        <f t="shared" si="55"/>
        <v>70</v>
      </c>
      <c r="R742">
        <f t="shared" si="56"/>
        <v>157</v>
      </c>
      <c r="S742" s="1">
        <f t="shared" si="57"/>
        <v>0.98571428571428577</v>
      </c>
      <c r="T742">
        <f t="shared" si="58"/>
        <v>0.7</v>
      </c>
      <c r="U742" t="str">
        <f t="shared" si="59"/>
        <v>Mar</v>
      </c>
    </row>
    <row r="743" spans="1:21">
      <c r="A743" s="2">
        <v>46072</v>
      </c>
      <c r="B743" t="s">
        <v>4</v>
      </c>
      <c r="C743" t="s">
        <v>51</v>
      </c>
      <c r="D743" t="s">
        <v>11</v>
      </c>
      <c r="E743" t="s">
        <v>37</v>
      </c>
      <c r="F743" t="s">
        <v>39</v>
      </c>
      <c r="G743">
        <v>93</v>
      </c>
      <c r="H743">
        <v>19</v>
      </c>
      <c r="I743">
        <v>33</v>
      </c>
      <c r="J743">
        <v>103</v>
      </c>
      <c r="K743">
        <v>231</v>
      </c>
      <c r="L743">
        <v>107.55</v>
      </c>
      <c r="M743">
        <v>1949.16</v>
      </c>
      <c r="N743">
        <v>73799</v>
      </c>
      <c r="O743">
        <v>1506.29</v>
      </c>
      <c r="P743" s="1">
        <v>-0.86199999999999999</v>
      </c>
      <c r="Q743">
        <f t="shared" si="55"/>
        <v>112</v>
      </c>
      <c r="R743">
        <f t="shared" si="56"/>
        <v>122</v>
      </c>
      <c r="S743" s="1">
        <f t="shared" si="57"/>
        <v>0.7053571428571429</v>
      </c>
      <c r="T743">
        <f t="shared" si="58"/>
        <v>1.1200000000000001</v>
      </c>
      <c r="U743" t="str">
        <f t="shared" si="59"/>
        <v>Feb</v>
      </c>
    </row>
    <row r="744" spans="1:21">
      <c r="A744" s="2">
        <v>46093</v>
      </c>
      <c r="B744" t="s">
        <v>4</v>
      </c>
      <c r="C744" t="s">
        <v>31</v>
      </c>
      <c r="D744" t="s">
        <v>11</v>
      </c>
      <c r="E744" t="s">
        <v>47</v>
      </c>
      <c r="F744" t="s">
        <v>39</v>
      </c>
      <c r="G744">
        <v>74</v>
      </c>
      <c r="H744">
        <v>41</v>
      </c>
      <c r="I744">
        <v>7</v>
      </c>
      <c r="J744">
        <v>109</v>
      </c>
      <c r="K744">
        <v>34</v>
      </c>
      <c r="L744">
        <v>101.97</v>
      </c>
      <c r="M744">
        <v>1810.34</v>
      </c>
      <c r="N744">
        <v>65178</v>
      </c>
      <c r="O744">
        <v>1404.52</v>
      </c>
      <c r="P744" s="1">
        <v>5.2999999999999999E-2</v>
      </c>
      <c r="Q744">
        <f t="shared" si="55"/>
        <v>115</v>
      </c>
      <c r="R744">
        <f t="shared" si="56"/>
        <v>150</v>
      </c>
      <c r="S744" s="1">
        <f t="shared" si="57"/>
        <v>0.93913043478260871</v>
      </c>
      <c r="T744">
        <f t="shared" si="58"/>
        <v>1.1499999999999999</v>
      </c>
      <c r="U744" t="str">
        <f t="shared" si="59"/>
        <v>Mar</v>
      </c>
    </row>
    <row r="745" spans="1:21">
      <c r="A745" s="2">
        <v>46097</v>
      </c>
      <c r="B745" t="s">
        <v>6</v>
      </c>
      <c r="C745" t="s">
        <v>51</v>
      </c>
      <c r="D745" t="s">
        <v>11</v>
      </c>
      <c r="E745" t="s">
        <v>41</v>
      </c>
      <c r="F745" t="s">
        <v>33</v>
      </c>
      <c r="G745">
        <v>61</v>
      </c>
      <c r="H745">
        <v>61</v>
      </c>
      <c r="I745">
        <v>78</v>
      </c>
      <c r="J745">
        <v>45</v>
      </c>
      <c r="K745">
        <v>233</v>
      </c>
      <c r="L745">
        <v>121.05</v>
      </c>
      <c r="M745">
        <v>1920.25</v>
      </c>
      <c r="N745">
        <v>74649</v>
      </c>
      <c r="O745">
        <v>1393.73</v>
      </c>
      <c r="P745" s="1">
        <v>0.35599999999999998</v>
      </c>
      <c r="Q745">
        <f t="shared" si="55"/>
        <v>122</v>
      </c>
      <c r="R745">
        <f t="shared" si="56"/>
        <v>106</v>
      </c>
      <c r="S745" s="1">
        <f t="shared" si="57"/>
        <v>0.36065573770491804</v>
      </c>
      <c r="T745">
        <f t="shared" si="58"/>
        <v>1.22</v>
      </c>
      <c r="U745" t="str">
        <f t="shared" si="59"/>
        <v>Mar</v>
      </c>
    </row>
    <row r="746" spans="1:21">
      <c r="A746" s="2">
        <v>46079</v>
      </c>
      <c r="B746" t="s">
        <v>4</v>
      </c>
      <c r="C746" t="s">
        <v>46</v>
      </c>
      <c r="D746" t="s">
        <v>7</v>
      </c>
      <c r="E746" t="s">
        <v>47</v>
      </c>
      <c r="F746" t="s">
        <v>33</v>
      </c>
      <c r="G746">
        <v>92</v>
      </c>
      <c r="H746">
        <v>73</v>
      </c>
      <c r="I746">
        <v>42</v>
      </c>
      <c r="J746">
        <v>105</v>
      </c>
      <c r="K746">
        <v>432</v>
      </c>
      <c r="L746">
        <v>96.52</v>
      </c>
      <c r="M746">
        <v>2401.14</v>
      </c>
      <c r="N746">
        <v>65325</v>
      </c>
      <c r="O746">
        <v>1419.97</v>
      </c>
      <c r="P746" s="1">
        <v>-0.85399999999999998</v>
      </c>
      <c r="Q746">
        <f t="shared" si="55"/>
        <v>165</v>
      </c>
      <c r="R746">
        <f t="shared" si="56"/>
        <v>178</v>
      </c>
      <c r="S746" s="1">
        <f t="shared" si="57"/>
        <v>0.74545454545454548</v>
      </c>
      <c r="T746">
        <f t="shared" si="58"/>
        <v>1.65</v>
      </c>
      <c r="U746" t="str">
        <f t="shared" si="59"/>
        <v>Feb</v>
      </c>
    </row>
    <row r="747" spans="1:21">
      <c r="A747" s="2">
        <v>46105</v>
      </c>
      <c r="B747" t="s">
        <v>6</v>
      </c>
      <c r="C747" t="s">
        <v>43</v>
      </c>
      <c r="D747" t="s">
        <v>10</v>
      </c>
      <c r="E747" t="s">
        <v>38</v>
      </c>
      <c r="F747" t="s">
        <v>39</v>
      </c>
      <c r="G747">
        <v>46</v>
      </c>
      <c r="H747">
        <v>28</v>
      </c>
      <c r="I747">
        <v>20</v>
      </c>
      <c r="J747">
        <v>19</v>
      </c>
      <c r="K747">
        <v>161</v>
      </c>
      <c r="L747">
        <v>96.09</v>
      </c>
      <c r="M747">
        <v>2237.5300000000002</v>
      </c>
      <c r="N747">
        <v>74530</v>
      </c>
      <c r="O747">
        <v>993.52</v>
      </c>
      <c r="P747" s="1">
        <v>0.29699999999999999</v>
      </c>
      <c r="Q747">
        <f t="shared" si="55"/>
        <v>74</v>
      </c>
      <c r="R747">
        <f t="shared" si="56"/>
        <v>47</v>
      </c>
      <c r="S747" s="1">
        <f t="shared" si="57"/>
        <v>0.72972972972972971</v>
      </c>
      <c r="T747">
        <f t="shared" si="58"/>
        <v>0.74</v>
      </c>
      <c r="U747" t="str">
        <f t="shared" si="59"/>
        <v>Mar</v>
      </c>
    </row>
    <row r="748" spans="1:21">
      <c r="A748" s="2">
        <v>46099</v>
      </c>
      <c r="B748" t="s">
        <v>4</v>
      </c>
      <c r="C748" t="s">
        <v>31</v>
      </c>
      <c r="D748" t="s">
        <v>7</v>
      </c>
      <c r="E748" t="s">
        <v>41</v>
      </c>
      <c r="F748" t="s">
        <v>39</v>
      </c>
      <c r="G748">
        <v>13</v>
      </c>
      <c r="H748">
        <v>52</v>
      </c>
      <c r="I748">
        <v>29</v>
      </c>
      <c r="J748">
        <v>21</v>
      </c>
      <c r="K748">
        <v>30</v>
      </c>
      <c r="L748">
        <v>102.59</v>
      </c>
      <c r="M748">
        <v>2101.1999999999998</v>
      </c>
      <c r="N748">
        <v>67881</v>
      </c>
      <c r="O748">
        <v>964.35</v>
      </c>
      <c r="P748" s="1">
        <v>-0.59099999999999997</v>
      </c>
      <c r="Q748">
        <f t="shared" si="55"/>
        <v>65</v>
      </c>
      <c r="R748">
        <f t="shared" si="56"/>
        <v>73</v>
      </c>
      <c r="S748" s="1">
        <f t="shared" si="57"/>
        <v>0.55384615384615388</v>
      </c>
      <c r="T748">
        <f t="shared" si="58"/>
        <v>0.65</v>
      </c>
      <c r="U748" t="str">
        <f t="shared" si="59"/>
        <v>Mar</v>
      </c>
    </row>
    <row r="749" spans="1:21">
      <c r="A749" s="2">
        <v>46126</v>
      </c>
      <c r="B749" t="s">
        <v>6</v>
      </c>
      <c r="C749" t="s">
        <v>50</v>
      </c>
      <c r="D749" t="s">
        <v>9</v>
      </c>
      <c r="E749" t="s">
        <v>35</v>
      </c>
      <c r="F749" t="s">
        <v>45</v>
      </c>
      <c r="G749">
        <v>89</v>
      </c>
      <c r="H749">
        <v>23</v>
      </c>
      <c r="I749">
        <v>62</v>
      </c>
      <c r="J749">
        <v>33</v>
      </c>
      <c r="K749">
        <v>388</v>
      </c>
      <c r="L749">
        <v>96.83</v>
      </c>
      <c r="M749">
        <v>2234.5500000000002</v>
      </c>
      <c r="N749">
        <v>67975</v>
      </c>
      <c r="O749">
        <v>1423.57</v>
      </c>
      <c r="P749" s="1">
        <v>-0.77100000000000002</v>
      </c>
      <c r="Q749">
        <f t="shared" si="55"/>
        <v>112</v>
      </c>
      <c r="R749">
        <f t="shared" si="56"/>
        <v>56</v>
      </c>
      <c r="S749" s="1">
        <f t="shared" si="57"/>
        <v>0.44642857142857145</v>
      </c>
      <c r="T749">
        <f t="shared" si="58"/>
        <v>1.1200000000000001</v>
      </c>
      <c r="U749" t="str">
        <f t="shared" si="59"/>
        <v>Apr</v>
      </c>
    </row>
    <row r="750" spans="1:21">
      <c r="A750" s="2">
        <v>46071</v>
      </c>
      <c r="B750" t="s">
        <v>4</v>
      </c>
      <c r="C750" t="s">
        <v>34</v>
      </c>
      <c r="D750" t="s">
        <v>5</v>
      </c>
      <c r="E750" t="s">
        <v>47</v>
      </c>
      <c r="F750" t="s">
        <v>33</v>
      </c>
      <c r="G750">
        <v>96</v>
      </c>
      <c r="H750">
        <v>25</v>
      </c>
      <c r="I750">
        <v>63</v>
      </c>
      <c r="J750">
        <v>125</v>
      </c>
      <c r="K750">
        <v>264</v>
      </c>
      <c r="L750">
        <v>94.09</v>
      </c>
      <c r="M750">
        <v>2218.02</v>
      </c>
      <c r="N750">
        <v>70961</v>
      </c>
      <c r="O750">
        <v>1074.4000000000001</v>
      </c>
      <c r="P750" s="1">
        <v>-0.60799999999999998</v>
      </c>
      <c r="Q750">
        <f t="shared" si="55"/>
        <v>121</v>
      </c>
      <c r="R750">
        <f t="shared" si="56"/>
        <v>150</v>
      </c>
      <c r="S750" s="1">
        <f t="shared" si="57"/>
        <v>0.47933884297520662</v>
      </c>
      <c r="T750">
        <f t="shared" si="58"/>
        <v>1.21</v>
      </c>
      <c r="U750" t="str">
        <f t="shared" si="59"/>
        <v>Feb</v>
      </c>
    </row>
    <row r="751" spans="1:21">
      <c r="A751" s="2">
        <v>46098</v>
      </c>
      <c r="B751" t="s">
        <v>6</v>
      </c>
      <c r="C751" t="s">
        <v>31</v>
      </c>
      <c r="D751" t="s">
        <v>5</v>
      </c>
      <c r="E751" t="s">
        <v>35</v>
      </c>
      <c r="F751" t="s">
        <v>45</v>
      </c>
      <c r="G751">
        <v>25</v>
      </c>
      <c r="H751">
        <v>73</v>
      </c>
      <c r="I751">
        <v>74</v>
      </c>
      <c r="J751">
        <v>32</v>
      </c>
      <c r="K751">
        <v>412</v>
      </c>
      <c r="L751">
        <v>90.22</v>
      </c>
      <c r="M751">
        <v>2250.59</v>
      </c>
      <c r="N751">
        <v>67739</v>
      </c>
      <c r="O751">
        <v>927.44</v>
      </c>
      <c r="P751" s="1">
        <v>-9.5000000000000001E-2</v>
      </c>
      <c r="Q751">
        <f t="shared" si="55"/>
        <v>98</v>
      </c>
      <c r="R751">
        <f t="shared" si="56"/>
        <v>105</v>
      </c>
      <c r="S751" s="1">
        <f t="shared" si="57"/>
        <v>0.24489795918367346</v>
      </c>
      <c r="T751">
        <f t="shared" si="58"/>
        <v>0.98</v>
      </c>
      <c r="U751" t="str">
        <f t="shared" si="59"/>
        <v>Mar</v>
      </c>
    </row>
    <row r="752" spans="1:21">
      <c r="A752" s="2">
        <v>46081</v>
      </c>
      <c r="B752" t="s">
        <v>4</v>
      </c>
      <c r="C752" t="s">
        <v>34</v>
      </c>
      <c r="D752" t="s">
        <v>11</v>
      </c>
      <c r="E752" t="s">
        <v>38</v>
      </c>
      <c r="F752" t="s">
        <v>45</v>
      </c>
      <c r="G752">
        <v>72</v>
      </c>
      <c r="H752">
        <v>1</v>
      </c>
      <c r="I752">
        <v>59</v>
      </c>
      <c r="J752">
        <v>27</v>
      </c>
      <c r="K752">
        <v>226</v>
      </c>
      <c r="L752">
        <v>80.900000000000006</v>
      </c>
      <c r="M752">
        <v>1961.2</v>
      </c>
      <c r="N752">
        <v>67653</v>
      </c>
      <c r="O752">
        <v>1528.05</v>
      </c>
      <c r="P752" s="1">
        <v>-0.97199999999999998</v>
      </c>
      <c r="Q752">
        <f t="shared" si="55"/>
        <v>73</v>
      </c>
      <c r="R752">
        <f t="shared" si="56"/>
        <v>28</v>
      </c>
      <c r="S752" s="1">
        <f t="shared" si="57"/>
        <v>0.19178082191780821</v>
      </c>
      <c r="T752">
        <f t="shared" si="58"/>
        <v>0.73</v>
      </c>
      <c r="U752" t="str">
        <f t="shared" si="59"/>
        <v>Feb</v>
      </c>
    </row>
    <row r="753" spans="1:21">
      <c r="A753" s="2">
        <v>46073</v>
      </c>
      <c r="B753" t="s">
        <v>4</v>
      </c>
      <c r="C753" t="s">
        <v>34</v>
      </c>
      <c r="D753" t="s">
        <v>9</v>
      </c>
      <c r="E753" t="s">
        <v>32</v>
      </c>
      <c r="F753" t="s">
        <v>33</v>
      </c>
      <c r="G753">
        <v>113</v>
      </c>
      <c r="H753">
        <v>72</v>
      </c>
      <c r="I753">
        <v>40</v>
      </c>
      <c r="J753">
        <v>47</v>
      </c>
      <c r="K753">
        <v>264</v>
      </c>
      <c r="L753">
        <v>102.76</v>
      </c>
      <c r="M753">
        <v>2266.91</v>
      </c>
      <c r="N753">
        <v>71161</v>
      </c>
      <c r="O753">
        <v>1597.45</v>
      </c>
      <c r="P753" s="1">
        <v>-7.5999999999999998E-2</v>
      </c>
      <c r="Q753">
        <f t="shared" si="55"/>
        <v>185</v>
      </c>
      <c r="R753">
        <f t="shared" si="56"/>
        <v>119</v>
      </c>
      <c r="S753" s="1">
        <f t="shared" si="57"/>
        <v>0.78378378378378377</v>
      </c>
      <c r="T753">
        <f t="shared" si="58"/>
        <v>1.85</v>
      </c>
      <c r="U753" t="str">
        <f t="shared" si="59"/>
        <v>Feb</v>
      </c>
    </row>
    <row r="754" spans="1:21">
      <c r="A754" s="2">
        <v>46124</v>
      </c>
      <c r="B754" t="s">
        <v>6</v>
      </c>
      <c r="C754" t="s">
        <v>36</v>
      </c>
      <c r="D754" t="s">
        <v>5</v>
      </c>
      <c r="E754" t="s">
        <v>38</v>
      </c>
      <c r="F754" t="s">
        <v>33</v>
      </c>
      <c r="G754">
        <v>2</v>
      </c>
      <c r="H754">
        <v>16</v>
      </c>
      <c r="I754">
        <v>54</v>
      </c>
      <c r="J754">
        <v>112</v>
      </c>
      <c r="K754">
        <v>164</v>
      </c>
      <c r="L754">
        <v>132.63999999999999</v>
      </c>
      <c r="M754">
        <v>1804.82</v>
      </c>
      <c r="N754">
        <v>68648</v>
      </c>
      <c r="O754">
        <v>1698.26</v>
      </c>
      <c r="P754" s="1">
        <v>0.11899999999999999</v>
      </c>
      <c r="Q754">
        <f t="shared" si="55"/>
        <v>18</v>
      </c>
      <c r="R754">
        <f t="shared" si="56"/>
        <v>128</v>
      </c>
      <c r="S754" s="1">
        <f t="shared" si="57"/>
        <v>-2</v>
      </c>
      <c r="T754">
        <f t="shared" si="58"/>
        <v>0.18</v>
      </c>
      <c r="U754" t="str">
        <f t="shared" si="59"/>
        <v>Apr</v>
      </c>
    </row>
    <row r="755" spans="1:21">
      <c r="A755" s="2">
        <v>46107</v>
      </c>
      <c r="B755" t="s">
        <v>6</v>
      </c>
      <c r="C755" t="s">
        <v>51</v>
      </c>
      <c r="D755" t="s">
        <v>11</v>
      </c>
      <c r="E755" t="s">
        <v>35</v>
      </c>
      <c r="F755" t="s">
        <v>33</v>
      </c>
      <c r="G755">
        <v>91</v>
      </c>
      <c r="H755">
        <v>10</v>
      </c>
      <c r="I755">
        <v>1</v>
      </c>
      <c r="J755">
        <v>91</v>
      </c>
      <c r="K755">
        <v>121</v>
      </c>
      <c r="L755">
        <v>111.41</v>
      </c>
      <c r="M755">
        <v>2483.29</v>
      </c>
      <c r="N755">
        <v>66645</v>
      </c>
      <c r="O755">
        <v>1078.17</v>
      </c>
      <c r="P755" s="1">
        <v>0.434</v>
      </c>
      <c r="Q755">
        <f t="shared" si="55"/>
        <v>101</v>
      </c>
      <c r="R755">
        <f t="shared" si="56"/>
        <v>101</v>
      </c>
      <c r="S755" s="1">
        <f t="shared" si="57"/>
        <v>0.99009900990099009</v>
      </c>
      <c r="T755">
        <f t="shared" si="58"/>
        <v>1.01</v>
      </c>
      <c r="U755" t="str">
        <f t="shared" si="59"/>
        <v>Mar</v>
      </c>
    </row>
    <row r="756" spans="1:21">
      <c r="A756" s="2">
        <v>46068</v>
      </c>
      <c r="B756" t="s">
        <v>6</v>
      </c>
      <c r="C756" t="s">
        <v>43</v>
      </c>
      <c r="D756" t="s">
        <v>10</v>
      </c>
      <c r="E756" t="s">
        <v>47</v>
      </c>
      <c r="F756" t="s">
        <v>49</v>
      </c>
      <c r="G756">
        <v>7</v>
      </c>
      <c r="H756">
        <v>7</v>
      </c>
      <c r="I756">
        <v>18</v>
      </c>
      <c r="J756">
        <v>86</v>
      </c>
      <c r="K756">
        <v>382</v>
      </c>
      <c r="L756">
        <v>120.69</v>
      </c>
      <c r="M756">
        <v>2069.2399999999998</v>
      </c>
      <c r="N756">
        <v>64193</v>
      </c>
      <c r="O756">
        <v>1449.72</v>
      </c>
      <c r="P756" s="1">
        <v>0.26900000000000002</v>
      </c>
      <c r="Q756">
        <f t="shared" si="55"/>
        <v>14</v>
      </c>
      <c r="R756">
        <f t="shared" si="56"/>
        <v>93</v>
      </c>
      <c r="S756" s="1">
        <f t="shared" si="57"/>
        <v>-0.2857142857142857</v>
      </c>
      <c r="T756">
        <f t="shared" si="58"/>
        <v>0.14000000000000001</v>
      </c>
      <c r="U756" t="str">
        <f t="shared" si="59"/>
        <v>Feb</v>
      </c>
    </row>
    <row r="757" spans="1:21">
      <c r="A757" s="2">
        <v>46110</v>
      </c>
      <c r="B757" t="s">
        <v>6</v>
      </c>
      <c r="C757" t="s">
        <v>46</v>
      </c>
      <c r="D757" t="s">
        <v>5</v>
      </c>
      <c r="E757" t="s">
        <v>42</v>
      </c>
      <c r="F757" t="s">
        <v>33</v>
      </c>
      <c r="G757">
        <v>45</v>
      </c>
      <c r="H757">
        <v>73</v>
      </c>
      <c r="I757">
        <v>33</v>
      </c>
      <c r="J757">
        <v>5</v>
      </c>
      <c r="K757">
        <v>349</v>
      </c>
      <c r="L757">
        <v>96.04</v>
      </c>
      <c r="M757">
        <v>2367.11</v>
      </c>
      <c r="N757">
        <v>70340</v>
      </c>
      <c r="O757">
        <v>1557.74</v>
      </c>
      <c r="P757" s="1">
        <v>-6.4000000000000001E-2</v>
      </c>
      <c r="Q757">
        <f t="shared" si="55"/>
        <v>118</v>
      </c>
      <c r="R757">
        <f t="shared" si="56"/>
        <v>78</v>
      </c>
      <c r="S757" s="1">
        <f t="shared" si="57"/>
        <v>0.72033898305084743</v>
      </c>
      <c r="T757">
        <f t="shared" si="58"/>
        <v>1.18</v>
      </c>
      <c r="U757" t="str">
        <f t="shared" si="59"/>
        <v>Mar</v>
      </c>
    </row>
    <row r="758" spans="1:21">
      <c r="A758" s="2">
        <v>46112</v>
      </c>
      <c r="B758" t="s">
        <v>4</v>
      </c>
      <c r="C758" t="s">
        <v>46</v>
      </c>
      <c r="D758" t="s">
        <v>5</v>
      </c>
      <c r="E758" t="s">
        <v>35</v>
      </c>
      <c r="F758" t="s">
        <v>39</v>
      </c>
      <c r="G758">
        <v>39</v>
      </c>
      <c r="H758">
        <v>45</v>
      </c>
      <c r="I758">
        <v>43</v>
      </c>
      <c r="J758">
        <v>5</v>
      </c>
      <c r="K758">
        <v>40</v>
      </c>
      <c r="L758">
        <v>134.55000000000001</v>
      </c>
      <c r="M758">
        <v>2073.35</v>
      </c>
      <c r="N758">
        <v>67422</v>
      </c>
      <c r="O758">
        <v>1020.97</v>
      </c>
      <c r="P758" s="1">
        <v>-0.53400000000000003</v>
      </c>
      <c r="Q758">
        <f t="shared" si="55"/>
        <v>84</v>
      </c>
      <c r="R758">
        <f t="shared" si="56"/>
        <v>50</v>
      </c>
      <c r="S758" s="1">
        <f t="shared" si="57"/>
        <v>0.48809523809523808</v>
      </c>
      <c r="T758">
        <f t="shared" si="58"/>
        <v>0.84</v>
      </c>
      <c r="U758" t="str">
        <f t="shared" si="59"/>
        <v>Mar</v>
      </c>
    </row>
    <row r="759" spans="1:21">
      <c r="A759" s="2">
        <v>46124</v>
      </c>
      <c r="B759" t="s">
        <v>4</v>
      </c>
      <c r="C759" t="s">
        <v>34</v>
      </c>
      <c r="D759" t="s">
        <v>7</v>
      </c>
      <c r="E759" t="s">
        <v>38</v>
      </c>
      <c r="F759" t="s">
        <v>45</v>
      </c>
      <c r="G759">
        <v>7</v>
      </c>
      <c r="H759">
        <v>31</v>
      </c>
      <c r="I759">
        <v>71</v>
      </c>
      <c r="J759">
        <v>51</v>
      </c>
      <c r="K759">
        <v>439</v>
      </c>
      <c r="L759">
        <v>104.56</v>
      </c>
      <c r="M759">
        <v>1965.73</v>
      </c>
      <c r="N759">
        <v>65347</v>
      </c>
      <c r="O759">
        <v>934.1</v>
      </c>
      <c r="P759" s="1">
        <v>0.47</v>
      </c>
      <c r="Q759">
        <f t="shared" si="55"/>
        <v>38</v>
      </c>
      <c r="R759">
        <f t="shared" si="56"/>
        <v>82</v>
      </c>
      <c r="S759" s="1">
        <f t="shared" si="57"/>
        <v>-0.86842105263157898</v>
      </c>
      <c r="T759">
        <f t="shared" si="58"/>
        <v>0.38</v>
      </c>
      <c r="U759" t="str">
        <f t="shared" si="59"/>
        <v>Apr</v>
      </c>
    </row>
    <row r="760" spans="1:21">
      <c r="A760" s="2">
        <v>46083</v>
      </c>
      <c r="B760" t="s">
        <v>6</v>
      </c>
      <c r="C760" t="s">
        <v>31</v>
      </c>
      <c r="D760" t="s">
        <v>5</v>
      </c>
      <c r="E760" t="s">
        <v>32</v>
      </c>
      <c r="F760" t="s">
        <v>39</v>
      </c>
      <c r="G760">
        <v>64</v>
      </c>
      <c r="H760">
        <v>39</v>
      </c>
      <c r="I760">
        <v>3</v>
      </c>
      <c r="J760">
        <v>23</v>
      </c>
      <c r="K760">
        <v>364</v>
      </c>
      <c r="L760">
        <v>93.16</v>
      </c>
      <c r="M760">
        <v>1958.44</v>
      </c>
      <c r="N760">
        <v>66988</v>
      </c>
      <c r="O760">
        <v>918.72</v>
      </c>
      <c r="P760" s="1">
        <v>2.8000000000000001E-2</v>
      </c>
      <c r="Q760">
        <f t="shared" si="55"/>
        <v>103</v>
      </c>
      <c r="R760">
        <f t="shared" si="56"/>
        <v>62</v>
      </c>
      <c r="S760" s="1">
        <f t="shared" si="57"/>
        <v>0.970873786407767</v>
      </c>
      <c r="T760">
        <f t="shared" si="58"/>
        <v>1.03</v>
      </c>
      <c r="U760" t="str">
        <f t="shared" si="59"/>
        <v>Mar</v>
      </c>
    </row>
    <row r="761" spans="1:21">
      <c r="A761" s="2">
        <v>46121</v>
      </c>
      <c r="B761" t="s">
        <v>6</v>
      </c>
      <c r="C761" t="s">
        <v>31</v>
      </c>
      <c r="D761" t="s">
        <v>11</v>
      </c>
      <c r="E761" t="s">
        <v>37</v>
      </c>
      <c r="F761" t="s">
        <v>45</v>
      </c>
      <c r="G761">
        <v>64</v>
      </c>
      <c r="H761">
        <v>71</v>
      </c>
      <c r="I761">
        <v>78</v>
      </c>
      <c r="J761">
        <v>56</v>
      </c>
      <c r="K761">
        <v>287</v>
      </c>
      <c r="L761">
        <v>105.22</v>
      </c>
      <c r="M761">
        <v>2363.36</v>
      </c>
      <c r="N761">
        <v>70912</v>
      </c>
      <c r="O761">
        <v>1596.7</v>
      </c>
      <c r="P761" s="1">
        <v>0.22700000000000001</v>
      </c>
      <c r="Q761">
        <f t="shared" si="55"/>
        <v>135</v>
      </c>
      <c r="R761">
        <f t="shared" si="56"/>
        <v>127</v>
      </c>
      <c r="S761" s="1">
        <f t="shared" si="57"/>
        <v>0.42222222222222222</v>
      </c>
      <c r="T761">
        <f t="shared" si="58"/>
        <v>1.35</v>
      </c>
      <c r="U761" t="str">
        <f t="shared" si="59"/>
        <v>Apr</v>
      </c>
    </row>
    <row r="762" spans="1:21">
      <c r="A762" s="2">
        <v>46104</v>
      </c>
      <c r="B762" t="s">
        <v>4</v>
      </c>
      <c r="C762" t="s">
        <v>36</v>
      </c>
      <c r="D762" t="s">
        <v>7</v>
      </c>
      <c r="E762" t="s">
        <v>32</v>
      </c>
      <c r="F762" t="s">
        <v>49</v>
      </c>
      <c r="G762">
        <v>36</v>
      </c>
      <c r="H762">
        <v>31</v>
      </c>
      <c r="I762">
        <v>61</v>
      </c>
      <c r="J762">
        <v>34</v>
      </c>
      <c r="K762">
        <v>76</v>
      </c>
      <c r="L762">
        <v>81.7</v>
      </c>
      <c r="M762">
        <v>2273.39</v>
      </c>
      <c r="N762">
        <v>70244</v>
      </c>
      <c r="O762">
        <v>1283.6099999999999</v>
      </c>
      <c r="P762" s="1">
        <v>0.92700000000000005</v>
      </c>
      <c r="Q762">
        <f t="shared" si="55"/>
        <v>67</v>
      </c>
      <c r="R762">
        <f t="shared" si="56"/>
        <v>65</v>
      </c>
      <c r="S762" s="1">
        <f t="shared" si="57"/>
        <v>8.9552238805970144E-2</v>
      </c>
      <c r="T762">
        <f t="shared" si="58"/>
        <v>0.67</v>
      </c>
      <c r="U762" t="str">
        <f t="shared" si="59"/>
        <v>Mar</v>
      </c>
    </row>
    <row r="763" spans="1:21">
      <c r="A763" s="2">
        <v>46112</v>
      </c>
      <c r="B763" t="s">
        <v>6</v>
      </c>
      <c r="C763" t="s">
        <v>48</v>
      </c>
      <c r="D763" t="s">
        <v>10</v>
      </c>
      <c r="E763" t="s">
        <v>37</v>
      </c>
      <c r="F763" t="s">
        <v>49</v>
      </c>
      <c r="G763">
        <v>56</v>
      </c>
      <c r="H763">
        <v>40</v>
      </c>
      <c r="I763">
        <v>43</v>
      </c>
      <c r="J763">
        <v>96</v>
      </c>
      <c r="K763">
        <v>170</v>
      </c>
      <c r="L763">
        <v>87.35</v>
      </c>
      <c r="M763">
        <v>1892.97</v>
      </c>
      <c r="N763">
        <v>67250</v>
      </c>
      <c r="O763">
        <v>1406.56</v>
      </c>
      <c r="P763" s="1">
        <v>-0.79500000000000004</v>
      </c>
      <c r="Q763">
        <f t="shared" si="55"/>
        <v>96</v>
      </c>
      <c r="R763">
        <f t="shared" si="56"/>
        <v>136</v>
      </c>
      <c r="S763" s="1">
        <f t="shared" si="57"/>
        <v>0.55208333333333337</v>
      </c>
      <c r="T763">
        <f t="shared" si="58"/>
        <v>0.96</v>
      </c>
      <c r="U763" t="str">
        <f t="shared" si="59"/>
        <v>Mar</v>
      </c>
    </row>
    <row r="764" spans="1:21">
      <c r="A764" s="2">
        <v>46081</v>
      </c>
      <c r="B764" t="s">
        <v>6</v>
      </c>
      <c r="C764" t="s">
        <v>50</v>
      </c>
      <c r="D764" t="s">
        <v>9</v>
      </c>
      <c r="E764" t="s">
        <v>32</v>
      </c>
      <c r="F764" t="s">
        <v>33</v>
      </c>
      <c r="G764">
        <v>37</v>
      </c>
      <c r="H764">
        <v>1</v>
      </c>
      <c r="I764">
        <v>35</v>
      </c>
      <c r="J764">
        <v>21</v>
      </c>
      <c r="K764">
        <v>345</v>
      </c>
      <c r="L764">
        <v>115.18</v>
      </c>
      <c r="M764">
        <v>2116.6</v>
      </c>
      <c r="N764">
        <v>71462</v>
      </c>
      <c r="O764">
        <v>1668.79</v>
      </c>
      <c r="P764" s="1">
        <v>0.70699999999999996</v>
      </c>
      <c r="Q764">
        <f t="shared" si="55"/>
        <v>38</v>
      </c>
      <c r="R764">
        <f t="shared" si="56"/>
        <v>22</v>
      </c>
      <c r="S764" s="1">
        <f t="shared" si="57"/>
        <v>7.8947368421052627E-2</v>
      </c>
      <c r="T764">
        <f t="shared" si="58"/>
        <v>0.38</v>
      </c>
      <c r="U764" t="str">
        <f t="shared" si="59"/>
        <v>Feb</v>
      </c>
    </row>
    <row r="765" spans="1:21">
      <c r="A765" s="2">
        <v>46100</v>
      </c>
      <c r="B765" t="s">
        <v>6</v>
      </c>
      <c r="C765" t="s">
        <v>44</v>
      </c>
      <c r="D765" t="s">
        <v>11</v>
      </c>
      <c r="E765" t="s">
        <v>35</v>
      </c>
      <c r="F765" t="s">
        <v>39</v>
      </c>
      <c r="G765">
        <v>73</v>
      </c>
      <c r="H765">
        <v>63</v>
      </c>
      <c r="I765">
        <v>31</v>
      </c>
      <c r="J765">
        <v>71</v>
      </c>
      <c r="K765">
        <v>302</v>
      </c>
      <c r="L765">
        <v>90.29</v>
      </c>
      <c r="M765">
        <v>2066.13</v>
      </c>
      <c r="N765">
        <v>68165</v>
      </c>
      <c r="O765">
        <v>1117.92</v>
      </c>
      <c r="P765" s="1">
        <v>0.32600000000000001</v>
      </c>
      <c r="Q765">
        <f t="shared" si="55"/>
        <v>136</v>
      </c>
      <c r="R765">
        <f t="shared" si="56"/>
        <v>134</v>
      </c>
      <c r="S765" s="1">
        <f t="shared" si="57"/>
        <v>0.7720588235294118</v>
      </c>
      <c r="T765">
        <f t="shared" si="58"/>
        <v>1.36</v>
      </c>
      <c r="U765" t="str">
        <f t="shared" si="59"/>
        <v>Mar</v>
      </c>
    </row>
    <row r="766" spans="1:21">
      <c r="A766" s="2">
        <v>46120</v>
      </c>
      <c r="B766" t="s">
        <v>6</v>
      </c>
      <c r="C766" t="s">
        <v>34</v>
      </c>
      <c r="D766" t="s">
        <v>10</v>
      </c>
      <c r="E766" t="s">
        <v>38</v>
      </c>
      <c r="F766" t="s">
        <v>49</v>
      </c>
      <c r="G766">
        <v>106</v>
      </c>
      <c r="H766">
        <v>10</v>
      </c>
      <c r="I766">
        <v>15</v>
      </c>
      <c r="J766">
        <v>73</v>
      </c>
      <c r="K766">
        <v>64</v>
      </c>
      <c r="L766">
        <v>130.13999999999999</v>
      </c>
      <c r="M766">
        <v>1830.47</v>
      </c>
      <c r="N766">
        <v>66916</v>
      </c>
      <c r="O766">
        <v>1118.8399999999999</v>
      </c>
      <c r="P766" s="1">
        <v>0.79500000000000004</v>
      </c>
      <c r="Q766">
        <f t="shared" si="55"/>
        <v>116</v>
      </c>
      <c r="R766">
        <f t="shared" si="56"/>
        <v>83</v>
      </c>
      <c r="S766" s="1">
        <f t="shared" si="57"/>
        <v>0.87068965517241381</v>
      </c>
      <c r="T766">
        <f t="shared" si="58"/>
        <v>1.1599999999999999</v>
      </c>
      <c r="U766" t="str">
        <f t="shared" si="59"/>
        <v>Apr</v>
      </c>
    </row>
    <row r="767" spans="1:21">
      <c r="A767" s="2">
        <v>46123</v>
      </c>
      <c r="B767" t="s">
        <v>4</v>
      </c>
      <c r="C767" t="s">
        <v>46</v>
      </c>
      <c r="D767" t="s">
        <v>7</v>
      </c>
      <c r="E767" t="s">
        <v>47</v>
      </c>
      <c r="F767" t="s">
        <v>45</v>
      </c>
      <c r="G767">
        <v>80</v>
      </c>
      <c r="H767">
        <v>25</v>
      </c>
      <c r="I767">
        <v>1</v>
      </c>
      <c r="J767">
        <v>53</v>
      </c>
      <c r="K767">
        <v>234</v>
      </c>
      <c r="L767">
        <v>132.16999999999999</v>
      </c>
      <c r="M767">
        <v>2356.9299999999998</v>
      </c>
      <c r="N767">
        <v>69408</v>
      </c>
      <c r="O767">
        <v>1697.3</v>
      </c>
      <c r="P767" s="1">
        <v>-0.77700000000000002</v>
      </c>
      <c r="Q767">
        <f t="shared" si="55"/>
        <v>105</v>
      </c>
      <c r="R767">
        <f t="shared" si="56"/>
        <v>78</v>
      </c>
      <c r="S767" s="1">
        <f t="shared" si="57"/>
        <v>0.99047619047619051</v>
      </c>
      <c r="T767">
        <f t="shared" si="58"/>
        <v>1.05</v>
      </c>
      <c r="U767" t="str">
        <f t="shared" si="59"/>
        <v>Apr</v>
      </c>
    </row>
    <row r="768" spans="1:21">
      <c r="A768" s="2">
        <v>46126</v>
      </c>
      <c r="B768" t="s">
        <v>4</v>
      </c>
      <c r="C768" t="s">
        <v>51</v>
      </c>
      <c r="D768" t="s">
        <v>7</v>
      </c>
      <c r="E768" t="s">
        <v>38</v>
      </c>
      <c r="F768" t="s">
        <v>45</v>
      </c>
      <c r="G768">
        <v>52</v>
      </c>
      <c r="H768">
        <v>24</v>
      </c>
      <c r="I768">
        <v>29</v>
      </c>
      <c r="J768">
        <v>5</v>
      </c>
      <c r="K768">
        <v>305</v>
      </c>
      <c r="L768">
        <v>108.9</v>
      </c>
      <c r="M768">
        <v>2235.33</v>
      </c>
      <c r="N768">
        <v>72914</v>
      </c>
      <c r="O768">
        <v>1431.99</v>
      </c>
      <c r="P768" s="1">
        <v>-1.2E-2</v>
      </c>
      <c r="Q768">
        <f t="shared" si="55"/>
        <v>76</v>
      </c>
      <c r="R768">
        <f t="shared" si="56"/>
        <v>29</v>
      </c>
      <c r="S768" s="1">
        <f t="shared" si="57"/>
        <v>0.61842105263157898</v>
      </c>
      <c r="T768">
        <f t="shared" si="58"/>
        <v>0.76</v>
      </c>
      <c r="U768" t="str">
        <f t="shared" si="59"/>
        <v>Apr</v>
      </c>
    </row>
    <row r="769" spans="1:21">
      <c r="A769" s="2">
        <v>46100</v>
      </c>
      <c r="B769" t="s">
        <v>6</v>
      </c>
      <c r="C769" t="s">
        <v>44</v>
      </c>
      <c r="D769" t="s">
        <v>5</v>
      </c>
      <c r="E769" t="s">
        <v>47</v>
      </c>
      <c r="F769" t="s">
        <v>45</v>
      </c>
      <c r="G769">
        <v>46</v>
      </c>
      <c r="H769">
        <v>12</v>
      </c>
      <c r="I769">
        <v>42</v>
      </c>
      <c r="J769">
        <v>134</v>
      </c>
      <c r="K769">
        <v>50</v>
      </c>
      <c r="L769">
        <v>88.15</v>
      </c>
      <c r="M769">
        <v>2228.36</v>
      </c>
      <c r="N769">
        <v>67749</v>
      </c>
      <c r="O769">
        <v>997.89</v>
      </c>
      <c r="P769" s="1">
        <v>0.16900000000000001</v>
      </c>
      <c r="Q769">
        <f t="shared" si="55"/>
        <v>58</v>
      </c>
      <c r="R769">
        <f t="shared" si="56"/>
        <v>146</v>
      </c>
      <c r="S769" s="1">
        <f t="shared" si="57"/>
        <v>0.27586206896551724</v>
      </c>
      <c r="T769">
        <f t="shared" si="58"/>
        <v>0.57999999999999996</v>
      </c>
      <c r="U769" t="str">
        <f t="shared" si="59"/>
        <v>Mar</v>
      </c>
    </row>
    <row r="770" spans="1:21">
      <c r="A770" s="2">
        <v>46122</v>
      </c>
      <c r="B770" t="s">
        <v>6</v>
      </c>
      <c r="C770" t="s">
        <v>51</v>
      </c>
      <c r="D770" t="s">
        <v>11</v>
      </c>
      <c r="E770" t="s">
        <v>37</v>
      </c>
      <c r="F770" t="s">
        <v>49</v>
      </c>
      <c r="G770">
        <v>42</v>
      </c>
      <c r="H770">
        <v>73</v>
      </c>
      <c r="I770">
        <v>8</v>
      </c>
      <c r="J770">
        <v>72</v>
      </c>
      <c r="K770">
        <v>110</v>
      </c>
      <c r="L770">
        <v>108.76</v>
      </c>
      <c r="M770">
        <v>2376.87</v>
      </c>
      <c r="N770">
        <v>67453</v>
      </c>
      <c r="O770">
        <v>1363.65</v>
      </c>
      <c r="P770" s="1">
        <v>0.27400000000000002</v>
      </c>
      <c r="Q770">
        <f t="shared" si="55"/>
        <v>115</v>
      </c>
      <c r="R770">
        <f t="shared" si="56"/>
        <v>145</v>
      </c>
      <c r="S770" s="1">
        <f t="shared" si="57"/>
        <v>0.93043478260869561</v>
      </c>
      <c r="T770">
        <f t="shared" si="58"/>
        <v>1.1499999999999999</v>
      </c>
      <c r="U770" t="str">
        <f t="shared" si="59"/>
        <v>Apr</v>
      </c>
    </row>
    <row r="771" spans="1:21">
      <c r="A771" s="2">
        <v>46079</v>
      </c>
      <c r="B771" t="s">
        <v>6</v>
      </c>
      <c r="C771" t="s">
        <v>36</v>
      </c>
      <c r="D771" t="s">
        <v>7</v>
      </c>
      <c r="E771" t="s">
        <v>32</v>
      </c>
      <c r="F771" t="s">
        <v>33</v>
      </c>
      <c r="G771">
        <v>83</v>
      </c>
      <c r="H771">
        <v>75</v>
      </c>
      <c r="I771">
        <v>87</v>
      </c>
      <c r="J771">
        <v>77</v>
      </c>
      <c r="K771">
        <v>305</v>
      </c>
      <c r="L771">
        <v>88.48</v>
      </c>
      <c r="M771">
        <v>2235.6999999999998</v>
      </c>
      <c r="N771">
        <v>72351</v>
      </c>
      <c r="O771">
        <v>1050.01</v>
      </c>
      <c r="P771" s="1">
        <v>0.86599999999999999</v>
      </c>
      <c r="Q771">
        <f t="shared" ref="Q771:Q834" si="60">G771+H771</f>
        <v>158</v>
      </c>
      <c r="R771">
        <f t="shared" ref="R771:R834" si="61">J771+H771</f>
        <v>152</v>
      </c>
      <c r="S771" s="1">
        <f t="shared" ref="S771:S834" si="62">(Q771-I771)/(Q771)</f>
        <v>0.44936708860759494</v>
      </c>
      <c r="T771">
        <f t="shared" ref="T771:T834" si="63">Q771/100</f>
        <v>1.58</v>
      </c>
      <c r="U771" t="str">
        <f t="shared" ref="U771:U834" si="64">TEXT(A771,"mmm")</f>
        <v>Feb</v>
      </c>
    </row>
    <row r="772" spans="1:21">
      <c r="A772" s="2">
        <v>46111</v>
      </c>
      <c r="B772" t="s">
        <v>4</v>
      </c>
      <c r="C772" t="s">
        <v>36</v>
      </c>
      <c r="D772" t="s">
        <v>11</v>
      </c>
      <c r="E772" t="s">
        <v>37</v>
      </c>
      <c r="F772" t="s">
        <v>33</v>
      </c>
      <c r="G772">
        <v>77</v>
      </c>
      <c r="H772">
        <v>56</v>
      </c>
      <c r="I772">
        <v>68</v>
      </c>
      <c r="J772">
        <v>11</v>
      </c>
      <c r="K772">
        <v>170</v>
      </c>
      <c r="L772">
        <v>119.46</v>
      </c>
      <c r="M772">
        <v>2236.56</v>
      </c>
      <c r="N772">
        <v>66503</v>
      </c>
      <c r="O772">
        <v>1190.3599999999999</v>
      </c>
      <c r="P772" s="1">
        <v>-0.80200000000000005</v>
      </c>
      <c r="Q772">
        <f t="shared" si="60"/>
        <v>133</v>
      </c>
      <c r="R772">
        <f t="shared" si="61"/>
        <v>67</v>
      </c>
      <c r="S772" s="1">
        <f t="shared" si="62"/>
        <v>0.48872180451127817</v>
      </c>
      <c r="T772">
        <f t="shared" si="63"/>
        <v>1.33</v>
      </c>
      <c r="U772" t="str">
        <f t="shared" si="64"/>
        <v>Mar</v>
      </c>
    </row>
    <row r="773" spans="1:21">
      <c r="A773" s="2">
        <v>46069</v>
      </c>
      <c r="B773" t="s">
        <v>4</v>
      </c>
      <c r="C773" t="s">
        <v>48</v>
      </c>
      <c r="D773" t="s">
        <v>10</v>
      </c>
      <c r="E773" t="s">
        <v>37</v>
      </c>
      <c r="F773" t="s">
        <v>49</v>
      </c>
      <c r="G773">
        <v>66</v>
      </c>
      <c r="H773">
        <v>66</v>
      </c>
      <c r="I773">
        <v>70</v>
      </c>
      <c r="J773">
        <v>19</v>
      </c>
      <c r="K773">
        <v>259</v>
      </c>
      <c r="L773">
        <v>119.44</v>
      </c>
      <c r="M773">
        <v>1988.09</v>
      </c>
      <c r="N773">
        <v>68244</v>
      </c>
      <c r="O773">
        <v>1015.58</v>
      </c>
      <c r="P773" s="1">
        <v>-0.39</v>
      </c>
      <c r="Q773">
        <f t="shared" si="60"/>
        <v>132</v>
      </c>
      <c r="R773">
        <f t="shared" si="61"/>
        <v>85</v>
      </c>
      <c r="S773" s="1">
        <f t="shared" si="62"/>
        <v>0.46969696969696972</v>
      </c>
      <c r="T773">
        <f t="shared" si="63"/>
        <v>1.32</v>
      </c>
      <c r="U773" t="str">
        <f t="shared" si="64"/>
        <v>Feb</v>
      </c>
    </row>
    <row r="774" spans="1:21">
      <c r="A774" s="2">
        <v>46100</v>
      </c>
      <c r="B774" t="s">
        <v>6</v>
      </c>
      <c r="C774" t="s">
        <v>34</v>
      </c>
      <c r="D774" t="s">
        <v>5</v>
      </c>
      <c r="E774" t="s">
        <v>42</v>
      </c>
      <c r="F774" t="s">
        <v>45</v>
      </c>
      <c r="G774">
        <v>76</v>
      </c>
      <c r="H774">
        <v>55</v>
      </c>
      <c r="I774">
        <v>67</v>
      </c>
      <c r="J774">
        <v>41</v>
      </c>
      <c r="K774">
        <v>202</v>
      </c>
      <c r="L774">
        <v>134.30000000000001</v>
      </c>
      <c r="M774">
        <v>1919.8</v>
      </c>
      <c r="N774">
        <v>72714</v>
      </c>
      <c r="O774">
        <v>1770.49</v>
      </c>
      <c r="P774" s="1">
        <v>-6.3E-2</v>
      </c>
      <c r="Q774">
        <f t="shared" si="60"/>
        <v>131</v>
      </c>
      <c r="R774">
        <f t="shared" si="61"/>
        <v>96</v>
      </c>
      <c r="S774" s="1">
        <f t="shared" si="62"/>
        <v>0.48854961832061067</v>
      </c>
      <c r="T774">
        <f t="shared" si="63"/>
        <v>1.31</v>
      </c>
      <c r="U774" t="str">
        <f t="shared" si="64"/>
        <v>Mar</v>
      </c>
    </row>
    <row r="775" spans="1:21">
      <c r="A775" s="2">
        <v>46107</v>
      </c>
      <c r="B775" t="s">
        <v>4</v>
      </c>
      <c r="C775" t="s">
        <v>31</v>
      </c>
      <c r="D775" t="s">
        <v>9</v>
      </c>
      <c r="E775" t="s">
        <v>38</v>
      </c>
      <c r="F775" t="s">
        <v>45</v>
      </c>
      <c r="G775">
        <v>85</v>
      </c>
      <c r="H775">
        <v>14</v>
      </c>
      <c r="I775">
        <v>42</v>
      </c>
      <c r="J775">
        <v>115</v>
      </c>
      <c r="K775">
        <v>42</v>
      </c>
      <c r="L775">
        <v>88.05</v>
      </c>
      <c r="M775">
        <v>2123.23</v>
      </c>
      <c r="N775">
        <v>71272</v>
      </c>
      <c r="O775">
        <v>1426.56</v>
      </c>
      <c r="P775" s="1">
        <v>0.24199999999999999</v>
      </c>
      <c r="Q775">
        <f t="shared" si="60"/>
        <v>99</v>
      </c>
      <c r="R775">
        <f t="shared" si="61"/>
        <v>129</v>
      </c>
      <c r="S775" s="1">
        <f t="shared" si="62"/>
        <v>0.5757575757575758</v>
      </c>
      <c r="T775">
        <f t="shared" si="63"/>
        <v>0.99</v>
      </c>
      <c r="U775" t="str">
        <f t="shared" si="64"/>
        <v>Mar</v>
      </c>
    </row>
    <row r="776" spans="1:21">
      <c r="A776" s="2">
        <v>46074</v>
      </c>
      <c r="B776" t="s">
        <v>4</v>
      </c>
      <c r="C776" t="s">
        <v>40</v>
      </c>
      <c r="D776" t="s">
        <v>11</v>
      </c>
      <c r="E776" t="s">
        <v>42</v>
      </c>
      <c r="F776" t="s">
        <v>49</v>
      </c>
      <c r="G776">
        <v>53</v>
      </c>
      <c r="H776">
        <v>74</v>
      </c>
      <c r="I776">
        <v>21</v>
      </c>
      <c r="J776">
        <v>51</v>
      </c>
      <c r="K776">
        <v>88</v>
      </c>
      <c r="L776">
        <v>137.13999999999999</v>
      </c>
      <c r="M776">
        <v>2070.19</v>
      </c>
      <c r="N776">
        <v>66576</v>
      </c>
      <c r="O776">
        <v>1696.34</v>
      </c>
      <c r="P776" s="1">
        <v>-0.186</v>
      </c>
      <c r="Q776">
        <f t="shared" si="60"/>
        <v>127</v>
      </c>
      <c r="R776">
        <f t="shared" si="61"/>
        <v>125</v>
      </c>
      <c r="S776" s="1">
        <f t="shared" si="62"/>
        <v>0.83464566929133854</v>
      </c>
      <c r="T776">
        <f t="shared" si="63"/>
        <v>1.27</v>
      </c>
      <c r="U776" t="str">
        <f t="shared" si="64"/>
        <v>Feb</v>
      </c>
    </row>
    <row r="777" spans="1:21">
      <c r="A777" s="2">
        <v>46116</v>
      </c>
      <c r="B777" t="s">
        <v>6</v>
      </c>
      <c r="C777" t="s">
        <v>31</v>
      </c>
      <c r="D777" t="s">
        <v>7</v>
      </c>
      <c r="E777" t="s">
        <v>41</v>
      </c>
      <c r="F777" t="s">
        <v>33</v>
      </c>
      <c r="G777">
        <v>96</v>
      </c>
      <c r="H777">
        <v>6</v>
      </c>
      <c r="I777">
        <v>56</v>
      </c>
      <c r="J777">
        <v>80</v>
      </c>
      <c r="K777">
        <v>94</v>
      </c>
      <c r="L777">
        <v>90.69</v>
      </c>
      <c r="M777">
        <v>2301.98</v>
      </c>
      <c r="N777">
        <v>70720</v>
      </c>
      <c r="O777">
        <v>1555.68</v>
      </c>
      <c r="P777" s="1">
        <v>-0.56299999999999994</v>
      </c>
      <c r="Q777">
        <f t="shared" si="60"/>
        <v>102</v>
      </c>
      <c r="R777">
        <f t="shared" si="61"/>
        <v>86</v>
      </c>
      <c r="S777" s="1">
        <f t="shared" si="62"/>
        <v>0.45098039215686275</v>
      </c>
      <c r="T777">
        <f t="shared" si="63"/>
        <v>1.02</v>
      </c>
      <c r="U777" t="str">
        <f t="shared" si="64"/>
        <v>Apr</v>
      </c>
    </row>
    <row r="778" spans="1:21">
      <c r="A778" s="2">
        <v>46071</v>
      </c>
      <c r="B778" t="s">
        <v>4</v>
      </c>
      <c r="C778" t="s">
        <v>36</v>
      </c>
      <c r="D778" t="s">
        <v>11</v>
      </c>
      <c r="E778" t="s">
        <v>35</v>
      </c>
      <c r="F778" t="s">
        <v>49</v>
      </c>
      <c r="G778">
        <v>13</v>
      </c>
      <c r="H778">
        <v>57</v>
      </c>
      <c r="I778">
        <v>85</v>
      </c>
      <c r="J778">
        <v>58</v>
      </c>
      <c r="K778">
        <v>306</v>
      </c>
      <c r="L778">
        <v>107.48</v>
      </c>
      <c r="M778">
        <v>1885.72</v>
      </c>
      <c r="N778">
        <v>66635</v>
      </c>
      <c r="O778">
        <v>954.59</v>
      </c>
      <c r="P778" s="1">
        <v>0.222</v>
      </c>
      <c r="Q778">
        <f t="shared" si="60"/>
        <v>70</v>
      </c>
      <c r="R778">
        <f t="shared" si="61"/>
        <v>115</v>
      </c>
      <c r="S778" s="1">
        <f t="shared" si="62"/>
        <v>-0.21428571428571427</v>
      </c>
      <c r="T778">
        <f t="shared" si="63"/>
        <v>0.7</v>
      </c>
      <c r="U778" t="str">
        <f t="shared" si="64"/>
        <v>Feb</v>
      </c>
    </row>
    <row r="779" spans="1:21">
      <c r="A779" s="2">
        <v>46106</v>
      </c>
      <c r="B779" t="s">
        <v>4</v>
      </c>
      <c r="C779" t="s">
        <v>34</v>
      </c>
      <c r="D779" t="s">
        <v>10</v>
      </c>
      <c r="E779" t="s">
        <v>37</v>
      </c>
      <c r="F779" t="s">
        <v>39</v>
      </c>
      <c r="G779">
        <v>29</v>
      </c>
      <c r="H779">
        <v>1</v>
      </c>
      <c r="I779">
        <v>58</v>
      </c>
      <c r="J779">
        <v>3</v>
      </c>
      <c r="K779">
        <v>302</v>
      </c>
      <c r="L779">
        <v>128.55000000000001</v>
      </c>
      <c r="M779">
        <v>1928.66</v>
      </c>
      <c r="N779">
        <v>74181</v>
      </c>
      <c r="O779">
        <v>1060.3900000000001</v>
      </c>
      <c r="P779" s="1">
        <v>0.48399999999999999</v>
      </c>
      <c r="Q779">
        <f t="shared" si="60"/>
        <v>30</v>
      </c>
      <c r="R779">
        <f t="shared" si="61"/>
        <v>4</v>
      </c>
      <c r="S779" s="1">
        <f t="shared" si="62"/>
        <v>-0.93333333333333335</v>
      </c>
      <c r="T779">
        <f t="shared" si="63"/>
        <v>0.3</v>
      </c>
      <c r="U779" t="str">
        <f t="shared" si="64"/>
        <v>Mar</v>
      </c>
    </row>
    <row r="780" spans="1:21">
      <c r="A780" s="2">
        <v>46123</v>
      </c>
      <c r="B780" t="s">
        <v>4</v>
      </c>
      <c r="C780" t="s">
        <v>50</v>
      </c>
      <c r="D780" t="s">
        <v>7</v>
      </c>
      <c r="E780" t="s">
        <v>38</v>
      </c>
      <c r="F780" t="s">
        <v>49</v>
      </c>
      <c r="G780">
        <v>75</v>
      </c>
      <c r="H780">
        <v>33</v>
      </c>
      <c r="I780">
        <v>9</v>
      </c>
      <c r="J780">
        <v>31</v>
      </c>
      <c r="K780">
        <v>52</v>
      </c>
      <c r="L780">
        <v>126.05</v>
      </c>
      <c r="M780">
        <v>1895.01</v>
      </c>
      <c r="N780">
        <v>69392</v>
      </c>
      <c r="O780">
        <v>1048.94</v>
      </c>
      <c r="P780" s="1">
        <v>-0.02</v>
      </c>
      <c r="Q780">
        <f t="shared" si="60"/>
        <v>108</v>
      </c>
      <c r="R780">
        <f t="shared" si="61"/>
        <v>64</v>
      </c>
      <c r="S780" s="1">
        <f t="shared" si="62"/>
        <v>0.91666666666666663</v>
      </c>
      <c r="T780">
        <f t="shared" si="63"/>
        <v>1.08</v>
      </c>
      <c r="U780" t="str">
        <f t="shared" si="64"/>
        <v>Apr</v>
      </c>
    </row>
    <row r="781" spans="1:21">
      <c r="A781" s="2">
        <v>46098</v>
      </c>
      <c r="B781" t="s">
        <v>6</v>
      </c>
      <c r="C781" t="s">
        <v>51</v>
      </c>
      <c r="D781" t="s">
        <v>11</v>
      </c>
      <c r="E781" t="s">
        <v>41</v>
      </c>
      <c r="F781" t="s">
        <v>45</v>
      </c>
      <c r="G781">
        <v>25</v>
      </c>
      <c r="H781">
        <v>71</v>
      </c>
      <c r="I781">
        <v>71</v>
      </c>
      <c r="J781">
        <v>101</v>
      </c>
      <c r="K781">
        <v>363</v>
      </c>
      <c r="L781">
        <v>101.45</v>
      </c>
      <c r="M781">
        <v>1870.69</v>
      </c>
      <c r="N781">
        <v>75445</v>
      </c>
      <c r="O781">
        <v>1283.8499999999999</v>
      </c>
      <c r="P781" s="1">
        <v>0.53900000000000003</v>
      </c>
      <c r="Q781">
        <f t="shared" si="60"/>
        <v>96</v>
      </c>
      <c r="R781">
        <f t="shared" si="61"/>
        <v>172</v>
      </c>
      <c r="S781" s="1">
        <f t="shared" si="62"/>
        <v>0.26041666666666669</v>
      </c>
      <c r="T781">
        <f t="shared" si="63"/>
        <v>0.96</v>
      </c>
      <c r="U781" t="str">
        <f t="shared" si="64"/>
        <v>Mar</v>
      </c>
    </row>
    <row r="782" spans="1:21">
      <c r="A782" s="2">
        <v>46072</v>
      </c>
      <c r="B782" t="s">
        <v>6</v>
      </c>
      <c r="C782" t="s">
        <v>44</v>
      </c>
      <c r="D782" t="s">
        <v>11</v>
      </c>
      <c r="E782" t="s">
        <v>32</v>
      </c>
      <c r="F782" t="s">
        <v>33</v>
      </c>
      <c r="G782">
        <v>9</v>
      </c>
      <c r="H782">
        <v>54</v>
      </c>
      <c r="I782">
        <v>70</v>
      </c>
      <c r="J782">
        <v>31</v>
      </c>
      <c r="K782">
        <v>418</v>
      </c>
      <c r="L782">
        <v>111.26</v>
      </c>
      <c r="M782">
        <v>2394.08</v>
      </c>
      <c r="N782">
        <v>71787</v>
      </c>
      <c r="O782">
        <v>1160.03</v>
      </c>
      <c r="P782" s="1">
        <v>0.56699999999999995</v>
      </c>
      <c r="Q782">
        <f t="shared" si="60"/>
        <v>63</v>
      </c>
      <c r="R782">
        <f t="shared" si="61"/>
        <v>85</v>
      </c>
      <c r="S782" s="1">
        <f t="shared" si="62"/>
        <v>-0.1111111111111111</v>
      </c>
      <c r="T782">
        <f t="shared" si="63"/>
        <v>0.63</v>
      </c>
      <c r="U782" t="str">
        <f t="shared" si="64"/>
        <v>Feb</v>
      </c>
    </row>
    <row r="783" spans="1:21">
      <c r="A783" s="2">
        <v>46095</v>
      </c>
      <c r="B783" t="s">
        <v>4</v>
      </c>
      <c r="C783" t="s">
        <v>36</v>
      </c>
      <c r="D783" t="s">
        <v>10</v>
      </c>
      <c r="E783" t="s">
        <v>32</v>
      </c>
      <c r="F783" t="s">
        <v>45</v>
      </c>
      <c r="G783">
        <v>1</v>
      </c>
      <c r="H783">
        <v>27</v>
      </c>
      <c r="I783">
        <v>8</v>
      </c>
      <c r="J783">
        <v>69</v>
      </c>
      <c r="K783">
        <v>157</v>
      </c>
      <c r="L783">
        <v>135.27000000000001</v>
      </c>
      <c r="M783">
        <v>1808.93</v>
      </c>
      <c r="N783">
        <v>68340</v>
      </c>
      <c r="O783">
        <v>1727.82</v>
      </c>
      <c r="P783" s="1">
        <v>-0.68200000000000005</v>
      </c>
      <c r="Q783">
        <f t="shared" si="60"/>
        <v>28</v>
      </c>
      <c r="R783">
        <f t="shared" si="61"/>
        <v>96</v>
      </c>
      <c r="S783" s="1">
        <f t="shared" si="62"/>
        <v>0.7142857142857143</v>
      </c>
      <c r="T783">
        <f t="shared" si="63"/>
        <v>0.28000000000000003</v>
      </c>
      <c r="U783" t="str">
        <f t="shared" si="64"/>
        <v>Mar</v>
      </c>
    </row>
    <row r="784" spans="1:21">
      <c r="A784" s="2">
        <v>46108</v>
      </c>
      <c r="B784" t="s">
        <v>4</v>
      </c>
      <c r="C784" t="s">
        <v>51</v>
      </c>
      <c r="D784" t="s">
        <v>7</v>
      </c>
      <c r="E784" t="s">
        <v>32</v>
      </c>
      <c r="F784" t="s">
        <v>49</v>
      </c>
      <c r="G784">
        <v>33</v>
      </c>
      <c r="H784">
        <v>63</v>
      </c>
      <c r="I784">
        <v>3</v>
      </c>
      <c r="J784">
        <v>70</v>
      </c>
      <c r="K784">
        <v>395</v>
      </c>
      <c r="L784">
        <v>128.34</v>
      </c>
      <c r="M784">
        <v>2280.8000000000002</v>
      </c>
      <c r="N784">
        <v>75166</v>
      </c>
      <c r="O784">
        <v>1428.76</v>
      </c>
      <c r="P784" s="1">
        <v>-0.71399999999999997</v>
      </c>
      <c r="Q784">
        <f t="shared" si="60"/>
        <v>96</v>
      </c>
      <c r="R784">
        <f t="shared" si="61"/>
        <v>133</v>
      </c>
      <c r="S784" s="1">
        <f t="shared" si="62"/>
        <v>0.96875</v>
      </c>
      <c r="T784">
        <f t="shared" si="63"/>
        <v>0.96</v>
      </c>
      <c r="U784" t="str">
        <f t="shared" si="64"/>
        <v>Mar</v>
      </c>
    </row>
    <row r="785" spans="1:21">
      <c r="A785" s="2">
        <v>46098</v>
      </c>
      <c r="B785" t="s">
        <v>4</v>
      </c>
      <c r="C785" t="s">
        <v>50</v>
      </c>
      <c r="D785" t="s">
        <v>9</v>
      </c>
      <c r="E785" t="s">
        <v>42</v>
      </c>
      <c r="F785" t="s">
        <v>45</v>
      </c>
      <c r="G785">
        <v>48</v>
      </c>
      <c r="H785">
        <v>62</v>
      </c>
      <c r="I785">
        <v>46</v>
      </c>
      <c r="J785">
        <v>12</v>
      </c>
      <c r="K785">
        <v>243</v>
      </c>
      <c r="L785">
        <v>128.04</v>
      </c>
      <c r="M785">
        <v>2490.36</v>
      </c>
      <c r="N785">
        <v>66600</v>
      </c>
      <c r="O785">
        <v>946.06</v>
      </c>
      <c r="P785" s="1">
        <v>-0.42199999999999999</v>
      </c>
      <c r="Q785">
        <f t="shared" si="60"/>
        <v>110</v>
      </c>
      <c r="R785">
        <f t="shared" si="61"/>
        <v>74</v>
      </c>
      <c r="S785" s="1">
        <f t="shared" si="62"/>
        <v>0.58181818181818179</v>
      </c>
      <c r="T785">
        <f t="shared" si="63"/>
        <v>1.1000000000000001</v>
      </c>
      <c r="U785" t="str">
        <f t="shared" si="64"/>
        <v>Mar</v>
      </c>
    </row>
    <row r="786" spans="1:21">
      <c r="A786" s="2">
        <v>46094</v>
      </c>
      <c r="B786" t="s">
        <v>4</v>
      </c>
      <c r="C786" t="s">
        <v>51</v>
      </c>
      <c r="D786" t="s">
        <v>9</v>
      </c>
      <c r="E786" t="s">
        <v>38</v>
      </c>
      <c r="F786" t="s">
        <v>49</v>
      </c>
      <c r="G786">
        <v>15</v>
      </c>
      <c r="H786">
        <v>79</v>
      </c>
      <c r="I786">
        <v>5</v>
      </c>
      <c r="J786">
        <v>136</v>
      </c>
      <c r="K786">
        <v>324</v>
      </c>
      <c r="L786">
        <v>125.23</v>
      </c>
      <c r="M786">
        <v>2463.66</v>
      </c>
      <c r="N786">
        <v>69428</v>
      </c>
      <c r="O786">
        <v>1380.01</v>
      </c>
      <c r="P786" s="1">
        <v>0.59499999999999997</v>
      </c>
      <c r="Q786">
        <f t="shared" si="60"/>
        <v>94</v>
      </c>
      <c r="R786">
        <f t="shared" si="61"/>
        <v>215</v>
      </c>
      <c r="S786" s="1">
        <f t="shared" si="62"/>
        <v>0.94680851063829785</v>
      </c>
      <c r="T786">
        <f t="shared" si="63"/>
        <v>0.94</v>
      </c>
      <c r="U786" t="str">
        <f t="shared" si="64"/>
        <v>Mar</v>
      </c>
    </row>
    <row r="787" spans="1:21">
      <c r="A787" s="2">
        <v>46114</v>
      </c>
      <c r="B787" t="s">
        <v>6</v>
      </c>
      <c r="C787" t="s">
        <v>40</v>
      </c>
      <c r="D787" t="s">
        <v>10</v>
      </c>
      <c r="E787" t="s">
        <v>37</v>
      </c>
      <c r="F787" t="s">
        <v>33</v>
      </c>
      <c r="G787">
        <v>31</v>
      </c>
      <c r="H787">
        <v>58</v>
      </c>
      <c r="I787">
        <v>36</v>
      </c>
      <c r="J787">
        <v>99</v>
      </c>
      <c r="K787">
        <v>271</v>
      </c>
      <c r="L787">
        <v>128.44999999999999</v>
      </c>
      <c r="M787">
        <v>1986.87</v>
      </c>
      <c r="N787">
        <v>73446</v>
      </c>
      <c r="O787">
        <v>1485.21</v>
      </c>
      <c r="P787" s="1">
        <v>-0.73099999999999998</v>
      </c>
      <c r="Q787">
        <f t="shared" si="60"/>
        <v>89</v>
      </c>
      <c r="R787">
        <f t="shared" si="61"/>
        <v>157</v>
      </c>
      <c r="S787" s="1">
        <f t="shared" si="62"/>
        <v>0.5955056179775281</v>
      </c>
      <c r="T787">
        <f t="shared" si="63"/>
        <v>0.89</v>
      </c>
      <c r="U787" t="str">
        <f t="shared" si="64"/>
        <v>Apr</v>
      </c>
    </row>
    <row r="788" spans="1:21">
      <c r="A788" s="2">
        <v>46123</v>
      </c>
      <c r="B788" t="s">
        <v>6</v>
      </c>
      <c r="C788" t="s">
        <v>46</v>
      </c>
      <c r="D788" t="s">
        <v>11</v>
      </c>
      <c r="E788" t="s">
        <v>35</v>
      </c>
      <c r="F788" t="s">
        <v>49</v>
      </c>
      <c r="G788">
        <v>3</v>
      </c>
      <c r="H788">
        <v>53</v>
      </c>
      <c r="I788">
        <v>5</v>
      </c>
      <c r="J788">
        <v>95</v>
      </c>
      <c r="K788">
        <v>129</v>
      </c>
      <c r="L788">
        <v>109.65</v>
      </c>
      <c r="M788">
        <v>2289.92</v>
      </c>
      <c r="N788">
        <v>72627</v>
      </c>
      <c r="O788">
        <v>1455.52</v>
      </c>
      <c r="P788" s="1">
        <v>0.97599999999999998</v>
      </c>
      <c r="Q788">
        <f t="shared" si="60"/>
        <v>56</v>
      </c>
      <c r="R788">
        <f t="shared" si="61"/>
        <v>148</v>
      </c>
      <c r="S788" s="1">
        <f t="shared" si="62"/>
        <v>0.9107142857142857</v>
      </c>
      <c r="T788">
        <f t="shared" si="63"/>
        <v>0.56000000000000005</v>
      </c>
      <c r="U788" t="str">
        <f t="shared" si="64"/>
        <v>Apr</v>
      </c>
    </row>
    <row r="789" spans="1:21">
      <c r="A789" s="2">
        <v>46109</v>
      </c>
      <c r="B789" t="s">
        <v>4</v>
      </c>
      <c r="C789" t="s">
        <v>40</v>
      </c>
      <c r="D789" t="s">
        <v>9</v>
      </c>
      <c r="E789" t="s">
        <v>32</v>
      </c>
      <c r="F789" t="s">
        <v>49</v>
      </c>
      <c r="G789">
        <v>116</v>
      </c>
      <c r="H789">
        <v>6</v>
      </c>
      <c r="I789">
        <v>75</v>
      </c>
      <c r="J789">
        <v>26</v>
      </c>
      <c r="K789">
        <v>43</v>
      </c>
      <c r="L789">
        <v>107.8</v>
      </c>
      <c r="M789">
        <v>1908.75</v>
      </c>
      <c r="N789">
        <v>64895</v>
      </c>
      <c r="O789">
        <v>1796.88</v>
      </c>
      <c r="P789" s="1">
        <v>0.70099999999999996</v>
      </c>
      <c r="Q789">
        <f t="shared" si="60"/>
        <v>122</v>
      </c>
      <c r="R789">
        <f t="shared" si="61"/>
        <v>32</v>
      </c>
      <c r="S789" s="1">
        <f t="shared" si="62"/>
        <v>0.38524590163934425</v>
      </c>
      <c r="T789">
        <f t="shared" si="63"/>
        <v>1.22</v>
      </c>
      <c r="U789" t="str">
        <f t="shared" si="64"/>
        <v>Mar</v>
      </c>
    </row>
    <row r="790" spans="1:21">
      <c r="A790" s="2">
        <v>46122</v>
      </c>
      <c r="B790" t="s">
        <v>6</v>
      </c>
      <c r="C790" t="s">
        <v>34</v>
      </c>
      <c r="D790" t="s">
        <v>7</v>
      </c>
      <c r="E790" t="s">
        <v>41</v>
      </c>
      <c r="F790" t="s">
        <v>45</v>
      </c>
      <c r="G790">
        <v>73</v>
      </c>
      <c r="H790">
        <v>62</v>
      </c>
      <c r="I790">
        <v>87</v>
      </c>
      <c r="J790">
        <v>35</v>
      </c>
      <c r="K790">
        <v>174</v>
      </c>
      <c r="L790">
        <v>116.96</v>
      </c>
      <c r="M790">
        <v>2465.09</v>
      </c>
      <c r="N790">
        <v>66002</v>
      </c>
      <c r="O790">
        <v>1269.98</v>
      </c>
      <c r="P790" s="1">
        <v>0.55600000000000005</v>
      </c>
      <c r="Q790">
        <f t="shared" si="60"/>
        <v>135</v>
      </c>
      <c r="R790">
        <f t="shared" si="61"/>
        <v>97</v>
      </c>
      <c r="S790" s="1">
        <f t="shared" si="62"/>
        <v>0.35555555555555557</v>
      </c>
      <c r="T790">
        <f t="shared" si="63"/>
        <v>1.35</v>
      </c>
      <c r="U790" t="str">
        <f t="shared" si="64"/>
        <v>Apr</v>
      </c>
    </row>
    <row r="791" spans="1:21">
      <c r="A791" s="2">
        <v>46119</v>
      </c>
      <c r="B791" t="s">
        <v>6</v>
      </c>
      <c r="C791" t="s">
        <v>44</v>
      </c>
      <c r="D791" t="s">
        <v>10</v>
      </c>
      <c r="E791" t="s">
        <v>32</v>
      </c>
      <c r="F791" t="s">
        <v>45</v>
      </c>
      <c r="G791">
        <v>116</v>
      </c>
      <c r="H791">
        <v>50</v>
      </c>
      <c r="I791">
        <v>78</v>
      </c>
      <c r="J791">
        <v>156</v>
      </c>
      <c r="K791">
        <v>353</v>
      </c>
      <c r="L791">
        <v>97.04</v>
      </c>
      <c r="M791">
        <v>1956.47</v>
      </c>
      <c r="N791">
        <v>70210</v>
      </c>
      <c r="O791">
        <v>1160.04</v>
      </c>
      <c r="P791" s="1">
        <v>-0.108</v>
      </c>
      <c r="Q791">
        <f t="shared" si="60"/>
        <v>166</v>
      </c>
      <c r="R791">
        <f t="shared" si="61"/>
        <v>206</v>
      </c>
      <c r="S791" s="1">
        <f t="shared" si="62"/>
        <v>0.53012048192771088</v>
      </c>
      <c r="T791">
        <f t="shared" si="63"/>
        <v>1.66</v>
      </c>
      <c r="U791" t="str">
        <f t="shared" si="64"/>
        <v>Apr</v>
      </c>
    </row>
    <row r="792" spans="1:21">
      <c r="A792" s="2">
        <v>46094</v>
      </c>
      <c r="B792" t="s">
        <v>4</v>
      </c>
      <c r="C792" t="s">
        <v>40</v>
      </c>
      <c r="D792" t="s">
        <v>10</v>
      </c>
      <c r="E792" t="s">
        <v>32</v>
      </c>
      <c r="F792" t="s">
        <v>39</v>
      </c>
      <c r="G792">
        <v>64</v>
      </c>
      <c r="H792">
        <v>15</v>
      </c>
      <c r="I792">
        <v>20</v>
      </c>
      <c r="J792">
        <v>60</v>
      </c>
      <c r="K792">
        <v>107</v>
      </c>
      <c r="L792">
        <v>104.25</v>
      </c>
      <c r="M792">
        <v>2022.62</v>
      </c>
      <c r="N792">
        <v>74615</v>
      </c>
      <c r="O792">
        <v>1215.28</v>
      </c>
      <c r="P792" s="1">
        <v>0.54800000000000004</v>
      </c>
      <c r="Q792">
        <f t="shared" si="60"/>
        <v>79</v>
      </c>
      <c r="R792">
        <f t="shared" si="61"/>
        <v>75</v>
      </c>
      <c r="S792" s="1">
        <f t="shared" si="62"/>
        <v>0.74683544303797467</v>
      </c>
      <c r="T792">
        <f t="shared" si="63"/>
        <v>0.79</v>
      </c>
      <c r="U792" t="str">
        <f t="shared" si="64"/>
        <v>Mar</v>
      </c>
    </row>
    <row r="793" spans="1:21">
      <c r="A793" s="2">
        <v>46095</v>
      </c>
      <c r="B793" t="s">
        <v>6</v>
      </c>
      <c r="C793" t="s">
        <v>40</v>
      </c>
      <c r="D793" t="s">
        <v>10</v>
      </c>
      <c r="E793" t="s">
        <v>35</v>
      </c>
      <c r="F793" t="s">
        <v>49</v>
      </c>
      <c r="G793">
        <v>25</v>
      </c>
      <c r="H793">
        <v>21</v>
      </c>
      <c r="I793">
        <v>40</v>
      </c>
      <c r="J793">
        <v>132</v>
      </c>
      <c r="K793">
        <v>179</v>
      </c>
      <c r="L793">
        <v>102.86</v>
      </c>
      <c r="M793">
        <v>1801.97</v>
      </c>
      <c r="N793">
        <v>67397</v>
      </c>
      <c r="O793">
        <v>1366.71</v>
      </c>
      <c r="P793" s="1">
        <v>-0.156</v>
      </c>
      <c r="Q793">
        <f t="shared" si="60"/>
        <v>46</v>
      </c>
      <c r="R793">
        <f t="shared" si="61"/>
        <v>153</v>
      </c>
      <c r="S793" s="1">
        <f t="shared" si="62"/>
        <v>0.13043478260869565</v>
      </c>
      <c r="T793">
        <f t="shared" si="63"/>
        <v>0.46</v>
      </c>
      <c r="U793" t="str">
        <f t="shared" si="64"/>
        <v>Mar</v>
      </c>
    </row>
    <row r="794" spans="1:21">
      <c r="A794" s="2">
        <v>46093</v>
      </c>
      <c r="B794" t="s">
        <v>4</v>
      </c>
      <c r="C794" t="s">
        <v>50</v>
      </c>
      <c r="D794" t="s">
        <v>10</v>
      </c>
      <c r="E794" t="s">
        <v>35</v>
      </c>
      <c r="F794" t="s">
        <v>45</v>
      </c>
      <c r="G794">
        <v>69</v>
      </c>
      <c r="H794">
        <v>31</v>
      </c>
      <c r="I794">
        <v>63</v>
      </c>
      <c r="J794">
        <v>158</v>
      </c>
      <c r="K794">
        <v>267</v>
      </c>
      <c r="L794">
        <v>84.94</v>
      </c>
      <c r="M794">
        <v>2109.7800000000002</v>
      </c>
      <c r="N794">
        <v>70653</v>
      </c>
      <c r="O794">
        <v>1794.97</v>
      </c>
      <c r="P794" s="1">
        <v>-0.83799999999999997</v>
      </c>
      <c r="Q794">
        <f t="shared" si="60"/>
        <v>100</v>
      </c>
      <c r="R794">
        <f t="shared" si="61"/>
        <v>189</v>
      </c>
      <c r="S794" s="1">
        <f t="shared" si="62"/>
        <v>0.37</v>
      </c>
      <c r="T794">
        <f t="shared" si="63"/>
        <v>1</v>
      </c>
      <c r="U794" t="str">
        <f t="shared" si="64"/>
        <v>Mar</v>
      </c>
    </row>
    <row r="795" spans="1:21">
      <c r="A795" s="2">
        <v>46070</v>
      </c>
      <c r="B795" t="s">
        <v>6</v>
      </c>
      <c r="C795" t="s">
        <v>50</v>
      </c>
      <c r="D795" t="s">
        <v>11</v>
      </c>
      <c r="E795" t="s">
        <v>32</v>
      </c>
      <c r="F795" t="s">
        <v>45</v>
      </c>
      <c r="G795">
        <v>42</v>
      </c>
      <c r="H795">
        <v>32</v>
      </c>
      <c r="I795">
        <v>32</v>
      </c>
      <c r="J795">
        <v>21</v>
      </c>
      <c r="K795">
        <v>420</v>
      </c>
      <c r="L795">
        <v>100.59</v>
      </c>
      <c r="M795">
        <v>1880.95</v>
      </c>
      <c r="N795">
        <v>66827</v>
      </c>
      <c r="O795">
        <v>1460.45</v>
      </c>
      <c r="P795" s="1">
        <v>-0.66300000000000003</v>
      </c>
      <c r="Q795">
        <f t="shared" si="60"/>
        <v>74</v>
      </c>
      <c r="R795">
        <f t="shared" si="61"/>
        <v>53</v>
      </c>
      <c r="S795" s="1">
        <f t="shared" si="62"/>
        <v>0.56756756756756754</v>
      </c>
      <c r="T795">
        <f t="shared" si="63"/>
        <v>0.74</v>
      </c>
      <c r="U795" t="str">
        <f t="shared" si="64"/>
        <v>Feb</v>
      </c>
    </row>
    <row r="796" spans="1:21">
      <c r="A796" s="2">
        <v>46089</v>
      </c>
      <c r="B796" t="s">
        <v>6</v>
      </c>
      <c r="C796" t="s">
        <v>34</v>
      </c>
      <c r="D796" t="s">
        <v>7</v>
      </c>
      <c r="E796" t="s">
        <v>32</v>
      </c>
      <c r="F796" t="s">
        <v>49</v>
      </c>
      <c r="G796">
        <v>95</v>
      </c>
      <c r="H796">
        <v>71</v>
      </c>
      <c r="I796">
        <v>37</v>
      </c>
      <c r="J796">
        <v>64</v>
      </c>
      <c r="K796">
        <v>227</v>
      </c>
      <c r="L796">
        <v>135.07</v>
      </c>
      <c r="M796">
        <v>1936.3</v>
      </c>
      <c r="N796">
        <v>73315</v>
      </c>
      <c r="O796">
        <v>1097.08</v>
      </c>
      <c r="P796" s="1">
        <v>-0.499</v>
      </c>
      <c r="Q796">
        <f t="shared" si="60"/>
        <v>166</v>
      </c>
      <c r="R796">
        <f t="shared" si="61"/>
        <v>135</v>
      </c>
      <c r="S796" s="1">
        <f t="shared" si="62"/>
        <v>0.77710843373493976</v>
      </c>
      <c r="T796">
        <f t="shared" si="63"/>
        <v>1.66</v>
      </c>
      <c r="U796" t="str">
        <f t="shared" si="64"/>
        <v>Mar</v>
      </c>
    </row>
    <row r="797" spans="1:21">
      <c r="A797" s="2">
        <v>46112</v>
      </c>
      <c r="B797" t="s">
        <v>4</v>
      </c>
      <c r="C797" t="s">
        <v>36</v>
      </c>
      <c r="D797" t="s">
        <v>7</v>
      </c>
      <c r="E797" t="s">
        <v>35</v>
      </c>
      <c r="F797" t="s">
        <v>49</v>
      </c>
      <c r="G797">
        <v>59</v>
      </c>
      <c r="H797">
        <v>57</v>
      </c>
      <c r="I797">
        <v>15</v>
      </c>
      <c r="J797">
        <v>96</v>
      </c>
      <c r="K797">
        <v>429</v>
      </c>
      <c r="L797">
        <v>86.28</v>
      </c>
      <c r="M797">
        <v>1902.85</v>
      </c>
      <c r="N797">
        <v>70293</v>
      </c>
      <c r="O797">
        <v>1486.36</v>
      </c>
      <c r="P797" s="1">
        <v>0.96599999999999997</v>
      </c>
      <c r="Q797">
        <f t="shared" si="60"/>
        <v>116</v>
      </c>
      <c r="R797">
        <f t="shared" si="61"/>
        <v>153</v>
      </c>
      <c r="S797" s="1">
        <f t="shared" si="62"/>
        <v>0.87068965517241381</v>
      </c>
      <c r="T797">
        <f t="shared" si="63"/>
        <v>1.1599999999999999</v>
      </c>
      <c r="U797" t="str">
        <f t="shared" si="64"/>
        <v>Mar</v>
      </c>
    </row>
    <row r="798" spans="1:21">
      <c r="A798" s="2">
        <v>46088</v>
      </c>
      <c r="B798" t="s">
        <v>6</v>
      </c>
      <c r="C798" t="s">
        <v>46</v>
      </c>
      <c r="D798" t="s">
        <v>7</v>
      </c>
      <c r="E798" t="s">
        <v>47</v>
      </c>
      <c r="F798" t="s">
        <v>49</v>
      </c>
      <c r="G798">
        <v>24</v>
      </c>
      <c r="H798">
        <v>15</v>
      </c>
      <c r="I798">
        <v>52</v>
      </c>
      <c r="J798">
        <v>42</v>
      </c>
      <c r="K798">
        <v>252</v>
      </c>
      <c r="L798">
        <v>110.89</v>
      </c>
      <c r="M798">
        <v>2050.5100000000002</v>
      </c>
      <c r="N798">
        <v>73058</v>
      </c>
      <c r="O798">
        <v>1146.2</v>
      </c>
      <c r="P798" s="1">
        <v>-0.59099999999999997</v>
      </c>
      <c r="Q798">
        <f t="shared" si="60"/>
        <v>39</v>
      </c>
      <c r="R798">
        <f t="shared" si="61"/>
        <v>57</v>
      </c>
      <c r="S798" s="1">
        <f t="shared" si="62"/>
        <v>-0.33333333333333331</v>
      </c>
      <c r="T798">
        <f t="shared" si="63"/>
        <v>0.39</v>
      </c>
      <c r="U798" t="str">
        <f t="shared" si="64"/>
        <v>Mar</v>
      </c>
    </row>
    <row r="799" spans="1:21">
      <c r="A799" s="2">
        <v>46078</v>
      </c>
      <c r="B799" t="s">
        <v>6</v>
      </c>
      <c r="C799" t="s">
        <v>34</v>
      </c>
      <c r="D799" t="s">
        <v>10</v>
      </c>
      <c r="E799" t="s">
        <v>37</v>
      </c>
      <c r="F799" t="s">
        <v>33</v>
      </c>
      <c r="G799">
        <v>110</v>
      </c>
      <c r="H799">
        <v>52</v>
      </c>
      <c r="I799">
        <v>68</v>
      </c>
      <c r="J799">
        <v>91</v>
      </c>
      <c r="K799">
        <v>203</v>
      </c>
      <c r="L799">
        <v>138.18</v>
      </c>
      <c r="M799">
        <v>2054.5300000000002</v>
      </c>
      <c r="N799">
        <v>75045</v>
      </c>
      <c r="O799">
        <v>1767.03</v>
      </c>
      <c r="P799" s="1">
        <v>0.38500000000000001</v>
      </c>
      <c r="Q799">
        <f t="shared" si="60"/>
        <v>162</v>
      </c>
      <c r="R799">
        <f t="shared" si="61"/>
        <v>143</v>
      </c>
      <c r="S799" s="1">
        <f t="shared" si="62"/>
        <v>0.58024691358024694</v>
      </c>
      <c r="T799">
        <f t="shared" si="63"/>
        <v>1.62</v>
      </c>
      <c r="U799" t="str">
        <f t="shared" si="64"/>
        <v>Feb</v>
      </c>
    </row>
    <row r="800" spans="1:21">
      <c r="A800" s="2">
        <v>46117</v>
      </c>
      <c r="B800" t="s">
        <v>6</v>
      </c>
      <c r="C800" t="s">
        <v>51</v>
      </c>
      <c r="D800" t="s">
        <v>11</v>
      </c>
      <c r="E800" t="s">
        <v>42</v>
      </c>
      <c r="F800" t="s">
        <v>49</v>
      </c>
      <c r="G800">
        <v>71</v>
      </c>
      <c r="H800">
        <v>77</v>
      </c>
      <c r="I800">
        <v>60</v>
      </c>
      <c r="J800">
        <v>111</v>
      </c>
      <c r="K800">
        <v>34</v>
      </c>
      <c r="L800">
        <v>101.06</v>
      </c>
      <c r="M800">
        <v>2364.12</v>
      </c>
      <c r="N800">
        <v>64415</v>
      </c>
      <c r="O800">
        <v>920.41</v>
      </c>
      <c r="P800" s="1">
        <v>0.91300000000000003</v>
      </c>
      <c r="Q800">
        <f t="shared" si="60"/>
        <v>148</v>
      </c>
      <c r="R800">
        <f t="shared" si="61"/>
        <v>188</v>
      </c>
      <c r="S800" s="1">
        <f t="shared" si="62"/>
        <v>0.59459459459459463</v>
      </c>
      <c r="T800">
        <f t="shared" si="63"/>
        <v>1.48</v>
      </c>
      <c r="U800" t="str">
        <f t="shared" si="64"/>
        <v>Apr</v>
      </c>
    </row>
    <row r="801" spans="1:21">
      <c r="A801" s="2">
        <v>46101</v>
      </c>
      <c r="B801" t="s">
        <v>6</v>
      </c>
      <c r="C801" t="s">
        <v>48</v>
      </c>
      <c r="D801" t="s">
        <v>9</v>
      </c>
      <c r="E801" t="s">
        <v>47</v>
      </c>
      <c r="F801" t="s">
        <v>45</v>
      </c>
      <c r="G801">
        <v>24</v>
      </c>
      <c r="H801">
        <v>52</v>
      </c>
      <c r="I801">
        <v>87</v>
      </c>
      <c r="J801">
        <v>75</v>
      </c>
      <c r="K801">
        <v>15</v>
      </c>
      <c r="L801">
        <v>116.89</v>
      </c>
      <c r="M801">
        <v>2204.0500000000002</v>
      </c>
      <c r="N801">
        <v>75096</v>
      </c>
      <c r="O801">
        <v>1593.38</v>
      </c>
      <c r="P801" s="1">
        <v>-0.63800000000000001</v>
      </c>
      <c r="Q801">
        <f t="shared" si="60"/>
        <v>76</v>
      </c>
      <c r="R801">
        <f t="shared" si="61"/>
        <v>127</v>
      </c>
      <c r="S801" s="1">
        <f t="shared" si="62"/>
        <v>-0.14473684210526316</v>
      </c>
      <c r="T801">
        <f t="shared" si="63"/>
        <v>0.76</v>
      </c>
      <c r="U801" t="str">
        <f t="shared" si="64"/>
        <v>Mar</v>
      </c>
    </row>
    <row r="802" spans="1:21">
      <c r="A802" s="2">
        <v>46105</v>
      </c>
      <c r="B802" t="s">
        <v>4</v>
      </c>
      <c r="C802" t="s">
        <v>46</v>
      </c>
      <c r="D802" t="s">
        <v>7</v>
      </c>
      <c r="E802" t="s">
        <v>41</v>
      </c>
      <c r="F802" t="s">
        <v>39</v>
      </c>
      <c r="G802">
        <v>15</v>
      </c>
      <c r="H802">
        <v>31</v>
      </c>
      <c r="I802">
        <v>45</v>
      </c>
      <c r="J802">
        <v>97</v>
      </c>
      <c r="K802">
        <v>347</v>
      </c>
      <c r="L802">
        <v>95.52</v>
      </c>
      <c r="M802">
        <v>1888.79</v>
      </c>
      <c r="N802">
        <v>73690</v>
      </c>
      <c r="O802">
        <v>1654.57</v>
      </c>
      <c r="P802" s="1">
        <v>0.38700000000000001</v>
      </c>
      <c r="Q802">
        <f t="shared" si="60"/>
        <v>46</v>
      </c>
      <c r="R802">
        <f t="shared" si="61"/>
        <v>128</v>
      </c>
      <c r="S802" s="1">
        <f t="shared" si="62"/>
        <v>2.1739130434782608E-2</v>
      </c>
      <c r="T802">
        <f t="shared" si="63"/>
        <v>0.46</v>
      </c>
      <c r="U802" t="str">
        <f t="shared" si="64"/>
        <v>Mar</v>
      </c>
    </row>
    <row r="803" spans="1:21">
      <c r="A803" s="2">
        <v>46112</v>
      </c>
      <c r="B803" t="s">
        <v>4</v>
      </c>
      <c r="C803" t="s">
        <v>50</v>
      </c>
      <c r="D803" t="s">
        <v>10</v>
      </c>
      <c r="E803" t="s">
        <v>47</v>
      </c>
      <c r="F803" t="s">
        <v>49</v>
      </c>
      <c r="G803">
        <v>111</v>
      </c>
      <c r="H803">
        <v>38</v>
      </c>
      <c r="I803">
        <v>64</v>
      </c>
      <c r="J803">
        <v>158</v>
      </c>
      <c r="K803">
        <v>153</v>
      </c>
      <c r="L803">
        <v>80.05</v>
      </c>
      <c r="M803">
        <v>2069.34</v>
      </c>
      <c r="N803">
        <v>71440</v>
      </c>
      <c r="O803">
        <v>1100.79</v>
      </c>
      <c r="P803" s="1">
        <v>-0.32600000000000001</v>
      </c>
      <c r="Q803">
        <f t="shared" si="60"/>
        <v>149</v>
      </c>
      <c r="R803">
        <f t="shared" si="61"/>
        <v>196</v>
      </c>
      <c r="S803" s="1">
        <f t="shared" si="62"/>
        <v>0.57046979865771807</v>
      </c>
      <c r="T803">
        <f t="shared" si="63"/>
        <v>1.49</v>
      </c>
      <c r="U803" t="str">
        <f t="shared" si="64"/>
        <v>Mar</v>
      </c>
    </row>
    <row r="804" spans="1:21">
      <c r="A804" s="2">
        <v>46117</v>
      </c>
      <c r="B804" t="s">
        <v>6</v>
      </c>
      <c r="C804" t="s">
        <v>46</v>
      </c>
      <c r="D804" t="s">
        <v>5</v>
      </c>
      <c r="E804" t="s">
        <v>42</v>
      </c>
      <c r="F804" t="s">
        <v>45</v>
      </c>
      <c r="G804">
        <v>85</v>
      </c>
      <c r="H804">
        <v>21</v>
      </c>
      <c r="I804">
        <v>50</v>
      </c>
      <c r="J804">
        <v>75</v>
      </c>
      <c r="K804">
        <v>170</v>
      </c>
      <c r="L804">
        <v>82.73</v>
      </c>
      <c r="M804">
        <v>2486.71</v>
      </c>
      <c r="N804">
        <v>67328</v>
      </c>
      <c r="O804">
        <v>1691.47</v>
      </c>
      <c r="P804" s="1">
        <v>-0.96599999999999997</v>
      </c>
      <c r="Q804">
        <f t="shared" si="60"/>
        <v>106</v>
      </c>
      <c r="R804">
        <f t="shared" si="61"/>
        <v>96</v>
      </c>
      <c r="S804" s="1">
        <f t="shared" si="62"/>
        <v>0.52830188679245282</v>
      </c>
      <c r="T804">
        <f t="shared" si="63"/>
        <v>1.06</v>
      </c>
      <c r="U804" t="str">
        <f t="shared" si="64"/>
        <v>Apr</v>
      </c>
    </row>
    <row r="805" spans="1:21">
      <c r="A805" s="2">
        <v>46086</v>
      </c>
      <c r="B805" t="s">
        <v>6</v>
      </c>
      <c r="C805" t="s">
        <v>31</v>
      </c>
      <c r="D805" t="s">
        <v>9</v>
      </c>
      <c r="E805" t="s">
        <v>42</v>
      </c>
      <c r="F805" t="s">
        <v>49</v>
      </c>
      <c r="G805">
        <v>14</v>
      </c>
      <c r="H805">
        <v>40</v>
      </c>
      <c r="I805">
        <v>61</v>
      </c>
      <c r="J805">
        <v>124</v>
      </c>
      <c r="K805">
        <v>308</v>
      </c>
      <c r="L805">
        <v>136.58000000000001</v>
      </c>
      <c r="M805">
        <v>2248.1799999999998</v>
      </c>
      <c r="N805">
        <v>74605</v>
      </c>
      <c r="O805">
        <v>953.38</v>
      </c>
      <c r="P805" s="1">
        <v>0.371</v>
      </c>
      <c r="Q805">
        <f t="shared" si="60"/>
        <v>54</v>
      </c>
      <c r="R805">
        <f t="shared" si="61"/>
        <v>164</v>
      </c>
      <c r="S805" s="1">
        <f t="shared" si="62"/>
        <v>-0.12962962962962962</v>
      </c>
      <c r="T805">
        <f t="shared" si="63"/>
        <v>0.54</v>
      </c>
      <c r="U805" t="str">
        <f t="shared" si="64"/>
        <v>Mar</v>
      </c>
    </row>
    <row r="806" spans="1:21">
      <c r="A806" s="2">
        <v>46113</v>
      </c>
      <c r="B806" t="s">
        <v>4</v>
      </c>
      <c r="C806" t="s">
        <v>36</v>
      </c>
      <c r="D806" t="s">
        <v>11</v>
      </c>
      <c r="E806" t="s">
        <v>37</v>
      </c>
      <c r="F806" t="s">
        <v>49</v>
      </c>
      <c r="G806">
        <v>91</v>
      </c>
      <c r="H806">
        <v>65</v>
      </c>
      <c r="I806">
        <v>57</v>
      </c>
      <c r="J806">
        <v>20</v>
      </c>
      <c r="K806">
        <v>121</v>
      </c>
      <c r="L806">
        <v>109.46</v>
      </c>
      <c r="M806">
        <v>2373.35</v>
      </c>
      <c r="N806">
        <v>70079</v>
      </c>
      <c r="O806">
        <v>1507.85</v>
      </c>
      <c r="P806" s="1">
        <v>0.44800000000000001</v>
      </c>
      <c r="Q806">
        <f t="shared" si="60"/>
        <v>156</v>
      </c>
      <c r="R806">
        <f t="shared" si="61"/>
        <v>85</v>
      </c>
      <c r="S806" s="1">
        <f t="shared" si="62"/>
        <v>0.63461538461538458</v>
      </c>
      <c r="T806">
        <f t="shared" si="63"/>
        <v>1.56</v>
      </c>
      <c r="U806" t="str">
        <f t="shared" si="64"/>
        <v>Apr</v>
      </c>
    </row>
    <row r="807" spans="1:21">
      <c r="A807" s="2">
        <v>46085</v>
      </c>
      <c r="B807" t="s">
        <v>4</v>
      </c>
      <c r="C807" t="s">
        <v>31</v>
      </c>
      <c r="D807" t="s">
        <v>5</v>
      </c>
      <c r="E807" t="s">
        <v>37</v>
      </c>
      <c r="F807" t="s">
        <v>39</v>
      </c>
      <c r="G807">
        <v>28</v>
      </c>
      <c r="H807">
        <v>33</v>
      </c>
      <c r="I807">
        <v>41</v>
      </c>
      <c r="J807">
        <v>5</v>
      </c>
      <c r="K807">
        <v>430</v>
      </c>
      <c r="L807">
        <v>96.1</v>
      </c>
      <c r="M807">
        <v>2194.48</v>
      </c>
      <c r="N807">
        <v>69081</v>
      </c>
      <c r="O807">
        <v>1572.4</v>
      </c>
      <c r="P807" s="1">
        <v>-0.20699999999999999</v>
      </c>
      <c r="Q807">
        <f t="shared" si="60"/>
        <v>61</v>
      </c>
      <c r="R807">
        <f t="shared" si="61"/>
        <v>38</v>
      </c>
      <c r="S807" s="1">
        <f t="shared" si="62"/>
        <v>0.32786885245901637</v>
      </c>
      <c r="T807">
        <f t="shared" si="63"/>
        <v>0.61</v>
      </c>
      <c r="U807" t="str">
        <f t="shared" si="64"/>
        <v>Mar</v>
      </c>
    </row>
    <row r="808" spans="1:21">
      <c r="A808" s="2">
        <v>46123</v>
      </c>
      <c r="B808" t="s">
        <v>4</v>
      </c>
      <c r="C808" t="s">
        <v>43</v>
      </c>
      <c r="D808" t="s">
        <v>9</v>
      </c>
      <c r="E808" t="s">
        <v>38</v>
      </c>
      <c r="F808" t="s">
        <v>33</v>
      </c>
      <c r="G808">
        <v>74</v>
      </c>
      <c r="H808">
        <v>5</v>
      </c>
      <c r="I808">
        <v>13</v>
      </c>
      <c r="J808">
        <v>117</v>
      </c>
      <c r="K808">
        <v>105</v>
      </c>
      <c r="L808">
        <v>103.7</v>
      </c>
      <c r="M808">
        <v>1878.73</v>
      </c>
      <c r="N808">
        <v>66682</v>
      </c>
      <c r="O808">
        <v>1629.74</v>
      </c>
      <c r="P808" s="1">
        <v>-0.45400000000000001</v>
      </c>
      <c r="Q808">
        <f t="shared" si="60"/>
        <v>79</v>
      </c>
      <c r="R808">
        <f t="shared" si="61"/>
        <v>122</v>
      </c>
      <c r="S808" s="1">
        <f t="shared" si="62"/>
        <v>0.83544303797468356</v>
      </c>
      <c r="T808">
        <f t="shared" si="63"/>
        <v>0.79</v>
      </c>
      <c r="U808" t="str">
        <f t="shared" si="64"/>
        <v>Apr</v>
      </c>
    </row>
    <row r="809" spans="1:21">
      <c r="A809" s="2">
        <v>46114</v>
      </c>
      <c r="B809" t="s">
        <v>6</v>
      </c>
      <c r="C809" t="s">
        <v>46</v>
      </c>
      <c r="D809" t="s">
        <v>11</v>
      </c>
      <c r="E809" t="s">
        <v>42</v>
      </c>
      <c r="F809" t="s">
        <v>45</v>
      </c>
      <c r="G809">
        <v>101</v>
      </c>
      <c r="H809">
        <v>48</v>
      </c>
      <c r="I809">
        <v>59</v>
      </c>
      <c r="J809">
        <v>48</v>
      </c>
      <c r="K809">
        <v>205</v>
      </c>
      <c r="L809">
        <v>107.88</v>
      </c>
      <c r="M809">
        <v>2147.8000000000002</v>
      </c>
      <c r="N809">
        <v>72878</v>
      </c>
      <c r="O809">
        <v>1745.06</v>
      </c>
      <c r="P809" s="1">
        <v>-0.50900000000000001</v>
      </c>
      <c r="Q809">
        <f t="shared" si="60"/>
        <v>149</v>
      </c>
      <c r="R809">
        <f t="shared" si="61"/>
        <v>96</v>
      </c>
      <c r="S809" s="1">
        <f t="shared" si="62"/>
        <v>0.60402684563758391</v>
      </c>
      <c r="T809">
        <f t="shared" si="63"/>
        <v>1.49</v>
      </c>
      <c r="U809" t="str">
        <f t="shared" si="64"/>
        <v>Apr</v>
      </c>
    </row>
    <row r="810" spans="1:21">
      <c r="A810" s="2">
        <v>46085</v>
      </c>
      <c r="B810" t="s">
        <v>4</v>
      </c>
      <c r="C810" t="s">
        <v>48</v>
      </c>
      <c r="D810" t="s">
        <v>9</v>
      </c>
      <c r="E810" t="s">
        <v>32</v>
      </c>
      <c r="F810" t="s">
        <v>39</v>
      </c>
      <c r="G810">
        <v>38</v>
      </c>
      <c r="H810">
        <v>10</v>
      </c>
      <c r="I810">
        <v>0</v>
      </c>
      <c r="J810">
        <v>40</v>
      </c>
      <c r="K810">
        <v>197</v>
      </c>
      <c r="L810">
        <v>88.21</v>
      </c>
      <c r="M810">
        <v>1988.27</v>
      </c>
      <c r="N810">
        <v>69895</v>
      </c>
      <c r="O810">
        <v>996.63</v>
      </c>
      <c r="P810" s="1">
        <v>0.60499999999999998</v>
      </c>
      <c r="Q810">
        <f t="shared" si="60"/>
        <v>48</v>
      </c>
      <c r="R810">
        <f t="shared" si="61"/>
        <v>50</v>
      </c>
      <c r="S810" s="1">
        <f t="shared" si="62"/>
        <v>1</v>
      </c>
      <c r="T810">
        <f t="shared" si="63"/>
        <v>0.48</v>
      </c>
      <c r="U810" t="str">
        <f t="shared" si="64"/>
        <v>Mar</v>
      </c>
    </row>
    <row r="811" spans="1:21">
      <c r="A811" s="2">
        <v>46102</v>
      </c>
      <c r="B811" t="s">
        <v>6</v>
      </c>
      <c r="C811" t="s">
        <v>51</v>
      </c>
      <c r="D811" t="s">
        <v>10</v>
      </c>
      <c r="E811" t="s">
        <v>41</v>
      </c>
      <c r="F811" t="s">
        <v>45</v>
      </c>
      <c r="G811">
        <v>79</v>
      </c>
      <c r="H811">
        <v>13</v>
      </c>
      <c r="I811">
        <v>37</v>
      </c>
      <c r="J811">
        <v>143</v>
      </c>
      <c r="K811">
        <v>342</v>
      </c>
      <c r="L811">
        <v>95.91</v>
      </c>
      <c r="M811">
        <v>1875.65</v>
      </c>
      <c r="N811">
        <v>72242</v>
      </c>
      <c r="O811">
        <v>1247.57</v>
      </c>
      <c r="P811" s="1">
        <v>-0.748</v>
      </c>
      <c r="Q811">
        <f t="shared" si="60"/>
        <v>92</v>
      </c>
      <c r="R811">
        <f t="shared" si="61"/>
        <v>156</v>
      </c>
      <c r="S811" s="1">
        <f t="shared" si="62"/>
        <v>0.59782608695652173</v>
      </c>
      <c r="T811">
        <f t="shared" si="63"/>
        <v>0.92</v>
      </c>
      <c r="U811" t="str">
        <f t="shared" si="64"/>
        <v>Mar</v>
      </c>
    </row>
    <row r="812" spans="1:21">
      <c r="A812" s="2">
        <v>46076</v>
      </c>
      <c r="B812" t="s">
        <v>4</v>
      </c>
      <c r="C812" t="s">
        <v>46</v>
      </c>
      <c r="D812" t="s">
        <v>5</v>
      </c>
      <c r="E812" t="s">
        <v>42</v>
      </c>
      <c r="F812" t="s">
        <v>45</v>
      </c>
      <c r="G812">
        <v>3</v>
      </c>
      <c r="H812">
        <v>70</v>
      </c>
      <c r="I812">
        <v>65</v>
      </c>
      <c r="J812">
        <v>150</v>
      </c>
      <c r="K812">
        <v>313</v>
      </c>
      <c r="L812">
        <v>83.82</v>
      </c>
      <c r="M812">
        <v>2217.62</v>
      </c>
      <c r="N812">
        <v>75080</v>
      </c>
      <c r="O812">
        <v>984.14</v>
      </c>
      <c r="P812" s="1">
        <v>0.17499999999999999</v>
      </c>
      <c r="Q812">
        <f t="shared" si="60"/>
        <v>73</v>
      </c>
      <c r="R812">
        <f t="shared" si="61"/>
        <v>220</v>
      </c>
      <c r="S812" s="1">
        <f t="shared" si="62"/>
        <v>0.1095890410958904</v>
      </c>
      <c r="T812">
        <f t="shared" si="63"/>
        <v>0.73</v>
      </c>
      <c r="U812" t="str">
        <f t="shared" si="64"/>
        <v>Feb</v>
      </c>
    </row>
    <row r="813" spans="1:21">
      <c r="A813" s="2">
        <v>46122</v>
      </c>
      <c r="B813" t="s">
        <v>4</v>
      </c>
      <c r="C813" t="s">
        <v>48</v>
      </c>
      <c r="D813" t="s">
        <v>5</v>
      </c>
      <c r="E813" t="s">
        <v>35</v>
      </c>
      <c r="F813" t="s">
        <v>39</v>
      </c>
      <c r="G813">
        <v>82</v>
      </c>
      <c r="H813">
        <v>36</v>
      </c>
      <c r="I813">
        <v>33</v>
      </c>
      <c r="J813">
        <v>43</v>
      </c>
      <c r="K813">
        <v>366</v>
      </c>
      <c r="L813">
        <v>139.63999999999999</v>
      </c>
      <c r="M813">
        <v>2129.0100000000002</v>
      </c>
      <c r="N813">
        <v>72661</v>
      </c>
      <c r="O813">
        <v>1236.5999999999999</v>
      </c>
      <c r="P813" s="1">
        <v>-0.84099999999999997</v>
      </c>
      <c r="Q813">
        <f t="shared" si="60"/>
        <v>118</v>
      </c>
      <c r="R813">
        <f t="shared" si="61"/>
        <v>79</v>
      </c>
      <c r="S813" s="1">
        <f t="shared" si="62"/>
        <v>0.72033898305084743</v>
      </c>
      <c r="T813">
        <f t="shared" si="63"/>
        <v>1.18</v>
      </c>
      <c r="U813" t="str">
        <f t="shared" si="64"/>
        <v>Apr</v>
      </c>
    </row>
    <row r="814" spans="1:21">
      <c r="A814" s="2">
        <v>46081</v>
      </c>
      <c r="B814" t="s">
        <v>4</v>
      </c>
      <c r="C814" t="s">
        <v>51</v>
      </c>
      <c r="D814" t="s">
        <v>10</v>
      </c>
      <c r="E814" t="s">
        <v>32</v>
      </c>
      <c r="F814" t="s">
        <v>39</v>
      </c>
      <c r="G814">
        <v>54</v>
      </c>
      <c r="H814">
        <v>22</v>
      </c>
      <c r="I814">
        <v>17</v>
      </c>
      <c r="J814">
        <v>136</v>
      </c>
      <c r="K814">
        <v>397</v>
      </c>
      <c r="L814">
        <v>133.53</v>
      </c>
      <c r="M814">
        <v>1836.68</v>
      </c>
      <c r="N814">
        <v>69306</v>
      </c>
      <c r="O814">
        <v>911.46</v>
      </c>
      <c r="P814" s="1">
        <v>-0.44</v>
      </c>
      <c r="Q814">
        <f t="shared" si="60"/>
        <v>76</v>
      </c>
      <c r="R814">
        <f t="shared" si="61"/>
        <v>158</v>
      </c>
      <c r="S814" s="1">
        <f t="shared" si="62"/>
        <v>0.77631578947368418</v>
      </c>
      <c r="T814">
        <f t="shared" si="63"/>
        <v>0.76</v>
      </c>
      <c r="U814" t="str">
        <f t="shared" si="64"/>
        <v>Feb</v>
      </c>
    </row>
    <row r="815" spans="1:21">
      <c r="A815" s="2">
        <v>46115</v>
      </c>
      <c r="B815" t="s">
        <v>6</v>
      </c>
      <c r="C815" t="s">
        <v>43</v>
      </c>
      <c r="D815" t="s">
        <v>5</v>
      </c>
      <c r="E815" t="s">
        <v>47</v>
      </c>
      <c r="F815" t="s">
        <v>49</v>
      </c>
      <c r="G815">
        <v>35</v>
      </c>
      <c r="H815">
        <v>44</v>
      </c>
      <c r="I815">
        <v>28</v>
      </c>
      <c r="J815">
        <v>64</v>
      </c>
      <c r="K815">
        <v>190</v>
      </c>
      <c r="L815">
        <v>123.55</v>
      </c>
      <c r="M815">
        <v>2155.4699999999998</v>
      </c>
      <c r="N815">
        <v>73095</v>
      </c>
      <c r="O815">
        <v>1701.29</v>
      </c>
      <c r="P815" s="1">
        <v>-0.33500000000000002</v>
      </c>
      <c r="Q815">
        <f t="shared" si="60"/>
        <v>79</v>
      </c>
      <c r="R815">
        <f t="shared" si="61"/>
        <v>108</v>
      </c>
      <c r="S815" s="1">
        <f t="shared" si="62"/>
        <v>0.64556962025316456</v>
      </c>
      <c r="T815">
        <f t="shared" si="63"/>
        <v>0.79</v>
      </c>
      <c r="U815" t="str">
        <f t="shared" si="64"/>
        <v>Apr</v>
      </c>
    </row>
    <row r="816" spans="1:21">
      <c r="A816" s="2">
        <v>46073</v>
      </c>
      <c r="B816" t="s">
        <v>6</v>
      </c>
      <c r="C816" t="s">
        <v>43</v>
      </c>
      <c r="D816" t="s">
        <v>9</v>
      </c>
      <c r="E816" t="s">
        <v>37</v>
      </c>
      <c r="F816" t="s">
        <v>33</v>
      </c>
      <c r="G816">
        <v>53</v>
      </c>
      <c r="H816">
        <v>58</v>
      </c>
      <c r="I816">
        <v>52</v>
      </c>
      <c r="J816">
        <v>11</v>
      </c>
      <c r="K816">
        <v>383</v>
      </c>
      <c r="L816">
        <v>104.07</v>
      </c>
      <c r="M816">
        <v>2435.9499999999998</v>
      </c>
      <c r="N816">
        <v>69870</v>
      </c>
      <c r="O816">
        <v>1284.19</v>
      </c>
      <c r="P816" s="1">
        <v>-0.95299999999999996</v>
      </c>
      <c r="Q816">
        <f t="shared" si="60"/>
        <v>111</v>
      </c>
      <c r="R816">
        <f t="shared" si="61"/>
        <v>69</v>
      </c>
      <c r="S816" s="1">
        <f t="shared" si="62"/>
        <v>0.53153153153153154</v>
      </c>
      <c r="T816">
        <f t="shared" si="63"/>
        <v>1.1100000000000001</v>
      </c>
      <c r="U816" t="str">
        <f t="shared" si="64"/>
        <v>Feb</v>
      </c>
    </row>
    <row r="817" spans="1:21">
      <c r="A817" s="2">
        <v>46090</v>
      </c>
      <c r="B817" t="s">
        <v>4</v>
      </c>
      <c r="C817" t="s">
        <v>40</v>
      </c>
      <c r="D817" t="s">
        <v>7</v>
      </c>
      <c r="E817" t="s">
        <v>35</v>
      </c>
      <c r="F817" t="s">
        <v>49</v>
      </c>
      <c r="G817">
        <v>102</v>
      </c>
      <c r="H817">
        <v>48</v>
      </c>
      <c r="I817">
        <v>40</v>
      </c>
      <c r="J817">
        <v>42</v>
      </c>
      <c r="K817">
        <v>196</v>
      </c>
      <c r="L817">
        <v>138.84</v>
      </c>
      <c r="M817">
        <v>2283.89</v>
      </c>
      <c r="N817">
        <v>65651</v>
      </c>
      <c r="O817">
        <v>1648.28</v>
      </c>
      <c r="P817" s="1">
        <v>0.94299999999999995</v>
      </c>
      <c r="Q817">
        <f t="shared" si="60"/>
        <v>150</v>
      </c>
      <c r="R817">
        <f t="shared" si="61"/>
        <v>90</v>
      </c>
      <c r="S817" s="1">
        <f t="shared" si="62"/>
        <v>0.73333333333333328</v>
      </c>
      <c r="T817">
        <f t="shared" si="63"/>
        <v>1.5</v>
      </c>
      <c r="U817" t="str">
        <f t="shared" si="64"/>
        <v>Mar</v>
      </c>
    </row>
    <row r="818" spans="1:21">
      <c r="A818" s="2">
        <v>46108</v>
      </c>
      <c r="B818" t="s">
        <v>6</v>
      </c>
      <c r="C818" t="s">
        <v>51</v>
      </c>
      <c r="D818" t="s">
        <v>7</v>
      </c>
      <c r="E818" t="s">
        <v>42</v>
      </c>
      <c r="F818" t="s">
        <v>33</v>
      </c>
      <c r="G818">
        <v>39</v>
      </c>
      <c r="H818">
        <v>0</v>
      </c>
      <c r="I818">
        <v>69</v>
      </c>
      <c r="J818">
        <v>103</v>
      </c>
      <c r="K818">
        <v>181</v>
      </c>
      <c r="L818">
        <v>138.31</v>
      </c>
      <c r="M818">
        <v>2419.31</v>
      </c>
      <c r="N818">
        <v>64487</v>
      </c>
      <c r="O818">
        <v>1191.8900000000001</v>
      </c>
      <c r="P818" s="1">
        <v>5.8000000000000003E-2</v>
      </c>
      <c r="Q818">
        <f t="shared" si="60"/>
        <v>39</v>
      </c>
      <c r="R818">
        <f t="shared" si="61"/>
        <v>103</v>
      </c>
      <c r="S818" s="1">
        <f t="shared" si="62"/>
        <v>-0.76923076923076927</v>
      </c>
      <c r="T818">
        <f t="shared" si="63"/>
        <v>0.39</v>
      </c>
      <c r="U818" t="str">
        <f t="shared" si="64"/>
        <v>Mar</v>
      </c>
    </row>
    <row r="819" spans="1:21">
      <c r="A819" s="2">
        <v>46119</v>
      </c>
      <c r="B819" t="s">
        <v>4</v>
      </c>
      <c r="C819" t="s">
        <v>31</v>
      </c>
      <c r="D819" t="s">
        <v>11</v>
      </c>
      <c r="E819" t="s">
        <v>35</v>
      </c>
      <c r="F819" t="s">
        <v>49</v>
      </c>
      <c r="G819">
        <v>8</v>
      </c>
      <c r="H819">
        <v>62</v>
      </c>
      <c r="I819">
        <v>6</v>
      </c>
      <c r="J819">
        <v>136</v>
      </c>
      <c r="K819">
        <v>18</v>
      </c>
      <c r="L819">
        <v>112.77</v>
      </c>
      <c r="M819">
        <v>2288.31</v>
      </c>
      <c r="N819">
        <v>72379</v>
      </c>
      <c r="O819">
        <v>1126.5999999999999</v>
      </c>
      <c r="P819" s="1">
        <v>0.66700000000000004</v>
      </c>
      <c r="Q819">
        <f t="shared" si="60"/>
        <v>70</v>
      </c>
      <c r="R819">
        <f t="shared" si="61"/>
        <v>198</v>
      </c>
      <c r="S819" s="1">
        <f t="shared" si="62"/>
        <v>0.91428571428571426</v>
      </c>
      <c r="T819">
        <f t="shared" si="63"/>
        <v>0.7</v>
      </c>
      <c r="U819" t="str">
        <f t="shared" si="64"/>
        <v>Apr</v>
      </c>
    </row>
    <row r="820" spans="1:21">
      <c r="A820" s="2">
        <v>46086</v>
      </c>
      <c r="B820" t="s">
        <v>4</v>
      </c>
      <c r="C820" t="s">
        <v>36</v>
      </c>
      <c r="D820" t="s">
        <v>7</v>
      </c>
      <c r="E820" t="s">
        <v>47</v>
      </c>
      <c r="F820" t="s">
        <v>33</v>
      </c>
      <c r="G820">
        <v>11</v>
      </c>
      <c r="H820">
        <v>70</v>
      </c>
      <c r="I820">
        <v>24</v>
      </c>
      <c r="J820">
        <v>26</v>
      </c>
      <c r="K820">
        <v>117</v>
      </c>
      <c r="L820">
        <v>106.45</v>
      </c>
      <c r="M820">
        <v>1875.27</v>
      </c>
      <c r="N820">
        <v>69441</v>
      </c>
      <c r="O820">
        <v>1563.94</v>
      </c>
      <c r="P820" s="1">
        <v>-0.41099999999999998</v>
      </c>
      <c r="Q820">
        <f t="shared" si="60"/>
        <v>81</v>
      </c>
      <c r="R820">
        <f t="shared" si="61"/>
        <v>96</v>
      </c>
      <c r="S820" s="1">
        <f t="shared" si="62"/>
        <v>0.70370370370370372</v>
      </c>
      <c r="T820">
        <f t="shared" si="63"/>
        <v>0.81</v>
      </c>
      <c r="U820" t="str">
        <f t="shared" si="64"/>
        <v>Mar</v>
      </c>
    </row>
    <row r="821" spans="1:21">
      <c r="A821" s="2">
        <v>46069</v>
      </c>
      <c r="B821" t="s">
        <v>6</v>
      </c>
      <c r="C821" t="s">
        <v>31</v>
      </c>
      <c r="D821" t="s">
        <v>11</v>
      </c>
      <c r="E821" t="s">
        <v>42</v>
      </c>
      <c r="F821" t="s">
        <v>49</v>
      </c>
      <c r="G821">
        <v>81</v>
      </c>
      <c r="H821">
        <v>10</v>
      </c>
      <c r="I821">
        <v>36</v>
      </c>
      <c r="J821">
        <v>81</v>
      </c>
      <c r="K821">
        <v>161</v>
      </c>
      <c r="L821">
        <v>117.64</v>
      </c>
      <c r="M821">
        <v>2082.79</v>
      </c>
      <c r="N821">
        <v>70568</v>
      </c>
      <c r="O821">
        <v>1416.02</v>
      </c>
      <c r="P821" s="1">
        <v>-0.73599999999999999</v>
      </c>
      <c r="Q821">
        <f t="shared" si="60"/>
        <v>91</v>
      </c>
      <c r="R821">
        <f t="shared" si="61"/>
        <v>91</v>
      </c>
      <c r="S821" s="1">
        <f t="shared" si="62"/>
        <v>0.60439560439560436</v>
      </c>
      <c r="T821">
        <f t="shared" si="63"/>
        <v>0.91</v>
      </c>
      <c r="U821" t="str">
        <f t="shared" si="64"/>
        <v>Feb</v>
      </c>
    </row>
    <row r="822" spans="1:21">
      <c r="A822" s="2">
        <v>46113</v>
      </c>
      <c r="B822" t="s">
        <v>4</v>
      </c>
      <c r="C822" t="s">
        <v>40</v>
      </c>
      <c r="D822" t="s">
        <v>9</v>
      </c>
      <c r="E822" t="s">
        <v>37</v>
      </c>
      <c r="F822" t="s">
        <v>39</v>
      </c>
      <c r="G822">
        <v>16</v>
      </c>
      <c r="H822">
        <v>54</v>
      </c>
      <c r="I822">
        <v>31</v>
      </c>
      <c r="J822">
        <v>7</v>
      </c>
      <c r="K822">
        <v>118</v>
      </c>
      <c r="L822">
        <v>124.58</v>
      </c>
      <c r="M822">
        <v>2222.4299999999998</v>
      </c>
      <c r="N822">
        <v>67171</v>
      </c>
      <c r="O822">
        <v>1470.95</v>
      </c>
      <c r="P822" s="1">
        <v>0.50900000000000001</v>
      </c>
      <c r="Q822">
        <f t="shared" si="60"/>
        <v>70</v>
      </c>
      <c r="R822">
        <f t="shared" si="61"/>
        <v>61</v>
      </c>
      <c r="S822" s="1">
        <f t="shared" si="62"/>
        <v>0.55714285714285716</v>
      </c>
      <c r="T822">
        <f t="shared" si="63"/>
        <v>0.7</v>
      </c>
      <c r="U822" t="str">
        <f t="shared" si="64"/>
        <v>Apr</v>
      </c>
    </row>
    <row r="823" spans="1:21">
      <c r="A823" s="2">
        <v>46121</v>
      </c>
      <c r="B823" t="s">
        <v>6</v>
      </c>
      <c r="C823" t="s">
        <v>31</v>
      </c>
      <c r="D823" t="s">
        <v>9</v>
      </c>
      <c r="E823" t="s">
        <v>47</v>
      </c>
      <c r="F823" t="s">
        <v>39</v>
      </c>
      <c r="G823">
        <v>74</v>
      </c>
      <c r="H823">
        <v>31</v>
      </c>
      <c r="I823">
        <v>85</v>
      </c>
      <c r="J823">
        <v>62</v>
      </c>
      <c r="K823">
        <v>58</v>
      </c>
      <c r="L823">
        <v>109.12</v>
      </c>
      <c r="M823">
        <v>1924</v>
      </c>
      <c r="N823">
        <v>70684</v>
      </c>
      <c r="O823">
        <v>1543.17</v>
      </c>
      <c r="P823" s="1">
        <v>0.83899999999999997</v>
      </c>
      <c r="Q823">
        <f t="shared" si="60"/>
        <v>105</v>
      </c>
      <c r="R823">
        <f t="shared" si="61"/>
        <v>93</v>
      </c>
      <c r="S823" s="1">
        <f t="shared" si="62"/>
        <v>0.19047619047619047</v>
      </c>
      <c r="T823">
        <f t="shared" si="63"/>
        <v>1.05</v>
      </c>
      <c r="U823" t="str">
        <f t="shared" si="64"/>
        <v>Apr</v>
      </c>
    </row>
    <row r="824" spans="1:21">
      <c r="A824" s="2">
        <v>46100</v>
      </c>
      <c r="B824" t="s">
        <v>6</v>
      </c>
      <c r="C824" t="s">
        <v>43</v>
      </c>
      <c r="D824" t="s">
        <v>11</v>
      </c>
      <c r="E824" t="s">
        <v>35</v>
      </c>
      <c r="F824" t="s">
        <v>39</v>
      </c>
      <c r="G824">
        <v>24</v>
      </c>
      <c r="H824">
        <v>66</v>
      </c>
      <c r="I824">
        <v>10</v>
      </c>
      <c r="J824">
        <v>47</v>
      </c>
      <c r="K824">
        <v>402</v>
      </c>
      <c r="L824">
        <v>99.78</v>
      </c>
      <c r="M824">
        <v>2271.35</v>
      </c>
      <c r="N824">
        <v>64542</v>
      </c>
      <c r="O824">
        <v>1352.69</v>
      </c>
      <c r="P824" s="1">
        <v>0.61399999999999999</v>
      </c>
      <c r="Q824">
        <f t="shared" si="60"/>
        <v>90</v>
      </c>
      <c r="R824">
        <f t="shared" si="61"/>
        <v>113</v>
      </c>
      <c r="S824" s="1">
        <f t="shared" si="62"/>
        <v>0.88888888888888884</v>
      </c>
      <c r="T824">
        <f t="shared" si="63"/>
        <v>0.9</v>
      </c>
      <c r="U824" t="str">
        <f t="shared" si="64"/>
        <v>Mar</v>
      </c>
    </row>
    <row r="825" spans="1:21">
      <c r="A825" s="2">
        <v>46120</v>
      </c>
      <c r="B825" t="s">
        <v>6</v>
      </c>
      <c r="C825" t="s">
        <v>31</v>
      </c>
      <c r="D825" t="s">
        <v>7</v>
      </c>
      <c r="E825" t="s">
        <v>35</v>
      </c>
      <c r="F825" t="s">
        <v>33</v>
      </c>
      <c r="G825">
        <v>47</v>
      </c>
      <c r="H825">
        <v>40</v>
      </c>
      <c r="I825">
        <v>7</v>
      </c>
      <c r="J825">
        <v>45</v>
      </c>
      <c r="K825">
        <v>366</v>
      </c>
      <c r="L825">
        <v>114.37</v>
      </c>
      <c r="M825">
        <v>2285.91</v>
      </c>
      <c r="N825">
        <v>75034</v>
      </c>
      <c r="O825">
        <v>1225.3</v>
      </c>
      <c r="P825" s="1">
        <v>0.58599999999999997</v>
      </c>
      <c r="Q825">
        <f t="shared" si="60"/>
        <v>87</v>
      </c>
      <c r="R825">
        <f t="shared" si="61"/>
        <v>85</v>
      </c>
      <c r="S825" s="1">
        <f t="shared" si="62"/>
        <v>0.91954022988505746</v>
      </c>
      <c r="T825">
        <f t="shared" si="63"/>
        <v>0.87</v>
      </c>
      <c r="U825" t="str">
        <f t="shared" si="64"/>
        <v>Apr</v>
      </c>
    </row>
    <row r="826" spans="1:21">
      <c r="A826" s="2">
        <v>46119</v>
      </c>
      <c r="B826" t="s">
        <v>6</v>
      </c>
      <c r="C826" t="s">
        <v>40</v>
      </c>
      <c r="D826" t="s">
        <v>5</v>
      </c>
      <c r="E826" t="s">
        <v>41</v>
      </c>
      <c r="F826" t="s">
        <v>39</v>
      </c>
      <c r="G826">
        <v>98</v>
      </c>
      <c r="H826">
        <v>11</v>
      </c>
      <c r="I826">
        <v>72</v>
      </c>
      <c r="J826">
        <v>83</v>
      </c>
      <c r="K826">
        <v>23</v>
      </c>
      <c r="L826">
        <v>104.2</v>
      </c>
      <c r="M826">
        <v>2393.14</v>
      </c>
      <c r="N826">
        <v>69191</v>
      </c>
      <c r="O826">
        <v>1697.81</v>
      </c>
      <c r="P826" s="1">
        <v>-0.47</v>
      </c>
      <c r="Q826">
        <f t="shared" si="60"/>
        <v>109</v>
      </c>
      <c r="R826">
        <f t="shared" si="61"/>
        <v>94</v>
      </c>
      <c r="S826" s="1">
        <f t="shared" si="62"/>
        <v>0.33944954128440369</v>
      </c>
      <c r="T826">
        <f t="shared" si="63"/>
        <v>1.0900000000000001</v>
      </c>
      <c r="U826" t="str">
        <f t="shared" si="64"/>
        <v>Apr</v>
      </c>
    </row>
    <row r="827" spans="1:21">
      <c r="A827" s="2">
        <v>46075</v>
      </c>
      <c r="B827" t="s">
        <v>6</v>
      </c>
      <c r="C827" t="s">
        <v>44</v>
      </c>
      <c r="D827" t="s">
        <v>5</v>
      </c>
      <c r="E827" t="s">
        <v>47</v>
      </c>
      <c r="F827" t="s">
        <v>45</v>
      </c>
      <c r="G827">
        <v>50</v>
      </c>
      <c r="H827">
        <v>7</v>
      </c>
      <c r="I827">
        <v>2</v>
      </c>
      <c r="J827">
        <v>120</v>
      </c>
      <c r="K827">
        <v>202</v>
      </c>
      <c r="L827">
        <v>107.84</v>
      </c>
      <c r="M827">
        <v>2318.46</v>
      </c>
      <c r="N827">
        <v>75892</v>
      </c>
      <c r="O827">
        <v>1507.04</v>
      </c>
      <c r="P827" s="1">
        <v>4.7E-2</v>
      </c>
      <c r="Q827">
        <f t="shared" si="60"/>
        <v>57</v>
      </c>
      <c r="R827">
        <f t="shared" si="61"/>
        <v>127</v>
      </c>
      <c r="S827" s="1">
        <f t="shared" si="62"/>
        <v>0.96491228070175439</v>
      </c>
      <c r="T827">
        <f t="shared" si="63"/>
        <v>0.56999999999999995</v>
      </c>
      <c r="U827" t="str">
        <f t="shared" si="64"/>
        <v>Feb</v>
      </c>
    </row>
    <row r="828" spans="1:21">
      <c r="A828" s="2">
        <v>46072</v>
      </c>
      <c r="B828" t="s">
        <v>4</v>
      </c>
      <c r="C828" t="s">
        <v>43</v>
      </c>
      <c r="D828" t="s">
        <v>10</v>
      </c>
      <c r="E828" t="s">
        <v>41</v>
      </c>
      <c r="F828" t="s">
        <v>33</v>
      </c>
      <c r="G828">
        <v>25</v>
      </c>
      <c r="H828">
        <v>49</v>
      </c>
      <c r="I828">
        <v>59</v>
      </c>
      <c r="J828">
        <v>131</v>
      </c>
      <c r="K828">
        <v>181</v>
      </c>
      <c r="L828">
        <v>94.06</v>
      </c>
      <c r="M828">
        <v>2330.61</v>
      </c>
      <c r="N828">
        <v>74592</v>
      </c>
      <c r="O828">
        <v>1624.85</v>
      </c>
      <c r="P828" s="1">
        <v>0.81299999999999994</v>
      </c>
      <c r="Q828">
        <f t="shared" si="60"/>
        <v>74</v>
      </c>
      <c r="R828">
        <f t="shared" si="61"/>
        <v>180</v>
      </c>
      <c r="S828" s="1">
        <f t="shared" si="62"/>
        <v>0.20270270270270271</v>
      </c>
      <c r="T828">
        <f t="shared" si="63"/>
        <v>0.74</v>
      </c>
      <c r="U828" t="str">
        <f t="shared" si="64"/>
        <v>Feb</v>
      </c>
    </row>
    <row r="829" spans="1:21">
      <c r="A829" s="2">
        <v>46097</v>
      </c>
      <c r="B829" t="s">
        <v>6</v>
      </c>
      <c r="C829" t="s">
        <v>46</v>
      </c>
      <c r="D829" t="s">
        <v>5</v>
      </c>
      <c r="E829" t="s">
        <v>41</v>
      </c>
      <c r="F829" t="s">
        <v>33</v>
      </c>
      <c r="G829">
        <v>28</v>
      </c>
      <c r="H829">
        <v>49</v>
      </c>
      <c r="I829">
        <v>4</v>
      </c>
      <c r="J829">
        <v>37</v>
      </c>
      <c r="K829">
        <v>40</v>
      </c>
      <c r="L829">
        <v>100.37</v>
      </c>
      <c r="M829">
        <v>1889.01</v>
      </c>
      <c r="N829">
        <v>74886</v>
      </c>
      <c r="O829">
        <v>1280.26</v>
      </c>
      <c r="P829" s="1">
        <v>0.748</v>
      </c>
      <c r="Q829">
        <f t="shared" si="60"/>
        <v>77</v>
      </c>
      <c r="R829">
        <f t="shared" si="61"/>
        <v>86</v>
      </c>
      <c r="S829" s="1">
        <f t="shared" si="62"/>
        <v>0.94805194805194803</v>
      </c>
      <c r="T829">
        <f t="shared" si="63"/>
        <v>0.77</v>
      </c>
      <c r="U829" t="str">
        <f t="shared" si="64"/>
        <v>Mar</v>
      </c>
    </row>
    <row r="830" spans="1:21">
      <c r="A830" s="2">
        <v>46080</v>
      </c>
      <c r="B830" t="s">
        <v>6</v>
      </c>
      <c r="C830" t="s">
        <v>50</v>
      </c>
      <c r="D830" t="s">
        <v>11</v>
      </c>
      <c r="E830" t="s">
        <v>41</v>
      </c>
      <c r="F830" t="s">
        <v>45</v>
      </c>
      <c r="G830">
        <v>42</v>
      </c>
      <c r="H830">
        <v>1</v>
      </c>
      <c r="I830">
        <v>31</v>
      </c>
      <c r="J830">
        <v>66</v>
      </c>
      <c r="K830">
        <v>24</v>
      </c>
      <c r="L830">
        <v>118.59</v>
      </c>
      <c r="M830">
        <v>2400.6999999999998</v>
      </c>
      <c r="N830">
        <v>67030</v>
      </c>
      <c r="O830">
        <v>1284.18</v>
      </c>
      <c r="P830" s="1">
        <v>0.96399999999999997</v>
      </c>
      <c r="Q830">
        <f t="shared" si="60"/>
        <v>43</v>
      </c>
      <c r="R830">
        <f t="shared" si="61"/>
        <v>67</v>
      </c>
      <c r="S830" s="1">
        <f t="shared" si="62"/>
        <v>0.27906976744186046</v>
      </c>
      <c r="T830">
        <f t="shared" si="63"/>
        <v>0.43</v>
      </c>
      <c r="U830" t="str">
        <f t="shared" si="64"/>
        <v>Feb</v>
      </c>
    </row>
    <row r="831" spans="1:21">
      <c r="A831" s="2">
        <v>46104</v>
      </c>
      <c r="B831" t="s">
        <v>4</v>
      </c>
      <c r="C831" t="s">
        <v>31</v>
      </c>
      <c r="D831" t="s">
        <v>7</v>
      </c>
      <c r="E831" t="s">
        <v>47</v>
      </c>
      <c r="F831" t="s">
        <v>45</v>
      </c>
      <c r="G831">
        <v>44</v>
      </c>
      <c r="H831">
        <v>4</v>
      </c>
      <c r="I831">
        <v>37</v>
      </c>
      <c r="J831">
        <v>83</v>
      </c>
      <c r="K831">
        <v>199</v>
      </c>
      <c r="L831">
        <v>115.29</v>
      </c>
      <c r="M831">
        <v>2235.23</v>
      </c>
      <c r="N831">
        <v>74189</v>
      </c>
      <c r="O831">
        <v>1072.8900000000001</v>
      </c>
      <c r="P831" s="1">
        <v>-0.65100000000000002</v>
      </c>
      <c r="Q831">
        <f t="shared" si="60"/>
        <v>48</v>
      </c>
      <c r="R831">
        <f t="shared" si="61"/>
        <v>87</v>
      </c>
      <c r="S831" s="1">
        <f t="shared" si="62"/>
        <v>0.22916666666666666</v>
      </c>
      <c r="T831">
        <f t="shared" si="63"/>
        <v>0.48</v>
      </c>
      <c r="U831" t="str">
        <f t="shared" si="64"/>
        <v>Mar</v>
      </c>
    </row>
    <row r="832" spans="1:21">
      <c r="A832" s="2">
        <v>46068</v>
      </c>
      <c r="B832" t="s">
        <v>6</v>
      </c>
      <c r="C832" t="s">
        <v>36</v>
      </c>
      <c r="D832" t="s">
        <v>9</v>
      </c>
      <c r="E832" t="s">
        <v>32</v>
      </c>
      <c r="F832" t="s">
        <v>45</v>
      </c>
      <c r="G832">
        <v>31</v>
      </c>
      <c r="H832">
        <v>9</v>
      </c>
      <c r="I832">
        <v>8</v>
      </c>
      <c r="J832">
        <v>63</v>
      </c>
      <c r="K832">
        <v>403</v>
      </c>
      <c r="L832">
        <v>116.35</v>
      </c>
      <c r="M832">
        <v>2095.1999999999998</v>
      </c>
      <c r="N832">
        <v>65947</v>
      </c>
      <c r="O832">
        <v>1712.77</v>
      </c>
      <c r="P832" s="1">
        <v>0.78900000000000003</v>
      </c>
      <c r="Q832">
        <f t="shared" si="60"/>
        <v>40</v>
      </c>
      <c r="R832">
        <f t="shared" si="61"/>
        <v>72</v>
      </c>
      <c r="S832" s="1">
        <f t="shared" si="62"/>
        <v>0.8</v>
      </c>
      <c r="T832">
        <f t="shared" si="63"/>
        <v>0.4</v>
      </c>
      <c r="U832" t="str">
        <f t="shared" si="64"/>
        <v>Feb</v>
      </c>
    </row>
    <row r="833" spans="1:21">
      <c r="A833" s="2">
        <v>46105</v>
      </c>
      <c r="B833" t="s">
        <v>4</v>
      </c>
      <c r="C833" t="s">
        <v>34</v>
      </c>
      <c r="D833" t="s">
        <v>5</v>
      </c>
      <c r="E833" t="s">
        <v>38</v>
      </c>
      <c r="F833" t="s">
        <v>39</v>
      </c>
      <c r="G833">
        <v>116</v>
      </c>
      <c r="H833">
        <v>48</v>
      </c>
      <c r="I833">
        <v>10</v>
      </c>
      <c r="J833">
        <v>106</v>
      </c>
      <c r="K833">
        <v>449</v>
      </c>
      <c r="L833">
        <v>120.6</v>
      </c>
      <c r="M833">
        <v>2377.69</v>
      </c>
      <c r="N833">
        <v>72430</v>
      </c>
      <c r="O833">
        <v>1431.52</v>
      </c>
      <c r="P833" s="1">
        <v>-0.57599999999999996</v>
      </c>
      <c r="Q833">
        <f t="shared" si="60"/>
        <v>164</v>
      </c>
      <c r="R833">
        <f t="shared" si="61"/>
        <v>154</v>
      </c>
      <c r="S833" s="1">
        <f t="shared" si="62"/>
        <v>0.93902439024390238</v>
      </c>
      <c r="T833">
        <f t="shared" si="63"/>
        <v>1.64</v>
      </c>
      <c r="U833" t="str">
        <f t="shared" si="64"/>
        <v>Mar</v>
      </c>
    </row>
    <row r="834" spans="1:21">
      <c r="A834" s="2">
        <v>46070</v>
      </c>
      <c r="B834" t="s">
        <v>6</v>
      </c>
      <c r="C834" t="s">
        <v>40</v>
      </c>
      <c r="D834" t="s">
        <v>7</v>
      </c>
      <c r="E834" t="s">
        <v>42</v>
      </c>
      <c r="F834" t="s">
        <v>49</v>
      </c>
      <c r="G834">
        <v>47</v>
      </c>
      <c r="H834">
        <v>44</v>
      </c>
      <c r="I834">
        <v>27</v>
      </c>
      <c r="J834">
        <v>27</v>
      </c>
      <c r="K834">
        <v>433</v>
      </c>
      <c r="L834">
        <v>137.37</v>
      </c>
      <c r="M834">
        <v>1917.7</v>
      </c>
      <c r="N834">
        <v>70341</v>
      </c>
      <c r="O834">
        <v>1544.4</v>
      </c>
      <c r="P834" s="1">
        <v>-0.193</v>
      </c>
      <c r="Q834">
        <f t="shared" si="60"/>
        <v>91</v>
      </c>
      <c r="R834">
        <f t="shared" si="61"/>
        <v>71</v>
      </c>
      <c r="S834" s="1">
        <f t="shared" si="62"/>
        <v>0.70329670329670335</v>
      </c>
      <c r="T834">
        <f t="shared" si="63"/>
        <v>0.91</v>
      </c>
      <c r="U834" t="str">
        <f t="shared" si="64"/>
        <v>Feb</v>
      </c>
    </row>
    <row r="835" spans="1:21">
      <c r="A835" s="2">
        <v>46115</v>
      </c>
      <c r="B835" t="s">
        <v>4</v>
      </c>
      <c r="C835" t="s">
        <v>46</v>
      </c>
      <c r="D835" t="s">
        <v>9</v>
      </c>
      <c r="E835" t="s">
        <v>35</v>
      </c>
      <c r="F835" t="s">
        <v>49</v>
      </c>
      <c r="G835">
        <v>39</v>
      </c>
      <c r="H835">
        <v>21</v>
      </c>
      <c r="I835">
        <v>62</v>
      </c>
      <c r="J835">
        <v>10</v>
      </c>
      <c r="K835">
        <v>212</v>
      </c>
      <c r="L835">
        <v>105.79</v>
      </c>
      <c r="M835">
        <v>1850.07</v>
      </c>
      <c r="N835">
        <v>75318</v>
      </c>
      <c r="O835">
        <v>1487.11</v>
      </c>
      <c r="P835" s="1">
        <v>0.80300000000000005</v>
      </c>
      <c r="Q835">
        <f t="shared" ref="Q835:Q898" si="65">G835+H835</f>
        <v>60</v>
      </c>
      <c r="R835">
        <f t="shared" ref="R835:R898" si="66">J835+H835</f>
        <v>31</v>
      </c>
      <c r="S835" s="1">
        <f t="shared" ref="S835:S898" si="67">(Q835-I835)/(Q835)</f>
        <v>-3.3333333333333333E-2</v>
      </c>
      <c r="T835">
        <f t="shared" ref="T835:T898" si="68">Q835/100</f>
        <v>0.6</v>
      </c>
      <c r="U835" t="str">
        <f t="shared" ref="U835:U898" si="69">TEXT(A835,"mmm")</f>
        <v>Apr</v>
      </c>
    </row>
    <row r="836" spans="1:21">
      <c r="A836" s="2">
        <v>46089</v>
      </c>
      <c r="B836" t="s">
        <v>4</v>
      </c>
      <c r="C836" t="s">
        <v>50</v>
      </c>
      <c r="D836" t="s">
        <v>7</v>
      </c>
      <c r="E836" t="s">
        <v>47</v>
      </c>
      <c r="F836" t="s">
        <v>33</v>
      </c>
      <c r="G836">
        <v>57</v>
      </c>
      <c r="H836">
        <v>36</v>
      </c>
      <c r="I836">
        <v>50</v>
      </c>
      <c r="J836">
        <v>42</v>
      </c>
      <c r="K836">
        <v>391</v>
      </c>
      <c r="L836">
        <v>136.16</v>
      </c>
      <c r="M836">
        <v>2052.6</v>
      </c>
      <c r="N836">
        <v>72688</v>
      </c>
      <c r="O836">
        <v>1111.78</v>
      </c>
      <c r="P836" s="1">
        <v>0.10299999999999999</v>
      </c>
      <c r="Q836">
        <f t="shared" si="65"/>
        <v>93</v>
      </c>
      <c r="R836">
        <f t="shared" si="66"/>
        <v>78</v>
      </c>
      <c r="S836" s="1">
        <f t="shared" si="67"/>
        <v>0.46236559139784944</v>
      </c>
      <c r="T836">
        <f t="shared" si="68"/>
        <v>0.93</v>
      </c>
      <c r="U836" t="str">
        <f t="shared" si="69"/>
        <v>Mar</v>
      </c>
    </row>
    <row r="837" spans="1:21">
      <c r="A837" s="2">
        <v>46090</v>
      </c>
      <c r="B837" t="s">
        <v>6</v>
      </c>
      <c r="C837" t="s">
        <v>40</v>
      </c>
      <c r="D837" t="s">
        <v>5</v>
      </c>
      <c r="E837" t="s">
        <v>37</v>
      </c>
      <c r="F837" t="s">
        <v>33</v>
      </c>
      <c r="G837">
        <v>56</v>
      </c>
      <c r="H837">
        <v>75</v>
      </c>
      <c r="I837">
        <v>25</v>
      </c>
      <c r="J837">
        <v>107</v>
      </c>
      <c r="K837">
        <v>296</v>
      </c>
      <c r="L837">
        <v>98.2</v>
      </c>
      <c r="M837">
        <v>2191.16</v>
      </c>
      <c r="N837">
        <v>67216</v>
      </c>
      <c r="O837">
        <v>1537.05</v>
      </c>
      <c r="P837" s="1">
        <v>-0.08</v>
      </c>
      <c r="Q837">
        <f t="shared" si="65"/>
        <v>131</v>
      </c>
      <c r="R837">
        <f t="shared" si="66"/>
        <v>182</v>
      </c>
      <c r="S837" s="1">
        <f t="shared" si="67"/>
        <v>0.80916030534351147</v>
      </c>
      <c r="T837">
        <f t="shared" si="68"/>
        <v>1.31</v>
      </c>
      <c r="U837" t="str">
        <f t="shared" si="69"/>
        <v>Mar</v>
      </c>
    </row>
    <row r="838" spans="1:21">
      <c r="A838" s="2">
        <v>46077</v>
      </c>
      <c r="B838" t="s">
        <v>6</v>
      </c>
      <c r="C838" t="s">
        <v>44</v>
      </c>
      <c r="D838" t="s">
        <v>5</v>
      </c>
      <c r="E838" t="s">
        <v>41</v>
      </c>
      <c r="F838" t="s">
        <v>45</v>
      </c>
      <c r="G838">
        <v>28</v>
      </c>
      <c r="H838">
        <v>65</v>
      </c>
      <c r="I838">
        <v>43</v>
      </c>
      <c r="J838">
        <v>155</v>
      </c>
      <c r="K838">
        <v>251</v>
      </c>
      <c r="L838">
        <v>110.71</v>
      </c>
      <c r="M838">
        <v>2081.5300000000002</v>
      </c>
      <c r="N838">
        <v>69321</v>
      </c>
      <c r="O838">
        <v>926.11</v>
      </c>
      <c r="P838" s="1">
        <v>0.45200000000000001</v>
      </c>
      <c r="Q838">
        <f t="shared" si="65"/>
        <v>93</v>
      </c>
      <c r="R838">
        <f t="shared" si="66"/>
        <v>220</v>
      </c>
      <c r="S838" s="1">
        <f t="shared" si="67"/>
        <v>0.5376344086021505</v>
      </c>
      <c r="T838">
        <f t="shared" si="68"/>
        <v>0.93</v>
      </c>
      <c r="U838" t="str">
        <f t="shared" si="69"/>
        <v>Feb</v>
      </c>
    </row>
    <row r="839" spans="1:21">
      <c r="A839" s="2">
        <v>46098</v>
      </c>
      <c r="B839" t="s">
        <v>4</v>
      </c>
      <c r="C839" t="s">
        <v>43</v>
      </c>
      <c r="D839" t="s">
        <v>5</v>
      </c>
      <c r="E839" t="s">
        <v>35</v>
      </c>
      <c r="F839" t="s">
        <v>49</v>
      </c>
      <c r="G839">
        <v>29</v>
      </c>
      <c r="H839">
        <v>40</v>
      </c>
      <c r="I839">
        <v>55</v>
      </c>
      <c r="J839">
        <v>64</v>
      </c>
      <c r="K839">
        <v>104</v>
      </c>
      <c r="L839">
        <v>117.28</v>
      </c>
      <c r="M839">
        <v>2284.3000000000002</v>
      </c>
      <c r="N839">
        <v>68046</v>
      </c>
      <c r="O839">
        <v>917.4</v>
      </c>
      <c r="P839" s="1">
        <v>0.76100000000000001</v>
      </c>
      <c r="Q839">
        <f t="shared" si="65"/>
        <v>69</v>
      </c>
      <c r="R839">
        <f t="shared" si="66"/>
        <v>104</v>
      </c>
      <c r="S839" s="1">
        <f t="shared" si="67"/>
        <v>0.20289855072463769</v>
      </c>
      <c r="T839">
        <f t="shared" si="68"/>
        <v>0.69</v>
      </c>
      <c r="U839" t="str">
        <f t="shared" si="69"/>
        <v>Mar</v>
      </c>
    </row>
    <row r="840" spans="1:21">
      <c r="A840" s="2">
        <v>46090</v>
      </c>
      <c r="B840" t="s">
        <v>4</v>
      </c>
      <c r="C840" t="s">
        <v>43</v>
      </c>
      <c r="D840" t="s">
        <v>7</v>
      </c>
      <c r="E840" t="s">
        <v>32</v>
      </c>
      <c r="F840" t="s">
        <v>33</v>
      </c>
      <c r="G840">
        <v>11</v>
      </c>
      <c r="H840">
        <v>79</v>
      </c>
      <c r="I840">
        <v>64</v>
      </c>
      <c r="J840">
        <v>116</v>
      </c>
      <c r="K840">
        <v>215</v>
      </c>
      <c r="L840">
        <v>107.5</v>
      </c>
      <c r="M840">
        <v>1960.78</v>
      </c>
      <c r="N840">
        <v>74559</v>
      </c>
      <c r="O840">
        <v>1533.43</v>
      </c>
      <c r="P840" s="1">
        <v>0.80300000000000005</v>
      </c>
      <c r="Q840">
        <f t="shared" si="65"/>
        <v>90</v>
      </c>
      <c r="R840">
        <f t="shared" si="66"/>
        <v>195</v>
      </c>
      <c r="S840" s="1">
        <f t="shared" si="67"/>
        <v>0.28888888888888886</v>
      </c>
      <c r="T840">
        <f t="shared" si="68"/>
        <v>0.9</v>
      </c>
      <c r="U840" t="str">
        <f t="shared" si="69"/>
        <v>Mar</v>
      </c>
    </row>
    <row r="841" spans="1:21">
      <c r="A841" s="2">
        <v>46123</v>
      </c>
      <c r="B841" t="s">
        <v>4</v>
      </c>
      <c r="C841" t="s">
        <v>40</v>
      </c>
      <c r="D841" t="s">
        <v>11</v>
      </c>
      <c r="E841" t="s">
        <v>42</v>
      </c>
      <c r="F841" t="s">
        <v>45</v>
      </c>
      <c r="G841">
        <v>57</v>
      </c>
      <c r="H841">
        <v>5</v>
      </c>
      <c r="I841">
        <v>89</v>
      </c>
      <c r="J841">
        <v>127</v>
      </c>
      <c r="K841">
        <v>369</v>
      </c>
      <c r="L841">
        <v>126.89</v>
      </c>
      <c r="M841">
        <v>2007.19</v>
      </c>
      <c r="N841">
        <v>74493</v>
      </c>
      <c r="O841">
        <v>1661.1</v>
      </c>
      <c r="P841" s="1">
        <v>-5.7000000000000002E-2</v>
      </c>
      <c r="Q841">
        <f t="shared" si="65"/>
        <v>62</v>
      </c>
      <c r="R841">
        <f t="shared" si="66"/>
        <v>132</v>
      </c>
      <c r="S841" s="1">
        <f t="shared" si="67"/>
        <v>-0.43548387096774194</v>
      </c>
      <c r="T841">
        <f t="shared" si="68"/>
        <v>0.62</v>
      </c>
      <c r="U841" t="str">
        <f t="shared" si="69"/>
        <v>Apr</v>
      </c>
    </row>
    <row r="842" spans="1:21">
      <c r="A842" s="2">
        <v>46121</v>
      </c>
      <c r="B842" t="s">
        <v>6</v>
      </c>
      <c r="C842" t="s">
        <v>31</v>
      </c>
      <c r="D842" t="s">
        <v>9</v>
      </c>
      <c r="E842" t="s">
        <v>35</v>
      </c>
      <c r="F842" t="s">
        <v>39</v>
      </c>
      <c r="G842">
        <v>115</v>
      </c>
      <c r="H842">
        <v>71</v>
      </c>
      <c r="I842">
        <v>39</v>
      </c>
      <c r="J842">
        <v>106</v>
      </c>
      <c r="K842">
        <v>88</v>
      </c>
      <c r="L842">
        <v>81.28</v>
      </c>
      <c r="M842">
        <v>2491.71</v>
      </c>
      <c r="N842">
        <v>64582</v>
      </c>
      <c r="O842">
        <v>977.25</v>
      </c>
      <c r="P842" s="1">
        <v>-0.156</v>
      </c>
      <c r="Q842">
        <f t="shared" si="65"/>
        <v>186</v>
      </c>
      <c r="R842">
        <f t="shared" si="66"/>
        <v>177</v>
      </c>
      <c r="S842" s="1">
        <f t="shared" si="67"/>
        <v>0.79032258064516125</v>
      </c>
      <c r="T842">
        <f t="shared" si="68"/>
        <v>1.86</v>
      </c>
      <c r="U842" t="str">
        <f t="shared" si="69"/>
        <v>Apr</v>
      </c>
    </row>
    <row r="843" spans="1:21">
      <c r="A843" s="2">
        <v>46091</v>
      </c>
      <c r="B843" t="s">
        <v>4</v>
      </c>
      <c r="C843" t="s">
        <v>34</v>
      </c>
      <c r="D843" t="s">
        <v>10</v>
      </c>
      <c r="E843" t="s">
        <v>38</v>
      </c>
      <c r="F843" t="s">
        <v>33</v>
      </c>
      <c r="G843">
        <v>5</v>
      </c>
      <c r="H843">
        <v>33</v>
      </c>
      <c r="I843">
        <v>76</v>
      </c>
      <c r="J843">
        <v>123</v>
      </c>
      <c r="K843">
        <v>160</v>
      </c>
      <c r="L843">
        <v>121.94</v>
      </c>
      <c r="M843">
        <v>2000.08</v>
      </c>
      <c r="N843">
        <v>66167</v>
      </c>
      <c r="O843">
        <v>1693.35</v>
      </c>
      <c r="P843" s="1">
        <v>0.76</v>
      </c>
      <c r="Q843">
        <f t="shared" si="65"/>
        <v>38</v>
      </c>
      <c r="R843">
        <f t="shared" si="66"/>
        <v>156</v>
      </c>
      <c r="S843" s="1">
        <f t="shared" si="67"/>
        <v>-1</v>
      </c>
      <c r="T843">
        <f t="shared" si="68"/>
        <v>0.38</v>
      </c>
      <c r="U843" t="str">
        <f t="shared" si="69"/>
        <v>Mar</v>
      </c>
    </row>
    <row r="844" spans="1:21">
      <c r="A844" s="2">
        <v>46111</v>
      </c>
      <c r="B844" t="s">
        <v>6</v>
      </c>
      <c r="C844" t="s">
        <v>44</v>
      </c>
      <c r="D844" t="s">
        <v>5</v>
      </c>
      <c r="E844" t="s">
        <v>37</v>
      </c>
      <c r="F844" t="s">
        <v>45</v>
      </c>
      <c r="G844">
        <v>49</v>
      </c>
      <c r="H844">
        <v>16</v>
      </c>
      <c r="I844">
        <v>64</v>
      </c>
      <c r="J844">
        <v>116</v>
      </c>
      <c r="K844">
        <v>403</v>
      </c>
      <c r="L844">
        <v>87.35</v>
      </c>
      <c r="M844">
        <v>2300.2399999999998</v>
      </c>
      <c r="N844">
        <v>69837</v>
      </c>
      <c r="O844">
        <v>1327.49</v>
      </c>
      <c r="P844" s="1">
        <v>0.67900000000000005</v>
      </c>
      <c r="Q844">
        <f t="shared" si="65"/>
        <v>65</v>
      </c>
      <c r="R844">
        <f t="shared" si="66"/>
        <v>132</v>
      </c>
      <c r="S844" s="1">
        <f t="shared" si="67"/>
        <v>1.5384615384615385E-2</v>
      </c>
      <c r="T844">
        <f t="shared" si="68"/>
        <v>0.65</v>
      </c>
      <c r="U844" t="str">
        <f t="shared" si="69"/>
        <v>Mar</v>
      </c>
    </row>
    <row r="845" spans="1:21">
      <c r="A845" s="2">
        <v>46120</v>
      </c>
      <c r="B845" t="s">
        <v>6</v>
      </c>
      <c r="C845" t="s">
        <v>46</v>
      </c>
      <c r="D845" t="s">
        <v>9</v>
      </c>
      <c r="E845" t="s">
        <v>32</v>
      </c>
      <c r="F845" t="s">
        <v>45</v>
      </c>
      <c r="G845">
        <v>79</v>
      </c>
      <c r="H845">
        <v>45</v>
      </c>
      <c r="I845">
        <v>47</v>
      </c>
      <c r="J845">
        <v>149</v>
      </c>
      <c r="K845">
        <v>231</v>
      </c>
      <c r="L845">
        <v>83.07</v>
      </c>
      <c r="M845">
        <v>2324.9499999999998</v>
      </c>
      <c r="N845">
        <v>68669</v>
      </c>
      <c r="O845">
        <v>1628.53</v>
      </c>
      <c r="P845" s="1">
        <v>0.40300000000000002</v>
      </c>
      <c r="Q845">
        <f t="shared" si="65"/>
        <v>124</v>
      </c>
      <c r="R845">
        <f t="shared" si="66"/>
        <v>194</v>
      </c>
      <c r="S845" s="1">
        <f t="shared" si="67"/>
        <v>0.62096774193548387</v>
      </c>
      <c r="T845">
        <f t="shared" si="68"/>
        <v>1.24</v>
      </c>
      <c r="U845" t="str">
        <f t="shared" si="69"/>
        <v>Apr</v>
      </c>
    </row>
    <row r="846" spans="1:21">
      <c r="A846" s="2">
        <v>46078</v>
      </c>
      <c r="B846" t="s">
        <v>4</v>
      </c>
      <c r="C846" t="s">
        <v>43</v>
      </c>
      <c r="D846" t="s">
        <v>7</v>
      </c>
      <c r="E846" t="s">
        <v>35</v>
      </c>
      <c r="F846" t="s">
        <v>49</v>
      </c>
      <c r="G846">
        <v>60</v>
      </c>
      <c r="H846">
        <v>18</v>
      </c>
      <c r="I846">
        <v>30</v>
      </c>
      <c r="J846">
        <v>21</v>
      </c>
      <c r="K846">
        <v>186</v>
      </c>
      <c r="L846">
        <v>101.26</v>
      </c>
      <c r="M846">
        <v>1982.37</v>
      </c>
      <c r="N846">
        <v>66580</v>
      </c>
      <c r="O846">
        <v>1423.77</v>
      </c>
      <c r="P846" s="1">
        <v>0.308</v>
      </c>
      <c r="Q846">
        <f t="shared" si="65"/>
        <v>78</v>
      </c>
      <c r="R846">
        <f t="shared" si="66"/>
        <v>39</v>
      </c>
      <c r="S846" s="1">
        <f t="shared" si="67"/>
        <v>0.61538461538461542</v>
      </c>
      <c r="T846">
        <f t="shared" si="68"/>
        <v>0.78</v>
      </c>
      <c r="U846" t="str">
        <f t="shared" si="69"/>
        <v>Feb</v>
      </c>
    </row>
    <row r="847" spans="1:21">
      <c r="A847" s="2">
        <v>46076</v>
      </c>
      <c r="B847" t="s">
        <v>4</v>
      </c>
      <c r="C847" t="s">
        <v>44</v>
      </c>
      <c r="D847" t="s">
        <v>5</v>
      </c>
      <c r="E847" t="s">
        <v>41</v>
      </c>
      <c r="F847" t="s">
        <v>39</v>
      </c>
      <c r="G847">
        <v>103</v>
      </c>
      <c r="H847">
        <v>55</v>
      </c>
      <c r="I847">
        <v>87</v>
      </c>
      <c r="J847">
        <v>38</v>
      </c>
      <c r="K847">
        <v>82</v>
      </c>
      <c r="L847">
        <v>109.21</v>
      </c>
      <c r="M847">
        <v>1898.3</v>
      </c>
      <c r="N847">
        <v>74386</v>
      </c>
      <c r="O847">
        <v>1466.16</v>
      </c>
      <c r="P847" s="1">
        <v>-0.61599999999999999</v>
      </c>
      <c r="Q847">
        <f t="shared" si="65"/>
        <v>158</v>
      </c>
      <c r="R847">
        <f t="shared" si="66"/>
        <v>93</v>
      </c>
      <c r="S847" s="1">
        <f t="shared" si="67"/>
        <v>0.44936708860759494</v>
      </c>
      <c r="T847">
        <f t="shared" si="68"/>
        <v>1.58</v>
      </c>
      <c r="U847" t="str">
        <f t="shared" si="69"/>
        <v>Feb</v>
      </c>
    </row>
    <row r="848" spans="1:21">
      <c r="A848" s="2">
        <v>46079</v>
      </c>
      <c r="B848" t="s">
        <v>4</v>
      </c>
      <c r="C848" t="s">
        <v>40</v>
      </c>
      <c r="D848" t="s">
        <v>7</v>
      </c>
      <c r="E848" t="s">
        <v>35</v>
      </c>
      <c r="F848" t="s">
        <v>49</v>
      </c>
      <c r="G848">
        <v>99</v>
      </c>
      <c r="H848">
        <v>77</v>
      </c>
      <c r="I848">
        <v>81</v>
      </c>
      <c r="J848">
        <v>63</v>
      </c>
      <c r="K848">
        <v>205</v>
      </c>
      <c r="L848">
        <v>81.97</v>
      </c>
      <c r="M848">
        <v>2382.36</v>
      </c>
      <c r="N848">
        <v>68410</v>
      </c>
      <c r="O848">
        <v>1655.75</v>
      </c>
      <c r="P848" s="1">
        <v>-0.98099999999999998</v>
      </c>
      <c r="Q848">
        <f t="shared" si="65"/>
        <v>176</v>
      </c>
      <c r="R848">
        <f t="shared" si="66"/>
        <v>140</v>
      </c>
      <c r="S848" s="1">
        <f t="shared" si="67"/>
        <v>0.53977272727272729</v>
      </c>
      <c r="T848">
        <f t="shared" si="68"/>
        <v>1.76</v>
      </c>
      <c r="U848" t="str">
        <f t="shared" si="69"/>
        <v>Feb</v>
      </c>
    </row>
    <row r="849" spans="1:21">
      <c r="A849" s="2">
        <v>46123</v>
      </c>
      <c r="B849" t="s">
        <v>6</v>
      </c>
      <c r="C849" t="s">
        <v>50</v>
      </c>
      <c r="D849" t="s">
        <v>7</v>
      </c>
      <c r="E849" t="s">
        <v>38</v>
      </c>
      <c r="F849" t="s">
        <v>45</v>
      </c>
      <c r="G849">
        <v>86</v>
      </c>
      <c r="H849">
        <v>30</v>
      </c>
      <c r="I849">
        <v>63</v>
      </c>
      <c r="J849">
        <v>7</v>
      </c>
      <c r="K849">
        <v>172</v>
      </c>
      <c r="L849">
        <v>118.56</v>
      </c>
      <c r="M849">
        <v>2458.56</v>
      </c>
      <c r="N849">
        <v>71556</v>
      </c>
      <c r="O849">
        <v>1454.55</v>
      </c>
      <c r="P849" s="1">
        <v>0.33200000000000002</v>
      </c>
      <c r="Q849">
        <f t="shared" si="65"/>
        <v>116</v>
      </c>
      <c r="R849">
        <f t="shared" si="66"/>
        <v>37</v>
      </c>
      <c r="S849" s="1">
        <f t="shared" si="67"/>
        <v>0.45689655172413796</v>
      </c>
      <c r="T849">
        <f t="shared" si="68"/>
        <v>1.1599999999999999</v>
      </c>
      <c r="U849" t="str">
        <f t="shared" si="69"/>
        <v>Apr</v>
      </c>
    </row>
    <row r="850" spans="1:21">
      <c r="A850" s="2">
        <v>46107</v>
      </c>
      <c r="B850" t="s">
        <v>6</v>
      </c>
      <c r="C850" t="s">
        <v>43</v>
      </c>
      <c r="D850" t="s">
        <v>10</v>
      </c>
      <c r="E850" t="s">
        <v>38</v>
      </c>
      <c r="F850" t="s">
        <v>39</v>
      </c>
      <c r="G850">
        <v>70</v>
      </c>
      <c r="H850">
        <v>27</v>
      </c>
      <c r="I850">
        <v>3</v>
      </c>
      <c r="J850">
        <v>36</v>
      </c>
      <c r="K850">
        <v>347</v>
      </c>
      <c r="L850">
        <v>118.36</v>
      </c>
      <c r="M850">
        <v>2121.23</v>
      </c>
      <c r="N850">
        <v>68263</v>
      </c>
      <c r="O850">
        <v>1579.7</v>
      </c>
      <c r="P850" s="1">
        <v>-0.71499999999999997</v>
      </c>
      <c r="Q850">
        <f t="shared" si="65"/>
        <v>97</v>
      </c>
      <c r="R850">
        <f t="shared" si="66"/>
        <v>63</v>
      </c>
      <c r="S850" s="1">
        <f t="shared" si="67"/>
        <v>0.96907216494845361</v>
      </c>
      <c r="T850">
        <f t="shared" si="68"/>
        <v>0.97</v>
      </c>
      <c r="U850" t="str">
        <f t="shared" si="69"/>
        <v>Mar</v>
      </c>
    </row>
    <row r="851" spans="1:21">
      <c r="A851" s="2">
        <v>46124</v>
      </c>
      <c r="B851" t="s">
        <v>4</v>
      </c>
      <c r="C851" t="s">
        <v>48</v>
      </c>
      <c r="D851" t="s">
        <v>7</v>
      </c>
      <c r="E851" t="s">
        <v>47</v>
      </c>
      <c r="F851" t="s">
        <v>45</v>
      </c>
      <c r="G851">
        <v>101</v>
      </c>
      <c r="H851">
        <v>48</v>
      </c>
      <c r="I851">
        <v>55</v>
      </c>
      <c r="J851">
        <v>40</v>
      </c>
      <c r="K851">
        <v>319</v>
      </c>
      <c r="L851">
        <v>117.13</v>
      </c>
      <c r="M851">
        <v>2493.83</v>
      </c>
      <c r="N851">
        <v>69474</v>
      </c>
      <c r="O851">
        <v>1711.33</v>
      </c>
      <c r="P851" s="1">
        <v>1.9E-2</v>
      </c>
      <c r="Q851">
        <f t="shared" si="65"/>
        <v>149</v>
      </c>
      <c r="R851">
        <f t="shared" si="66"/>
        <v>88</v>
      </c>
      <c r="S851" s="1">
        <f t="shared" si="67"/>
        <v>0.63087248322147649</v>
      </c>
      <c r="T851">
        <f t="shared" si="68"/>
        <v>1.49</v>
      </c>
      <c r="U851" t="str">
        <f t="shared" si="69"/>
        <v>Apr</v>
      </c>
    </row>
    <row r="852" spans="1:21">
      <c r="A852" s="2">
        <v>46071</v>
      </c>
      <c r="B852" t="s">
        <v>6</v>
      </c>
      <c r="C852" t="s">
        <v>48</v>
      </c>
      <c r="D852" t="s">
        <v>5</v>
      </c>
      <c r="E852" t="s">
        <v>42</v>
      </c>
      <c r="F852" t="s">
        <v>33</v>
      </c>
      <c r="G852">
        <v>72</v>
      </c>
      <c r="H852">
        <v>28</v>
      </c>
      <c r="I852">
        <v>69</v>
      </c>
      <c r="J852">
        <v>46</v>
      </c>
      <c r="K852">
        <v>426</v>
      </c>
      <c r="L852">
        <v>133.35</v>
      </c>
      <c r="M852">
        <v>1863.57</v>
      </c>
      <c r="N852">
        <v>67359</v>
      </c>
      <c r="O852">
        <v>1393.37</v>
      </c>
      <c r="P852" s="1">
        <v>2E-3</v>
      </c>
      <c r="Q852">
        <f t="shared" si="65"/>
        <v>100</v>
      </c>
      <c r="R852">
        <f t="shared" si="66"/>
        <v>74</v>
      </c>
      <c r="S852" s="1">
        <f t="shared" si="67"/>
        <v>0.31</v>
      </c>
      <c r="T852">
        <f t="shared" si="68"/>
        <v>1</v>
      </c>
      <c r="U852" t="str">
        <f t="shared" si="69"/>
        <v>Feb</v>
      </c>
    </row>
    <row r="853" spans="1:21">
      <c r="A853" s="2">
        <v>46115</v>
      </c>
      <c r="B853" t="s">
        <v>4</v>
      </c>
      <c r="C853" t="s">
        <v>40</v>
      </c>
      <c r="D853" t="s">
        <v>9</v>
      </c>
      <c r="E853" t="s">
        <v>47</v>
      </c>
      <c r="F853" t="s">
        <v>39</v>
      </c>
      <c r="G853">
        <v>28</v>
      </c>
      <c r="H853">
        <v>76</v>
      </c>
      <c r="I853">
        <v>11</v>
      </c>
      <c r="J853">
        <v>87</v>
      </c>
      <c r="K853">
        <v>97</v>
      </c>
      <c r="L853">
        <v>131.35</v>
      </c>
      <c r="M853">
        <v>2387.65</v>
      </c>
      <c r="N853">
        <v>72430</v>
      </c>
      <c r="O853">
        <v>989.77</v>
      </c>
      <c r="P853" s="1">
        <v>0.89100000000000001</v>
      </c>
      <c r="Q853">
        <f t="shared" si="65"/>
        <v>104</v>
      </c>
      <c r="R853">
        <f t="shared" si="66"/>
        <v>163</v>
      </c>
      <c r="S853" s="1">
        <f t="shared" si="67"/>
        <v>0.89423076923076927</v>
      </c>
      <c r="T853">
        <f t="shared" si="68"/>
        <v>1.04</v>
      </c>
      <c r="U853" t="str">
        <f t="shared" si="69"/>
        <v>Apr</v>
      </c>
    </row>
    <row r="854" spans="1:21">
      <c r="A854" s="2">
        <v>46119</v>
      </c>
      <c r="B854" t="s">
        <v>4</v>
      </c>
      <c r="C854" t="s">
        <v>50</v>
      </c>
      <c r="D854" t="s">
        <v>7</v>
      </c>
      <c r="E854" t="s">
        <v>35</v>
      </c>
      <c r="F854" t="s">
        <v>45</v>
      </c>
      <c r="G854">
        <v>75</v>
      </c>
      <c r="H854">
        <v>20</v>
      </c>
      <c r="I854">
        <v>4</v>
      </c>
      <c r="J854">
        <v>46</v>
      </c>
      <c r="K854">
        <v>19</v>
      </c>
      <c r="L854">
        <v>94.75</v>
      </c>
      <c r="M854">
        <v>1922.01</v>
      </c>
      <c r="N854">
        <v>71559</v>
      </c>
      <c r="O854">
        <v>1481.56</v>
      </c>
      <c r="P854" s="1">
        <v>-0.93899999999999995</v>
      </c>
      <c r="Q854">
        <f t="shared" si="65"/>
        <v>95</v>
      </c>
      <c r="R854">
        <f t="shared" si="66"/>
        <v>66</v>
      </c>
      <c r="S854" s="1">
        <f t="shared" si="67"/>
        <v>0.95789473684210524</v>
      </c>
      <c r="T854">
        <f t="shared" si="68"/>
        <v>0.95</v>
      </c>
      <c r="U854" t="str">
        <f t="shared" si="69"/>
        <v>Apr</v>
      </c>
    </row>
    <row r="855" spans="1:21">
      <c r="A855" s="2">
        <v>46075</v>
      </c>
      <c r="B855" t="s">
        <v>6</v>
      </c>
      <c r="C855" t="s">
        <v>46</v>
      </c>
      <c r="D855" t="s">
        <v>9</v>
      </c>
      <c r="E855" t="s">
        <v>37</v>
      </c>
      <c r="F855" t="s">
        <v>33</v>
      </c>
      <c r="G855">
        <v>3</v>
      </c>
      <c r="H855">
        <v>17</v>
      </c>
      <c r="I855">
        <v>26</v>
      </c>
      <c r="J855">
        <v>12</v>
      </c>
      <c r="K855">
        <v>324</v>
      </c>
      <c r="L855">
        <v>115.05</v>
      </c>
      <c r="M855">
        <v>2208.04</v>
      </c>
      <c r="N855">
        <v>65152</v>
      </c>
      <c r="O855">
        <v>1447.31</v>
      </c>
      <c r="P855" s="1">
        <v>0.74199999999999999</v>
      </c>
      <c r="Q855">
        <f t="shared" si="65"/>
        <v>20</v>
      </c>
      <c r="R855">
        <f t="shared" si="66"/>
        <v>29</v>
      </c>
      <c r="S855" s="1">
        <f t="shared" si="67"/>
        <v>-0.3</v>
      </c>
      <c r="T855">
        <f t="shared" si="68"/>
        <v>0.2</v>
      </c>
      <c r="U855" t="str">
        <f t="shared" si="69"/>
        <v>Feb</v>
      </c>
    </row>
    <row r="856" spans="1:21">
      <c r="A856" s="2">
        <v>46116</v>
      </c>
      <c r="B856" t="s">
        <v>6</v>
      </c>
      <c r="C856" t="s">
        <v>36</v>
      </c>
      <c r="D856" t="s">
        <v>5</v>
      </c>
      <c r="E856" t="s">
        <v>37</v>
      </c>
      <c r="F856" t="s">
        <v>39</v>
      </c>
      <c r="G856">
        <v>54</v>
      </c>
      <c r="H856">
        <v>28</v>
      </c>
      <c r="I856">
        <v>13</v>
      </c>
      <c r="J856">
        <v>39</v>
      </c>
      <c r="K856">
        <v>104</v>
      </c>
      <c r="L856">
        <v>130.91999999999999</v>
      </c>
      <c r="M856">
        <v>2196.33</v>
      </c>
      <c r="N856">
        <v>65660</v>
      </c>
      <c r="O856">
        <v>960.05</v>
      </c>
      <c r="P856" s="1">
        <v>-1.6E-2</v>
      </c>
      <c r="Q856">
        <f t="shared" si="65"/>
        <v>82</v>
      </c>
      <c r="R856">
        <f t="shared" si="66"/>
        <v>67</v>
      </c>
      <c r="S856" s="1">
        <f t="shared" si="67"/>
        <v>0.84146341463414631</v>
      </c>
      <c r="T856">
        <f t="shared" si="68"/>
        <v>0.82</v>
      </c>
      <c r="U856" t="str">
        <f t="shared" si="69"/>
        <v>Apr</v>
      </c>
    </row>
    <row r="857" spans="1:21">
      <c r="A857" s="2">
        <v>46084</v>
      </c>
      <c r="B857" t="s">
        <v>4</v>
      </c>
      <c r="C857" t="s">
        <v>50</v>
      </c>
      <c r="D857" t="s">
        <v>10</v>
      </c>
      <c r="E857" t="s">
        <v>35</v>
      </c>
      <c r="F857" t="s">
        <v>39</v>
      </c>
      <c r="G857">
        <v>65</v>
      </c>
      <c r="H857">
        <v>29</v>
      </c>
      <c r="I857">
        <v>4</v>
      </c>
      <c r="J857">
        <v>56</v>
      </c>
      <c r="K857">
        <v>373</v>
      </c>
      <c r="L857">
        <v>80.36</v>
      </c>
      <c r="M857">
        <v>2392.2600000000002</v>
      </c>
      <c r="N857">
        <v>70847</v>
      </c>
      <c r="O857">
        <v>1741.39</v>
      </c>
      <c r="P857" s="1">
        <v>-0.27800000000000002</v>
      </c>
      <c r="Q857">
        <f t="shared" si="65"/>
        <v>94</v>
      </c>
      <c r="R857">
        <f t="shared" si="66"/>
        <v>85</v>
      </c>
      <c r="S857" s="1">
        <f t="shared" si="67"/>
        <v>0.95744680851063835</v>
      </c>
      <c r="T857">
        <f t="shared" si="68"/>
        <v>0.94</v>
      </c>
      <c r="U857" t="str">
        <f t="shared" si="69"/>
        <v>Mar</v>
      </c>
    </row>
    <row r="858" spans="1:21">
      <c r="A858" s="2">
        <v>46074</v>
      </c>
      <c r="B858" t="s">
        <v>4</v>
      </c>
      <c r="C858" t="s">
        <v>43</v>
      </c>
      <c r="D858" t="s">
        <v>7</v>
      </c>
      <c r="E858" t="s">
        <v>47</v>
      </c>
      <c r="F858" t="s">
        <v>45</v>
      </c>
      <c r="G858">
        <v>71</v>
      </c>
      <c r="H858">
        <v>5</v>
      </c>
      <c r="I858">
        <v>83</v>
      </c>
      <c r="J858">
        <v>52</v>
      </c>
      <c r="K858">
        <v>280</v>
      </c>
      <c r="L858">
        <v>121.69</v>
      </c>
      <c r="M858">
        <v>2351.98</v>
      </c>
      <c r="N858">
        <v>68384</v>
      </c>
      <c r="O858">
        <v>911.55</v>
      </c>
      <c r="P858" s="1">
        <v>0.97299999999999998</v>
      </c>
      <c r="Q858">
        <f t="shared" si="65"/>
        <v>76</v>
      </c>
      <c r="R858">
        <f t="shared" si="66"/>
        <v>57</v>
      </c>
      <c r="S858" s="1">
        <f t="shared" si="67"/>
        <v>-9.2105263157894732E-2</v>
      </c>
      <c r="T858">
        <f t="shared" si="68"/>
        <v>0.76</v>
      </c>
      <c r="U858" t="str">
        <f t="shared" si="69"/>
        <v>Feb</v>
      </c>
    </row>
    <row r="859" spans="1:21">
      <c r="A859" s="2">
        <v>46075</v>
      </c>
      <c r="B859" t="s">
        <v>4</v>
      </c>
      <c r="C859" t="s">
        <v>43</v>
      </c>
      <c r="D859" t="s">
        <v>11</v>
      </c>
      <c r="E859" t="s">
        <v>47</v>
      </c>
      <c r="F859" t="s">
        <v>45</v>
      </c>
      <c r="G859">
        <v>91</v>
      </c>
      <c r="H859">
        <v>36</v>
      </c>
      <c r="I859">
        <v>41</v>
      </c>
      <c r="J859">
        <v>29</v>
      </c>
      <c r="K859">
        <v>168</v>
      </c>
      <c r="L859">
        <v>109.92</v>
      </c>
      <c r="M859">
        <v>1837.25</v>
      </c>
      <c r="N859">
        <v>67249</v>
      </c>
      <c r="O859">
        <v>1245.33</v>
      </c>
      <c r="P859" s="1">
        <v>-0.51</v>
      </c>
      <c r="Q859">
        <f t="shared" si="65"/>
        <v>127</v>
      </c>
      <c r="R859">
        <f t="shared" si="66"/>
        <v>65</v>
      </c>
      <c r="S859" s="1">
        <f t="shared" si="67"/>
        <v>0.67716535433070868</v>
      </c>
      <c r="T859">
        <f t="shared" si="68"/>
        <v>1.27</v>
      </c>
      <c r="U859" t="str">
        <f t="shared" si="69"/>
        <v>Feb</v>
      </c>
    </row>
    <row r="860" spans="1:21">
      <c r="A860" s="2">
        <v>46081</v>
      </c>
      <c r="B860" t="s">
        <v>6</v>
      </c>
      <c r="C860" t="s">
        <v>34</v>
      </c>
      <c r="D860" t="s">
        <v>11</v>
      </c>
      <c r="E860" t="s">
        <v>38</v>
      </c>
      <c r="F860" t="s">
        <v>39</v>
      </c>
      <c r="G860">
        <v>87</v>
      </c>
      <c r="H860">
        <v>5</v>
      </c>
      <c r="I860">
        <v>34</v>
      </c>
      <c r="J860">
        <v>31</v>
      </c>
      <c r="K860">
        <v>232</v>
      </c>
      <c r="L860">
        <v>120.53</v>
      </c>
      <c r="M860">
        <v>2096.04</v>
      </c>
      <c r="N860">
        <v>65390</v>
      </c>
      <c r="O860">
        <v>1342.06</v>
      </c>
      <c r="P860" s="1">
        <v>0.33600000000000002</v>
      </c>
      <c r="Q860">
        <f t="shared" si="65"/>
        <v>92</v>
      </c>
      <c r="R860">
        <f t="shared" si="66"/>
        <v>36</v>
      </c>
      <c r="S860" s="1">
        <f t="shared" si="67"/>
        <v>0.63043478260869568</v>
      </c>
      <c r="T860">
        <f t="shared" si="68"/>
        <v>0.92</v>
      </c>
      <c r="U860" t="str">
        <f t="shared" si="69"/>
        <v>Feb</v>
      </c>
    </row>
    <row r="861" spans="1:21">
      <c r="A861" s="2">
        <v>46084</v>
      </c>
      <c r="B861" t="s">
        <v>4</v>
      </c>
      <c r="C861" t="s">
        <v>34</v>
      </c>
      <c r="D861" t="s">
        <v>10</v>
      </c>
      <c r="E861" t="s">
        <v>37</v>
      </c>
      <c r="F861" t="s">
        <v>33</v>
      </c>
      <c r="G861">
        <v>69</v>
      </c>
      <c r="H861">
        <v>37</v>
      </c>
      <c r="I861">
        <v>7</v>
      </c>
      <c r="J861">
        <v>154</v>
      </c>
      <c r="K861">
        <v>314</v>
      </c>
      <c r="L861">
        <v>120.67</v>
      </c>
      <c r="M861">
        <v>1900.08</v>
      </c>
      <c r="N861">
        <v>73064</v>
      </c>
      <c r="O861">
        <v>1126.83</v>
      </c>
      <c r="P861" s="1">
        <v>-0.39800000000000002</v>
      </c>
      <c r="Q861">
        <f t="shared" si="65"/>
        <v>106</v>
      </c>
      <c r="R861">
        <f t="shared" si="66"/>
        <v>191</v>
      </c>
      <c r="S861" s="1">
        <f t="shared" si="67"/>
        <v>0.93396226415094341</v>
      </c>
      <c r="T861">
        <f t="shared" si="68"/>
        <v>1.06</v>
      </c>
      <c r="U861" t="str">
        <f t="shared" si="69"/>
        <v>Mar</v>
      </c>
    </row>
    <row r="862" spans="1:21">
      <c r="A862" s="2">
        <v>46070</v>
      </c>
      <c r="B862" t="s">
        <v>6</v>
      </c>
      <c r="C862" t="s">
        <v>31</v>
      </c>
      <c r="D862" t="s">
        <v>5</v>
      </c>
      <c r="E862" t="s">
        <v>35</v>
      </c>
      <c r="F862" t="s">
        <v>49</v>
      </c>
      <c r="G862">
        <v>104</v>
      </c>
      <c r="H862">
        <v>61</v>
      </c>
      <c r="I862">
        <v>2</v>
      </c>
      <c r="J862">
        <v>77</v>
      </c>
      <c r="K862">
        <v>297</v>
      </c>
      <c r="L862">
        <v>131.85</v>
      </c>
      <c r="M862">
        <v>2239.71</v>
      </c>
      <c r="N862">
        <v>72975</v>
      </c>
      <c r="O862">
        <v>1691.13</v>
      </c>
      <c r="P862" s="1">
        <v>0.28399999999999997</v>
      </c>
      <c r="Q862">
        <f t="shared" si="65"/>
        <v>165</v>
      </c>
      <c r="R862">
        <f t="shared" si="66"/>
        <v>138</v>
      </c>
      <c r="S862" s="1">
        <f t="shared" si="67"/>
        <v>0.98787878787878791</v>
      </c>
      <c r="T862">
        <f t="shared" si="68"/>
        <v>1.65</v>
      </c>
      <c r="U862" t="str">
        <f t="shared" si="69"/>
        <v>Feb</v>
      </c>
    </row>
    <row r="863" spans="1:21">
      <c r="A863" s="2">
        <v>46107</v>
      </c>
      <c r="B863" t="s">
        <v>4</v>
      </c>
      <c r="C863" t="s">
        <v>51</v>
      </c>
      <c r="D863" t="s">
        <v>7</v>
      </c>
      <c r="E863" t="s">
        <v>42</v>
      </c>
      <c r="F863" t="s">
        <v>49</v>
      </c>
      <c r="G863">
        <v>28</v>
      </c>
      <c r="H863">
        <v>3</v>
      </c>
      <c r="I863">
        <v>27</v>
      </c>
      <c r="J863">
        <v>42</v>
      </c>
      <c r="K863">
        <v>176</v>
      </c>
      <c r="L863">
        <v>138.72999999999999</v>
      </c>
      <c r="M863">
        <v>2394.79</v>
      </c>
      <c r="N863">
        <v>74511</v>
      </c>
      <c r="O863">
        <v>1571.81</v>
      </c>
      <c r="P863" s="1">
        <v>-0.81799999999999995</v>
      </c>
      <c r="Q863">
        <f t="shared" si="65"/>
        <v>31</v>
      </c>
      <c r="R863">
        <f t="shared" si="66"/>
        <v>45</v>
      </c>
      <c r="S863" s="1">
        <f t="shared" si="67"/>
        <v>0.12903225806451613</v>
      </c>
      <c r="T863">
        <f t="shared" si="68"/>
        <v>0.31</v>
      </c>
      <c r="U863" t="str">
        <f t="shared" si="69"/>
        <v>Mar</v>
      </c>
    </row>
    <row r="864" spans="1:21">
      <c r="A864" s="2">
        <v>46072</v>
      </c>
      <c r="B864" t="s">
        <v>6</v>
      </c>
      <c r="C864" t="s">
        <v>43</v>
      </c>
      <c r="D864" t="s">
        <v>11</v>
      </c>
      <c r="E864" t="s">
        <v>35</v>
      </c>
      <c r="F864" t="s">
        <v>33</v>
      </c>
      <c r="G864">
        <v>57</v>
      </c>
      <c r="H864">
        <v>60</v>
      </c>
      <c r="I864">
        <v>46</v>
      </c>
      <c r="J864">
        <v>91</v>
      </c>
      <c r="K864">
        <v>405</v>
      </c>
      <c r="L864">
        <v>134.63999999999999</v>
      </c>
      <c r="M864">
        <v>2206.88</v>
      </c>
      <c r="N864">
        <v>75705</v>
      </c>
      <c r="O864">
        <v>1429.31</v>
      </c>
      <c r="P864" s="1">
        <v>-0.25700000000000001</v>
      </c>
      <c r="Q864">
        <f t="shared" si="65"/>
        <v>117</v>
      </c>
      <c r="R864">
        <f t="shared" si="66"/>
        <v>151</v>
      </c>
      <c r="S864" s="1">
        <f t="shared" si="67"/>
        <v>0.60683760683760679</v>
      </c>
      <c r="T864">
        <f t="shared" si="68"/>
        <v>1.17</v>
      </c>
      <c r="U864" t="str">
        <f t="shared" si="69"/>
        <v>Feb</v>
      </c>
    </row>
    <row r="865" spans="1:21">
      <c r="A865" s="2">
        <v>46070</v>
      </c>
      <c r="B865" t="s">
        <v>4</v>
      </c>
      <c r="C865" t="s">
        <v>51</v>
      </c>
      <c r="D865" t="s">
        <v>5</v>
      </c>
      <c r="E865" t="s">
        <v>35</v>
      </c>
      <c r="F865" t="s">
        <v>33</v>
      </c>
      <c r="G865">
        <v>7</v>
      </c>
      <c r="H865">
        <v>27</v>
      </c>
      <c r="I865">
        <v>46</v>
      </c>
      <c r="J865">
        <v>150</v>
      </c>
      <c r="K865">
        <v>343</v>
      </c>
      <c r="L865">
        <v>135.82</v>
      </c>
      <c r="M865">
        <v>1949.72</v>
      </c>
      <c r="N865">
        <v>69325</v>
      </c>
      <c r="O865">
        <v>1615.29</v>
      </c>
      <c r="P865" s="1">
        <v>0.05</v>
      </c>
      <c r="Q865">
        <f t="shared" si="65"/>
        <v>34</v>
      </c>
      <c r="R865">
        <f t="shared" si="66"/>
        <v>177</v>
      </c>
      <c r="S865" s="1">
        <f t="shared" si="67"/>
        <v>-0.35294117647058826</v>
      </c>
      <c r="T865">
        <f t="shared" si="68"/>
        <v>0.34</v>
      </c>
      <c r="U865" t="str">
        <f t="shared" si="69"/>
        <v>Feb</v>
      </c>
    </row>
    <row r="866" spans="1:21">
      <c r="A866" s="2">
        <v>46097</v>
      </c>
      <c r="B866" t="s">
        <v>4</v>
      </c>
      <c r="C866" t="s">
        <v>44</v>
      </c>
      <c r="D866" t="s">
        <v>10</v>
      </c>
      <c r="E866" t="s">
        <v>35</v>
      </c>
      <c r="F866" t="s">
        <v>33</v>
      </c>
      <c r="G866">
        <v>22</v>
      </c>
      <c r="H866">
        <v>36</v>
      </c>
      <c r="I866">
        <v>87</v>
      </c>
      <c r="J866">
        <v>32</v>
      </c>
      <c r="K866">
        <v>296</v>
      </c>
      <c r="L866">
        <v>122.64</v>
      </c>
      <c r="M866">
        <v>1805.29</v>
      </c>
      <c r="N866">
        <v>70195</v>
      </c>
      <c r="O866">
        <v>1071.55</v>
      </c>
      <c r="P866" s="1">
        <v>-0.98399999999999999</v>
      </c>
      <c r="Q866">
        <f t="shared" si="65"/>
        <v>58</v>
      </c>
      <c r="R866">
        <f t="shared" si="66"/>
        <v>68</v>
      </c>
      <c r="S866" s="1">
        <f t="shared" si="67"/>
        <v>-0.5</v>
      </c>
      <c r="T866">
        <f t="shared" si="68"/>
        <v>0.57999999999999996</v>
      </c>
      <c r="U866" t="str">
        <f t="shared" si="69"/>
        <v>Mar</v>
      </c>
    </row>
    <row r="867" spans="1:21">
      <c r="A867" s="2">
        <v>46105</v>
      </c>
      <c r="B867" t="s">
        <v>6</v>
      </c>
      <c r="C867" t="s">
        <v>51</v>
      </c>
      <c r="D867" t="s">
        <v>9</v>
      </c>
      <c r="E867" t="s">
        <v>47</v>
      </c>
      <c r="F867" t="s">
        <v>33</v>
      </c>
      <c r="G867">
        <v>53</v>
      </c>
      <c r="H867">
        <v>38</v>
      </c>
      <c r="I867">
        <v>86</v>
      </c>
      <c r="J867">
        <v>14</v>
      </c>
      <c r="K867">
        <v>178</v>
      </c>
      <c r="L867">
        <v>128.57</v>
      </c>
      <c r="M867">
        <v>2405.8200000000002</v>
      </c>
      <c r="N867">
        <v>64372</v>
      </c>
      <c r="O867">
        <v>1751.02</v>
      </c>
      <c r="P867" s="1">
        <v>-0.36799999999999999</v>
      </c>
      <c r="Q867">
        <f t="shared" si="65"/>
        <v>91</v>
      </c>
      <c r="R867">
        <f t="shared" si="66"/>
        <v>52</v>
      </c>
      <c r="S867" s="1">
        <f t="shared" si="67"/>
        <v>5.4945054945054944E-2</v>
      </c>
      <c r="T867">
        <f t="shared" si="68"/>
        <v>0.91</v>
      </c>
      <c r="U867" t="str">
        <f t="shared" si="69"/>
        <v>Mar</v>
      </c>
    </row>
    <row r="868" spans="1:21">
      <c r="A868" s="2">
        <v>46081</v>
      </c>
      <c r="B868" t="s">
        <v>6</v>
      </c>
      <c r="C868" t="s">
        <v>48</v>
      </c>
      <c r="D868" t="s">
        <v>7</v>
      </c>
      <c r="E868" t="s">
        <v>32</v>
      </c>
      <c r="F868" t="s">
        <v>45</v>
      </c>
      <c r="G868">
        <v>34</v>
      </c>
      <c r="H868">
        <v>39</v>
      </c>
      <c r="I868">
        <v>75</v>
      </c>
      <c r="J868">
        <v>95</v>
      </c>
      <c r="K868">
        <v>379</v>
      </c>
      <c r="L868">
        <v>96.96</v>
      </c>
      <c r="M868">
        <v>2163.1</v>
      </c>
      <c r="N868">
        <v>69147</v>
      </c>
      <c r="O868">
        <v>1261.3</v>
      </c>
      <c r="P868" s="1">
        <v>6.4000000000000001E-2</v>
      </c>
      <c r="Q868">
        <f t="shared" si="65"/>
        <v>73</v>
      </c>
      <c r="R868">
        <f t="shared" si="66"/>
        <v>134</v>
      </c>
      <c r="S868" s="1">
        <f t="shared" si="67"/>
        <v>-2.7397260273972601E-2</v>
      </c>
      <c r="T868">
        <f t="shared" si="68"/>
        <v>0.73</v>
      </c>
      <c r="U868" t="str">
        <f t="shared" si="69"/>
        <v>Feb</v>
      </c>
    </row>
    <row r="869" spans="1:21">
      <c r="A869" s="2">
        <v>46092</v>
      </c>
      <c r="B869" t="s">
        <v>6</v>
      </c>
      <c r="C869" t="s">
        <v>48</v>
      </c>
      <c r="D869" t="s">
        <v>5</v>
      </c>
      <c r="E869" t="s">
        <v>41</v>
      </c>
      <c r="F869" t="s">
        <v>39</v>
      </c>
      <c r="G869">
        <v>79</v>
      </c>
      <c r="H869">
        <v>59</v>
      </c>
      <c r="I869">
        <v>11</v>
      </c>
      <c r="J869">
        <v>31</v>
      </c>
      <c r="K869">
        <v>56</v>
      </c>
      <c r="L869">
        <v>119.45</v>
      </c>
      <c r="M869">
        <v>2113.66</v>
      </c>
      <c r="N869">
        <v>66945</v>
      </c>
      <c r="O869">
        <v>1451.9</v>
      </c>
      <c r="P869" s="1">
        <v>0.40500000000000003</v>
      </c>
      <c r="Q869">
        <f t="shared" si="65"/>
        <v>138</v>
      </c>
      <c r="R869">
        <f t="shared" si="66"/>
        <v>90</v>
      </c>
      <c r="S869" s="1">
        <f t="shared" si="67"/>
        <v>0.92028985507246375</v>
      </c>
      <c r="T869">
        <f t="shared" si="68"/>
        <v>1.38</v>
      </c>
      <c r="U869" t="str">
        <f t="shared" si="69"/>
        <v>Mar</v>
      </c>
    </row>
    <row r="870" spans="1:21">
      <c r="A870" s="2">
        <v>46068</v>
      </c>
      <c r="B870" t="s">
        <v>4</v>
      </c>
      <c r="C870" t="s">
        <v>51</v>
      </c>
      <c r="D870" t="s">
        <v>11</v>
      </c>
      <c r="E870" t="s">
        <v>47</v>
      </c>
      <c r="F870" t="s">
        <v>45</v>
      </c>
      <c r="G870">
        <v>64</v>
      </c>
      <c r="H870">
        <v>11</v>
      </c>
      <c r="I870">
        <v>52</v>
      </c>
      <c r="J870">
        <v>118</v>
      </c>
      <c r="K870">
        <v>426</v>
      </c>
      <c r="L870">
        <v>86.71</v>
      </c>
      <c r="M870">
        <v>2092.6999999999998</v>
      </c>
      <c r="N870">
        <v>67052</v>
      </c>
      <c r="O870">
        <v>1023.6</v>
      </c>
      <c r="P870" s="1">
        <v>8.5000000000000006E-2</v>
      </c>
      <c r="Q870">
        <f t="shared" si="65"/>
        <v>75</v>
      </c>
      <c r="R870">
        <f t="shared" si="66"/>
        <v>129</v>
      </c>
      <c r="S870" s="1">
        <f t="shared" si="67"/>
        <v>0.30666666666666664</v>
      </c>
      <c r="T870">
        <f t="shared" si="68"/>
        <v>0.75</v>
      </c>
      <c r="U870" t="str">
        <f t="shared" si="69"/>
        <v>Feb</v>
      </c>
    </row>
    <row r="871" spans="1:21">
      <c r="A871" s="2">
        <v>46089</v>
      </c>
      <c r="B871" t="s">
        <v>4</v>
      </c>
      <c r="C871" t="s">
        <v>40</v>
      </c>
      <c r="D871" t="s">
        <v>7</v>
      </c>
      <c r="E871" t="s">
        <v>41</v>
      </c>
      <c r="F871" t="s">
        <v>33</v>
      </c>
      <c r="G871">
        <v>93</v>
      </c>
      <c r="H871">
        <v>72</v>
      </c>
      <c r="I871">
        <v>35</v>
      </c>
      <c r="J871">
        <v>140</v>
      </c>
      <c r="K871">
        <v>245</v>
      </c>
      <c r="L871">
        <v>139.41999999999999</v>
      </c>
      <c r="M871">
        <v>2227.25</v>
      </c>
      <c r="N871">
        <v>75264</v>
      </c>
      <c r="O871">
        <v>1118.78</v>
      </c>
      <c r="P871" s="1">
        <v>-0.88200000000000001</v>
      </c>
      <c r="Q871">
        <f t="shared" si="65"/>
        <v>165</v>
      </c>
      <c r="R871">
        <f t="shared" si="66"/>
        <v>212</v>
      </c>
      <c r="S871" s="1">
        <f t="shared" si="67"/>
        <v>0.78787878787878785</v>
      </c>
      <c r="T871">
        <f t="shared" si="68"/>
        <v>1.65</v>
      </c>
      <c r="U871" t="str">
        <f t="shared" si="69"/>
        <v>Mar</v>
      </c>
    </row>
    <row r="872" spans="1:21">
      <c r="A872" s="2">
        <v>46103</v>
      </c>
      <c r="B872" t="s">
        <v>6</v>
      </c>
      <c r="C872" t="s">
        <v>50</v>
      </c>
      <c r="D872" t="s">
        <v>9</v>
      </c>
      <c r="E872" t="s">
        <v>32</v>
      </c>
      <c r="F872" t="s">
        <v>49</v>
      </c>
      <c r="G872">
        <v>41</v>
      </c>
      <c r="H872">
        <v>68</v>
      </c>
      <c r="I872">
        <v>40</v>
      </c>
      <c r="J872">
        <v>102</v>
      </c>
      <c r="K872">
        <v>256</v>
      </c>
      <c r="L872">
        <v>117.69</v>
      </c>
      <c r="M872">
        <v>1848.96</v>
      </c>
      <c r="N872">
        <v>64202</v>
      </c>
      <c r="O872">
        <v>1403.35</v>
      </c>
      <c r="P872" s="1">
        <v>0.97</v>
      </c>
      <c r="Q872">
        <f t="shared" si="65"/>
        <v>109</v>
      </c>
      <c r="R872">
        <f t="shared" si="66"/>
        <v>170</v>
      </c>
      <c r="S872" s="1">
        <f t="shared" si="67"/>
        <v>0.6330275229357798</v>
      </c>
      <c r="T872">
        <f t="shared" si="68"/>
        <v>1.0900000000000001</v>
      </c>
      <c r="U872" t="str">
        <f t="shared" si="69"/>
        <v>Mar</v>
      </c>
    </row>
    <row r="873" spans="1:21">
      <c r="A873" s="2">
        <v>46111</v>
      </c>
      <c r="B873" t="s">
        <v>6</v>
      </c>
      <c r="C873" t="s">
        <v>46</v>
      </c>
      <c r="D873" t="s">
        <v>11</v>
      </c>
      <c r="E873" t="s">
        <v>32</v>
      </c>
      <c r="F873" t="s">
        <v>39</v>
      </c>
      <c r="G873">
        <v>73</v>
      </c>
      <c r="H873">
        <v>53</v>
      </c>
      <c r="I873">
        <v>3</v>
      </c>
      <c r="J873">
        <v>81</v>
      </c>
      <c r="K873">
        <v>433</v>
      </c>
      <c r="L873">
        <v>86.68</v>
      </c>
      <c r="M873">
        <v>2055.1999999999998</v>
      </c>
      <c r="N873">
        <v>71948</v>
      </c>
      <c r="O873">
        <v>1258.5999999999999</v>
      </c>
      <c r="P873" s="1">
        <v>0.61599999999999999</v>
      </c>
      <c r="Q873">
        <f t="shared" si="65"/>
        <v>126</v>
      </c>
      <c r="R873">
        <f t="shared" si="66"/>
        <v>134</v>
      </c>
      <c r="S873" s="1">
        <f t="shared" si="67"/>
        <v>0.97619047619047616</v>
      </c>
      <c r="T873">
        <f t="shared" si="68"/>
        <v>1.26</v>
      </c>
      <c r="U873" t="str">
        <f t="shared" si="69"/>
        <v>Mar</v>
      </c>
    </row>
    <row r="874" spans="1:21">
      <c r="A874" s="2">
        <v>46115</v>
      </c>
      <c r="B874" t="s">
        <v>4</v>
      </c>
      <c r="C874" t="s">
        <v>43</v>
      </c>
      <c r="D874" t="s">
        <v>7</v>
      </c>
      <c r="E874" t="s">
        <v>42</v>
      </c>
      <c r="F874" t="s">
        <v>45</v>
      </c>
      <c r="G874">
        <v>19</v>
      </c>
      <c r="H874">
        <v>11</v>
      </c>
      <c r="I874">
        <v>51</v>
      </c>
      <c r="J874">
        <v>95</v>
      </c>
      <c r="K874">
        <v>180</v>
      </c>
      <c r="L874">
        <v>81.599999999999994</v>
      </c>
      <c r="M874">
        <v>2048.64</v>
      </c>
      <c r="N874">
        <v>71886</v>
      </c>
      <c r="O874">
        <v>1088.1500000000001</v>
      </c>
      <c r="P874" s="1">
        <v>0.255</v>
      </c>
      <c r="Q874">
        <f t="shared" si="65"/>
        <v>30</v>
      </c>
      <c r="R874">
        <f t="shared" si="66"/>
        <v>106</v>
      </c>
      <c r="S874" s="1">
        <f t="shared" si="67"/>
        <v>-0.7</v>
      </c>
      <c r="T874">
        <f t="shared" si="68"/>
        <v>0.3</v>
      </c>
      <c r="U874" t="str">
        <f t="shared" si="69"/>
        <v>Apr</v>
      </c>
    </row>
    <row r="875" spans="1:21">
      <c r="A875" s="2">
        <v>46094</v>
      </c>
      <c r="B875" t="s">
        <v>4</v>
      </c>
      <c r="C875" t="s">
        <v>40</v>
      </c>
      <c r="D875" t="s">
        <v>9</v>
      </c>
      <c r="E875" t="s">
        <v>42</v>
      </c>
      <c r="F875" t="s">
        <v>45</v>
      </c>
      <c r="G875">
        <v>9</v>
      </c>
      <c r="H875">
        <v>58</v>
      </c>
      <c r="I875">
        <v>81</v>
      </c>
      <c r="J875">
        <v>121</v>
      </c>
      <c r="K875">
        <v>308</v>
      </c>
      <c r="L875">
        <v>96.85</v>
      </c>
      <c r="M875">
        <v>2473.21</v>
      </c>
      <c r="N875">
        <v>74905</v>
      </c>
      <c r="O875">
        <v>1562.95</v>
      </c>
      <c r="P875" s="1">
        <v>0.63800000000000001</v>
      </c>
      <c r="Q875">
        <f t="shared" si="65"/>
        <v>67</v>
      </c>
      <c r="R875">
        <f t="shared" si="66"/>
        <v>179</v>
      </c>
      <c r="S875" s="1">
        <f t="shared" si="67"/>
        <v>-0.20895522388059701</v>
      </c>
      <c r="T875">
        <f t="shared" si="68"/>
        <v>0.67</v>
      </c>
      <c r="U875" t="str">
        <f t="shared" si="69"/>
        <v>Mar</v>
      </c>
    </row>
    <row r="876" spans="1:21">
      <c r="A876" s="2">
        <v>46097</v>
      </c>
      <c r="B876" t="s">
        <v>6</v>
      </c>
      <c r="C876" t="s">
        <v>46</v>
      </c>
      <c r="D876" t="s">
        <v>11</v>
      </c>
      <c r="E876" t="s">
        <v>41</v>
      </c>
      <c r="F876" t="s">
        <v>49</v>
      </c>
      <c r="G876">
        <v>83</v>
      </c>
      <c r="H876">
        <v>74</v>
      </c>
      <c r="I876">
        <v>52</v>
      </c>
      <c r="J876">
        <v>8</v>
      </c>
      <c r="K876">
        <v>30</v>
      </c>
      <c r="L876">
        <v>89.57</v>
      </c>
      <c r="M876">
        <v>2197.7399999999998</v>
      </c>
      <c r="N876">
        <v>68165</v>
      </c>
      <c r="O876">
        <v>1562.93</v>
      </c>
      <c r="P876" s="1">
        <v>-0.81299999999999994</v>
      </c>
      <c r="Q876">
        <f t="shared" si="65"/>
        <v>157</v>
      </c>
      <c r="R876">
        <f t="shared" si="66"/>
        <v>82</v>
      </c>
      <c r="S876" s="1">
        <f t="shared" si="67"/>
        <v>0.66878980891719741</v>
      </c>
      <c r="T876">
        <f t="shared" si="68"/>
        <v>1.57</v>
      </c>
      <c r="U876" t="str">
        <f t="shared" si="69"/>
        <v>Mar</v>
      </c>
    </row>
    <row r="877" spans="1:21">
      <c r="A877" s="2">
        <v>46083</v>
      </c>
      <c r="B877" t="s">
        <v>4</v>
      </c>
      <c r="C877" t="s">
        <v>51</v>
      </c>
      <c r="D877" t="s">
        <v>10</v>
      </c>
      <c r="E877" t="s">
        <v>37</v>
      </c>
      <c r="F877" t="s">
        <v>39</v>
      </c>
      <c r="G877">
        <v>15</v>
      </c>
      <c r="H877">
        <v>26</v>
      </c>
      <c r="I877">
        <v>82</v>
      </c>
      <c r="J877">
        <v>109</v>
      </c>
      <c r="K877">
        <v>214</v>
      </c>
      <c r="L877">
        <v>126.33</v>
      </c>
      <c r="M877">
        <v>2318.17</v>
      </c>
      <c r="N877">
        <v>66878</v>
      </c>
      <c r="O877">
        <v>1649.5</v>
      </c>
      <c r="P877" s="1">
        <v>0.25700000000000001</v>
      </c>
      <c r="Q877">
        <f t="shared" si="65"/>
        <v>41</v>
      </c>
      <c r="R877">
        <f t="shared" si="66"/>
        <v>135</v>
      </c>
      <c r="S877" s="1">
        <f t="shared" si="67"/>
        <v>-1</v>
      </c>
      <c r="T877">
        <f t="shared" si="68"/>
        <v>0.41</v>
      </c>
      <c r="U877" t="str">
        <f t="shared" si="69"/>
        <v>Mar</v>
      </c>
    </row>
    <row r="878" spans="1:21">
      <c r="A878" s="2">
        <v>46072</v>
      </c>
      <c r="B878" t="s">
        <v>4</v>
      </c>
      <c r="C878" t="s">
        <v>40</v>
      </c>
      <c r="D878" t="s">
        <v>9</v>
      </c>
      <c r="E878" t="s">
        <v>35</v>
      </c>
      <c r="F878" t="s">
        <v>49</v>
      </c>
      <c r="G878">
        <v>0</v>
      </c>
      <c r="H878">
        <v>60</v>
      </c>
      <c r="I878">
        <v>66</v>
      </c>
      <c r="J878">
        <v>93</v>
      </c>
      <c r="K878">
        <v>20</v>
      </c>
      <c r="L878">
        <v>89.66</v>
      </c>
      <c r="M878">
        <v>2434.6799999999998</v>
      </c>
      <c r="N878">
        <v>68423</v>
      </c>
      <c r="O878">
        <v>952.06</v>
      </c>
      <c r="P878" s="1">
        <v>0.63600000000000001</v>
      </c>
      <c r="Q878">
        <f t="shared" si="65"/>
        <v>60</v>
      </c>
      <c r="R878">
        <f t="shared" si="66"/>
        <v>153</v>
      </c>
      <c r="S878" s="1">
        <f t="shared" si="67"/>
        <v>-0.1</v>
      </c>
      <c r="T878">
        <f t="shared" si="68"/>
        <v>0.6</v>
      </c>
      <c r="U878" t="str">
        <f t="shared" si="69"/>
        <v>Feb</v>
      </c>
    </row>
    <row r="879" spans="1:21">
      <c r="A879" s="2">
        <v>46089</v>
      </c>
      <c r="B879" t="s">
        <v>6</v>
      </c>
      <c r="C879" t="s">
        <v>40</v>
      </c>
      <c r="D879" t="s">
        <v>11</v>
      </c>
      <c r="E879" t="s">
        <v>47</v>
      </c>
      <c r="F879" t="s">
        <v>45</v>
      </c>
      <c r="G879">
        <v>69</v>
      </c>
      <c r="H879">
        <v>24</v>
      </c>
      <c r="I879">
        <v>88</v>
      </c>
      <c r="J879">
        <v>7</v>
      </c>
      <c r="K879">
        <v>110</v>
      </c>
      <c r="L879">
        <v>126.28</v>
      </c>
      <c r="M879">
        <v>1832.12</v>
      </c>
      <c r="N879">
        <v>66507</v>
      </c>
      <c r="O879">
        <v>1181.8499999999999</v>
      </c>
      <c r="P879" s="1">
        <v>0.997</v>
      </c>
      <c r="Q879">
        <f t="shared" si="65"/>
        <v>93</v>
      </c>
      <c r="R879">
        <f t="shared" si="66"/>
        <v>31</v>
      </c>
      <c r="S879" s="1">
        <f t="shared" si="67"/>
        <v>5.3763440860215055E-2</v>
      </c>
      <c r="T879">
        <f t="shared" si="68"/>
        <v>0.93</v>
      </c>
      <c r="U879" t="str">
        <f t="shared" si="69"/>
        <v>Mar</v>
      </c>
    </row>
    <row r="880" spans="1:21">
      <c r="A880" s="2">
        <v>46114</v>
      </c>
      <c r="B880" t="s">
        <v>6</v>
      </c>
      <c r="C880" t="s">
        <v>36</v>
      </c>
      <c r="D880" t="s">
        <v>9</v>
      </c>
      <c r="E880" t="s">
        <v>32</v>
      </c>
      <c r="F880" t="s">
        <v>49</v>
      </c>
      <c r="G880">
        <v>6</v>
      </c>
      <c r="H880">
        <v>63</v>
      </c>
      <c r="I880">
        <v>29</v>
      </c>
      <c r="J880">
        <v>32</v>
      </c>
      <c r="K880">
        <v>281</v>
      </c>
      <c r="L880">
        <v>91.86</v>
      </c>
      <c r="M880">
        <v>2156.69</v>
      </c>
      <c r="N880">
        <v>71725</v>
      </c>
      <c r="O880">
        <v>1241.77</v>
      </c>
      <c r="P880" s="1">
        <v>-1.7999999999999999E-2</v>
      </c>
      <c r="Q880">
        <f t="shared" si="65"/>
        <v>69</v>
      </c>
      <c r="R880">
        <f t="shared" si="66"/>
        <v>95</v>
      </c>
      <c r="S880" s="1">
        <f t="shared" si="67"/>
        <v>0.57971014492753625</v>
      </c>
      <c r="T880">
        <f t="shared" si="68"/>
        <v>0.69</v>
      </c>
      <c r="U880" t="str">
        <f t="shared" si="69"/>
        <v>Apr</v>
      </c>
    </row>
    <row r="881" spans="1:21">
      <c r="A881" s="2">
        <v>46095</v>
      </c>
      <c r="B881" t="s">
        <v>6</v>
      </c>
      <c r="C881" t="s">
        <v>44</v>
      </c>
      <c r="D881" t="s">
        <v>7</v>
      </c>
      <c r="E881" t="s">
        <v>42</v>
      </c>
      <c r="F881" t="s">
        <v>33</v>
      </c>
      <c r="G881">
        <v>27</v>
      </c>
      <c r="H881">
        <v>7</v>
      </c>
      <c r="I881">
        <v>16</v>
      </c>
      <c r="J881">
        <v>94</v>
      </c>
      <c r="K881">
        <v>363</v>
      </c>
      <c r="L881">
        <v>133.19</v>
      </c>
      <c r="M881">
        <v>2008.77</v>
      </c>
      <c r="N881">
        <v>66532</v>
      </c>
      <c r="O881">
        <v>1752.42</v>
      </c>
      <c r="P881" s="1">
        <v>0.59799999999999998</v>
      </c>
      <c r="Q881">
        <f t="shared" si="65"/>
        <v>34</v>
      </c>
      <c r="R881">
        <f t="shared" si="66"/>
        <v>101</v>
      </c>
      <c r="S881" s="1">
        <f t="shared" si="67"/>
        <v>0.52941176470588236</v>
      </c>
      <c r="T881">
        <f t="shared" si="68"/>
        <v>0.34</v>
      </c>
      <c r="U881" t="str">
        <f t="shared" si="69"/>
        <v>Mar</v>
      </c>
    </row>
    <row r="882" spans="1:21">
      <c r="A882" s="2">
        <v>46112</v>
      </c>
      <c r="B882" t="s">
        <v>6</v>
      </c>
      <c r="C882" t="s">
        <v>34</v>
      </c>
      <c r="D882" t="s">
        <v>10</v>
      </c>
      <c r="E882" t="s">
        <v>41</v>
      </c>
      <c r="F882" t="s">
        <v>33</v>
      </c>
      <c r="G882">
        <v>0</v>
      </c>
      <c r="H882">
        <v>1</v>
      </c>
      <c r="I882">
        <v>5</v>
      </c>
      <c r="J882">
        <v>68</v>
      </c>
      <c r="K882">
        <v>294</v>
      </c>
      <c r="L882">
        <v>120.18</v>
      </c>
      <c r="M882">
        <v>2179.12</v>
      </c>
      <c r="N882">
        <v>64033</v>
      </c>
      <c r="O882">
        <v>1089.71</v>
      </c>
      <c r="P882" s="1">
        <v>0.66</v>
      </c>
      <c r="Q882">
        <f t="shared" si="65"/>
        <v>1</v>
      </c>
      <c r="R882">
        <f t="shared" si="66"/>
        <v>69</v>
      </c>
      <c r="S882" s="1">
        <f t="shared" si="67"/>
        <v>-4</v>
      </c>
      <c r="T882">
        <f t="shared" si="68"/>
        <v>0.01</v>
      </c>
      <c r="U882" t="str">
        <f t="shared" si="69"/>
        <v>Mar</v>
      </c>
    </row>
    <row r="883" spans="1:21">
      <c r="A883" s="2">
        <v>46124</v>
      </c>
      <c r="B883" t="s">
        <v>4</v>
      </c>
      <c r="C883" t="s">
        <v>34</v>
      </c>
      <c r="D883" t="s">
        <v>11</v>
      </c>
      <c r="E883" t="s">
        <v>41</v>
      </c>
      <c r="F883" t="s">
        <v>45</v>
      </c>
      <c r="G883">
        <v>35</v>
      </c>
      <c r="H883">
        <v>22</v>
      </c>
      <c r="I883">
        <v>45</v>
      </c>
      <c r="J883">
        <v>94</v>
      </c>
      <c r="K883">
        <v>320</v>
      </c>
      <c r="L883">
        <v>126.44</v>
      </c>
      <c r="M883">
        <v>2156.3000000000002</v>
      </c>
      <c r="N883">
        <v>67572</v>
      </c>
      <c r="O883">
        <v>1209.1400000000001</v>
      </c>
      <c r="P883" s="1">
        <v>-0.66300000000000003</v>
      </c>
      <c r="Q883">
        <f t="shared" si="65"/>
        <v>57</v>
      </c>
      <c r="R883">
        <f t="shared" si="66"/>
        <v>116</v>
      </c>
      <c r="S883" s="1">
        <f t="shared" si="67"/>
        <v>0.21052631578947367</v>
      </c>
      <c r="T883">
        <f t="shared" si="68"/>
        <v>0.56999999999999995</v>
      </c>
      <c r="U883" t="str">
        <f t="shared" si="69"/>
        <v>Apr</v>
      </c>
    </row>
    <row r="884" spans="1:21">
      <c r="A884" s="2">
        <v>46078</v>
      </c>
      <c r="B884" t="s">
        <v>4</v>
      </c>
      <c r="C884" t="s">
        <v>36</v>
      </c>
      <c r="D884" t="s">
        <v>7</v>
      </c>
      <c r="E884" t="s">
        <v>41</v>
      </c>
      <c r="F884" t="s">
        <v>45</v>
      </c>
      <c r="G884">
        <v>14</v>
      </c>
      <c r="H884">
        <v>69</v>
      </c>
      <c r="I884">
        <v>58</v>
      </c>
      <c r="J884">
        <v>153</v>
      </c>
      <c r="K884">
        <v>148</v>
      </c>
      <c r="L884">
        <v>88.64</v>
      </c>
      <c r="M884">
        <v>2399.29</v>
      </c>
      <c r="N884">
        <v>71433</v>
      </c>
      <c r="O884">
        <v>1471.64</v>
      </c>
      <c r="P884" s="1">
        <v>-0.19400000000000001</v>
      </c>
      <c r="Q884">
        <f t="shared" si="65"/>
        <v>83</v>
      </c>
      <c r="R884">
        <f t="shared" si="66"/>
        <v>222</v>
      </c>
      <c r="S884" s="1">
        <f t="shared" si="67"/>
        <v>0.30120481927710846</v>
      </c>
      <c r="T884">
        <f t="shared" si="68"/>
        <v>0.83</v>
      </c>
      <c r="U884" t="str">
        <f t="shared" si="69"/>
        <v>Feb</v>
      </c>
    </row>
    <row r="885" spans="1:21">
      <c r="A885" s="2">
        <v>46095</v>
      </c>
      <c r="B885" t="s">
        <v>4</v>
      </c>
      <c r="C885" t="s">
        <v>34</v>
      </c>
      <c r="D885" t="s">
        <v>11</v>
      </c>
      <c r="E885" t="s">
        <v>42</v>
      </c>
      <c r="F885" t="s">
        <v>33</v>
      </c>
      <c r="G885">
        <v>75</v>
      </c>
      <c r="H885">
        <v>52</v>
      </c>
      <c r="I885">
        <v>3</v>
      </c>
      <c r="J885">
        <v>56</v>
      </c>
      <c r="K885">
        <v>209</v>
      </c>
      <c r="L885">
        <v>125.02</v>
      </c>
      <c r="M885">
        <v>2273.8000000000002</v>
      </c>
      <c r="N885">
        <v>69770</v>
      </c>
      <c r="O885">
        <v>1302.01</v>
      </c>
      <c r="P885" s="1">
        <v>0.114</v>
      </c>
      <c r="Q885">
        <f t="shared" si="65"/>
        <v>127</v>
      </c>
      <c r="R885">
        <f t="shared" si="66"/>
        <v>108</v>
      </c>
      <c r="S885" s="1">
        <f t="shared" si="67"/>
        <v>0.97637795275590555</v>
      </c>
      <c r="T885">
        <f t="shared" si="68"/>
        <v>1.27</v>
      </c>
      <c r="U885" t="str">
        <f t="shared" si="69"/>
        <v>Mar</v>
      </c>
    </row>
    <row r="886" spans="1:21">
      <c r="A886" s="2">
        <v>46068</v>
      </c>
      <c r="B886" t="s">
        <v>6</v>
      </c>
      <c r="C886" t="s">
        <v>46</v>
      </c>
      <c r="D886" t="s">
        <v>11</v>
      </c>
      <c r="E886" t="s">
        <v>42</v>
      </c>
      <c r="F886" t="s">
        <v>49</v>
      </c>
      <c r="G886">
        <v>100</v>
      </c>
      <c r="H886">
        <v>51</v>
      </c>
      <c r="I886">
        <v>34</v>
      </c>
      <c r="J886">
        <v>118</v>
      </c>
      <c r="K886">
        <v>151</v>
      </c>
      <c r="L886">
        <v>112.13</v>
      </c>
      <c r="M886">
        <v>1839.68</v>
      </c>
      <c r="N886">
        <v>73176</v>
      </c>
      <c r="O886">
        <v>962.49</v>
      </c>
      <c r="P886" s="1">
        <v>-0.98099999999999998</v>
      </c>
      <c r="Q886">
        <f t="shared" si="65"/>
        <v>151</v>
      </c>
      <c r="R886">
        <f t="shared" si="66"/>
        <v>169</v>
      </c>
      <c r="S886" s="1">
        <f t="shared" si="67"/>
        <v>0.77483443708609268</v>
      </c>
      <c r="T886">
        <f t="shared" si="68"/>
        <v>1.51</v>
      </c>
      <c r="U886" t="str">
        <f t="shared" si="69"/>
        <v>Feb</v>
      </c>
    </row>
    <row r="887" spans="1:21">
      <c r="A887" s="2">
        <v>46089</v>
      </c>
      <c r="B887" t="s">
        <v>4</v>
      </c>
      <c r="C887" t="s">
        <v>40</v>
      </c>
      <c r="D887" t="s">
        <v>11</v>
      </c>
      <c r="E887" t="s">
        <v>42</v>
      </c>
      <c r="F887" t="s">
        <v>45</v>
      </c>
      <c r="G887">
        <v>48</v>
      </c>
      <c r="H887">
        <v>54</v>
      </c>
      <c r="I887">
        <v>74</v>
      </c>
      <c r="J887">
        <v>56</v>
      </c>
      <c r="K887">
        <v>309</v>
      </c>
      <c r="L887">
        <v>134.12</v>
      </c>
      <c r="M887">
        <v>2018.62</v>
      </c>
      <c r="N887">
        <v>66006</v>
      </c>
      <c r="O887">
        <v>1359.87</v>
      </c>
      <c r="P887" s="1">
        <v>-3.0000000000000001E-3</v>
      </c>
      <c r="Q887">
        <f t="shared" si="65"/>
        <v>102</v>
      </c>
      <c r="R887">
        <f t="shared" si="66"/>
        <v>110</v>
      </c>
      <c r="S887" s="1">
        <f t="shared" si="67"/>
        <v>0.27450980392156865</v>
      </c>
      <c r="T887">
        <f t="shared" si="68"/>
        <v>1.02</v>
      </c>
      <c r="U887" t="str">
        <f t="shared" si="69"/>
        <v>Mar</v>
      </c>
    </row>
    <row r="888" spans="1:21">
      <c r="A888" s="2">
        <v>46093</v>
      </c>
      <c r="B888" t="s">
        <v>4</v>
      </c>
      <c r="C888" t="s">
        <v>40</v>
      </c>
      <c r="D888" t="s">
        <v>5</v>
      </c>
      <c r="E888" t="s">
        <v>37</v>
      </c>
      <c r="F888" t="s">
        <v>39</v>
      </c>
      <c r="G888">
        <v>104</v>
      </c>
      <c r="H888">
        <v>47</v>
      </c>
      <c r="I888">
        <v>16</v>
      </c>
      <c r="J888">
        <v>154</v>
      </c>
      <c r="K888">
        <v>448</v>
      </c>
      <c r="L888">
        <v>117.41</v>
      </c>
      <c r="M888">
        <v>2265.4299999999998</v>
      </c>
      <c r="N888">
        <v>69023</v>
      </c>
      <c r="O888">
        <v>1675.38</v>
      </c>
      <c r="P888" s="1">
        <v>-0.16600000000000001</v>
      </c>
      <c r="Q888">
        <f t="shared" si="65"/>
        <v>151</v>
      </c>
      <c r="R888">
        <f t="shared" si="66"/>
        <v>201</v>
      </c>
      <c r="S888" s="1">
        <f t="shared" si="67"/>
        <v>0.89403973509933776</v>
      </c>
      <c r="T888">
        <f t="shared" si="68"/>
        <v>1.51</v>
      </c>
      <c r="U888" t="str">
        <f t="shared" si="69"/>
        <v>Mar</v>
      </c>
    </row>
    <row r="889" spans="1:21">
      <c r="A889" s="2">
        <v>46113</v>
      </c>
      <c r="B889" t="s">
        <v>6</v>
      </c>
      <c r="C889" t="s">
        <v>50</v>
      </c>
      <c r="D889" t="s">
        <v>7</v>
      </c>
      <c r="E889" t="s">
        <v>42</v>
      </c>
      <c r="F889" t="s">
        <v>49</v>
      </c>
      <c r="G889">
        <v>92</v>
      </c>
      <c r="H889">
        <v>11</v>
      </c>
      <c r="I889">
        <v>48</v>
      </c>
      <c r="J889">
        <v>129</v>
      </c>
      <c r="K889">
        <v>373</v>
      </c>
      <c r="L889">
        <v>124.64</v>
      </c>
      <c r="M889">
        <v>2480.86</v>
      </c>
      <c r="N889">
        <v>74726</v>
      </c>
      <c r="O889">
        <v>1268.67</v>
      </c>
      <c r="P889" s="1">
        <v>-0.76400000000000001</v>
      </c>
      <c r="Q889">
        <f t="shared" si="65"/>
        <v>103</v>
      </c>
      <c r="R889">
        <f t="shared" si="66"/>
        <v>140</v>
      </c>
      <c r="S889" s="1">
        <f t="shared" si="67"/>
        <v>0.53398058252427183</v>
      </c>
      <c r="T889">
        <f t="shared" si="68"/>
        <v>1.03</v>
      </c>
      <c r="U889" t="str">
        <f t="shared" si="69"/>
        <v>Apr</v>
      </c>
    </row>
    <row r="890" spans="1:21">
      <c r="A890" s="2">
        <v>46071</v>
      </c>
      <c r="B890" t="s">
        <v>6</v>
      </c>
      <c r="C890" t="s">
        <v>50</v>
      </c>
      <c r="D890" t="s">
        <v>9</v>
      </c>
      <c r="E890" t="s">
        <v>47</v>
      </c>
      <c r="F890" t="s">
        <v>33</v>
      </c>
      <c r="G890">
        <v>2</v>
      </c>
      <c r="H890">
        <v>76</v>
      </c>
      <c r="I890">
        <v>89</v>
      </c>
      <c r="J890">
        <v>150</v>
      </c>
      <c r="K890">
        <v>125</v>
      </c>
      <c r="L890">
        <v>109.17</v>
      </c>
      <c r="M890">
        <v>1927.81</v>
      </c>
      <c r="N890">
        <v>73193</v>
      </c>
      <c r="O890">
        <v>1063.08</v>
      </c>
      <c r="P890" s="1">
        <v>0.73899999999999999</v>
      </c>
      <c r="Q890">
        <f t="shared" si="65"/>
        <v>78</v>
      </c>
      <c r="R890">
        <f t="shared" si="66"/>
        <v>226</v>
      </c>
      <c r="S890" s="1">
        <f t="shared" si="67"/>
        <v>-0.14102564102564102</v>
      </c>
      <c r="T890">
        <f t="shared" si="68"/>
        <v>0.78</v>
      </c>
      <c r="U890" t="str">
        <f t="shared" si="69"/>
        <v>Feb</v>
      </c>
    </row>
    <row r="891" spans="1:21">
      <c r="A891" s="2">
        <v>46073</v>
      </c>
      <c r="B891" t="s">
        <v>6</v>
      </c>
      <c r="C891" t="s">
        <v>48</v>
      </c>
      <c r="D891" t="s">
        <v>9</v>
      </c>
      <c r="E891" t="s">
        <v>47</v>
      </c>
      <c r="F891" t="s">
        <v>49</v>
      </c>
      <c r="G891">
        <v>8</v>
      </c>
      <c r="H891">
        <v>15</v>
      </c>
      <c r="I891">
        <v>33</v>
      </c>
      <c r="J891">
        <v>85</v>
      </c>
      <c r="K891">
        <v>403</v>
      </c>
      <c r="L891">
        <v>122.72</v>
      </c>
      <c r="M891">
        <v>2196.9</v>
      </c>
      <c r="N891">
        <v>74166</v>
      </c>
      <c r="O891">
        <v>1486.39</v>
      </c>
      <c r="P891" s="1">
        <v>-0.85399999999999998</v>
      </c>
      <c r="Q891">
        <f t="shared" si="65"/>
        <v>23</v>
      </c>
      <c r="R891">
        <f t="shared" si="66"/>
        <v>100</v>
      </c>
      <c r="S891" s="1">
        <f t="shared" si="67"/>
        <v>-0.43478260869565216</v>
      </c>
      <c r="T891">
        <f t="shared" si="68"/>
        <v>0.23</v>
      </c>
      <c r="U891" t="str">
        <f t="shared" si="69"/>
        <v>Feb</v>
      </c>
    </row>
    <row r="892" spans="1:21">
      <c r="A892" s="2">
        <v>46068</v>
      </c>
      <c r="B892" t="s">
        <v>6</v>
      </c>
      <c r="C892" t="s">
        <v>48</v>
      </c>
      <c r="D892" t="s">
        <v>9</v>
      </c>
      <c r="E892" t="s">
        <v>41</v>
      </c>
      <c r="F892" t="s">
        <v>33</v>
      </c>
      <c r="G892">
        <v>13</v>
      </c>
      <c r="H892">
        <v>62</v>
      </c>
      <c r="I892">
        <v>39</v>
      </c>
      <c r="J892">
        <v>72</v>
      </c>
      <c r="K892">
        <v>400</v>
      </c>
      <c r="L892">
        <v>135.13</v>
      </c>
      <c r="M892">
        <v>1935.42</v>
      </c>
      <c r="N892">
        <v>75673</v>
      </c>
      <c r="O892">
        <v>1337.13</v>
      </c>
      <c r="P892" s="1">
        <v>0.54700000000000004</v>
      </c>
      <c r="Q892">
        <f t="shared" si="65"/>
        <v>75</v>
      </c>
      <c r="R892">
        <f t="shared" si="66"/>
        <v>134</v>
      </c>
      <c r="S892" s="1">
        <f t="shared" si="67"/>
        <v>0.48</v>
      </c>
      <c r="T892">
        <f t="shared" si="68"/>
        <v>0.75</v>
      </c>
      <c r="U892" t="str">
        <f t="shared" si="69"/>
        <v>Feb</v>
      </c>
    </row>
    <row r="893" spans="1:21">
      <c r="A893" s="2">
        <v>46113</v>
      </c>
      <c r="B893" t="s">
        <v>4</v>
      </c>
      <c r="C893" t="s">
        <v>46</v>
      </c>
      <c r="D893" t="s">
        <v>5</v>
      </c>
      <c r="E893" t="s">
        <v>35</v>
      </c>
      <c r="F893" t="s">
        <v>33</v>
      </c>
      <c r="G893">
        <v>93</v>
      </c>
      <c r="H893">
        <v>24</v>
      </c>
      <c r="I893">
        <v>86</v>
      </c>
      <c r="J893">
        <v>66</v>
      </c>
      <c r="K893">
        <v>332</v>
      </c>
      <c r="L893">
        <v>89.74</v>
      </c>
      <c r="M893">
        <v>2471.5700000000002</v>
      </c>
      <c r="N893">
        <v>68643</v>
      </c>
      <c r="O893">
        <v>1144.76</v>
      </c>
      <c r="P893" s="1">
        <v>1.4E-2</v>
      </c>
      <c r="Q893">
        <f t="shared" si="65"/>
        <v>117</v>
      </c>
      <c r="R893">
        <f t="shared" si="66"/>
        <v>90</v>
      </c>
      <c r="S893" s="1">
        <f t="shared" si="67"/>
        <v>0.26495726495726496</v>
      </c>
      <c r="T893">
        <f t="shared" si="68"/>
        <v>1.17</v>
      </c>
      <c r="U893" t="str">
        <f t="shared" si="69"/>
        <v>Apr</v>
      </c>
    </row>
    <row r="894" spans="1:21">
      <c r="A894" s="2">
        <v>46085</v>
      </c>
      <c r="B894" t="s">
        <v>4</v>
      </c>
      <c r="C894" t="s">
        <v>50</v>
      </c>
      <c r="D894" t="s">
        <v>11</v>
      </c>
      <c r="E894" t="s">
        <v>41</v>
      </c>
      <c r="F894" t="s">
        <v>45</v>
      </c>
      <c r="G894">
        <v>18</v>
      </c>
      <c r="H894">
        <v>16</v>
      </c>
      <c r="I894">
        <v>8</v>
      </c>
      <c r="J894">
        <v>153</v>
      </c>
      <c r="K894">
        <v>138</v>
      </c>
      <c r="L894">
        <v>109.65</v>
      </c>
      <c r="M894">
        <v>1802.07</v>
      </c>
      <c r="N894">
        <v>70088</v>
      </c>
      <c r="O894">
        <v>1769.12</v>
      </c>
      <c r="P894" s="1">
        <v>0.95099999999999996</v>
      </c>
      <c r="Q894">
        <f t="shared" si="65"/>
        <v>34</v>
      </c>
      <c r="R894">
        <f t="shared" si="66"/>
        <v>169</v>
      </c>
      <c r="S894" s="1">
        <f t="shared" si="67"/>
        <v>0.76470588235294112</v>
      </c>
      <c r="T894">
        <f t="shared" si="68"/>
        <v>0.34</v>
      </c>
      <c r="U894" t="str">
        <f t="shared" si="69"/>
        <v>Mar</v>
      </c>
    </row>
    <row r="895" spans="1:21">
      <c r="A895" s="2">
        <v>46078</v>
      </c>
      <c r="B895" t="s">
        <v>6</v>
      </c>
      <c r="C895" t="s">
        <v>50</v>
      </c>
      <c r="D895" t="s">
        <v>11</v>
      </c>
      <c r="E895" t="s">
        <v>35</v>
      </c>
      <c r="F895" t="s">
        <v>49</v>
      </c>
      <c r="G895">
        <v>62</v>
      </c>
      <c r="H895">
        <v>42</v>
      </c>
      <c r="I895">
        <v>27</v>
      </c>
      <c r="J895">
        <v>62</v>
      </c>
      <c r="K895">
        <v>159</v>
      </c>
      <c r="L895">
        <v>102.63</v>
      </c>
      <c r="M895">
        <v>2370.4</v>
      </c>
      <c r="N895">
        <v>75664</v>
      </c>
      <c r="O895">
        <v>1381.86</v>
      </c>
      <c r="P895" s="1">
        <v>0.53900000000000003</v>
      </c>
      <c r="Q895">
        <f t="shared" si="65"/>
        <v>104</v>
      </c>
      <c r="R895">
        <f t="shared" si="66"/>
        <v>104</v>
      </c>
      <c r="S895" s="1">
        <f t="shared" si="67"/>
        <v>0.74038461538461542</v>
      </c>
      <c r="T895">
        <f t="shared" si="68"/>
        <v>1.04</v>
      </c>
      <c r="U895" t="str">
        <f t="shared" si="69"/>
        <v>Feb</v>
      </c>
    </row>
    <row r="896" spans="1:21">
      <c r="A896" s="2">
        <v>46107</v>
      </c>
      <c r="B896" t="s">
        <v>6</v>
      </c>
      <c r="C896" t="s">
        <v>51</v>
      </c>
      <c r="D896" t="s">
        <v>9</v>
      </c>
      <c r="E896" t="s">
        <v>32</v>
      </c>
      <c r="F896" t="s">
        <v>39</v>
      </c>
      <c r="G896">
        <v>50</v>
      </c>
      <c r="H896">
        <v>11</v>
      </c>
      <c r="I896">
        <v>6</v>
      </c>
      <c r="J896">
        <v>119</v>
      </c>
      <c r="K896">
        <v>348</v>
      </c>
      <c r="L896">
        <v>82.41</v>
      </c>
      <c r="M896">
        <v>2383.29</v>
      </c>
      <c r="N896">
        <v>73235</v>
      </c>
      <c r="O896">
        <v>1435.92</v>
      </c>
      <c r="P896" s="1">
        <v>-0.154</v>
      </c>
      <c r="Q896">
        <f t="shared" si="65"/>
        <v>61</v>
      </c>
      <c r="R896">
        <f t="shared" si="66"/>
        <v>130</v>
      </c>
      <c r="S896" s="1">
        <f t="shared" si="67"/>
        <v>0.90163934426229508</v>
      </c>
      <c r="T896">
        <f t="shared" si="68"/>
        <v>0.61</v>
      </c>
      <c r="U896" t="str">
        <f t="shared" si="69"/>
        <v>Mar</v>
      </c>
    </row>
    <row r="897" spans="1:21">
      <c r="A897" s="2">
        <v>46091</v>
      </c>
      <c r="B897" t="s">
        <v>6</v>
      </c>
      <c r="C897" t="s">
        <v>50</v>
      </c>
      <c r="D897" t="s">
        <v>5</v>
      </c>
      <c r="E897" t="s">
        <v>32</v>
      </c>
      <c r="F897" t="s">
        <v>49</v>
      </c>
      <c r="G897">
        <v>106</v>
      </c>
      <c r="H897">
        <v>13</v>
      </c>
      <c r="I897">
        <v>40</v>
      </c>
      <c r="J897">
        <v>52</v>
      </c>
      <c r="K897">
        <v>92</v>
      </c>
      <c r="L897">
        <v>88.41</v>
      </c>
      <c r="M897">
        <v>2224.48</v>
      </c>
      <c r="N897">
        <v>65085</v>
      </c>
      <c r="O897">
        <v>999.93</v>
      </c>
      <c r="P897" s="1">
        <v>-2.5999999999999999E-2</v>
      </c>
      <c r="Q897">
        <f t="shared" si="65"/>
        <v>119</v>
      </c>
      <c r="R897">
        <f t="shared" si="66"/>
        <v>65</v>
      </c>
      <c r="S897" s="1">
        <f t="shared" si="67"/>
        <v>0.66386554621848737</v>
      </c>
      <c r="T897">
        <f t="shared" si="68"/>
        <v>1.19</v>
      </c>
      <c r="U897" t="str">
        <f t="shared" si="69"/>
        <v>Mar</v>
      </c>
    </row>
    <row r="898" spans="1:21">
      <c r="A898" s="2">
        <v>46107</v>
      </c>
      <c r="B898" t="s">
        <v>4</v>
      </c>
      <c r="C898" t="s">
        <v>40</v>
      </c>
      <c r="D898" t="s">
        <v>10</v>
      </c>
      <c r="E898" t="s">
        <v>37</v>
      </c>
      <c r="F898" t="s">
        <v>33</v>
      </c>
      <c r="G898">
        <v>43</v>
      </c>
      <c r="H898">
        <v>12</v>
      </c>
      <c r="I898">
        <v>75</v>
      </c>
      <c r="J898">
        <v>77</v>
      </c>
      <c r="K898">
        <v>317</v>
      </c>
      <c r="L898">
        <v>129.88999999999999</v>
      </c>
      <c r="M898">
        <v>2255.94</v>
      </c>
      <c r="N898">
        <v>70995</v>
      </c>
      <c r="O898">
        <v>1483.6</v>
      </c>
      <c r="P898" s="1">
        <v>0.85</v>
      </c>
      <c r="Q898">
        <f t="shared" si="65"/>
        <v>55</v>
      </c>
      <c r="R898">
        <f t="shared" si="66"/>
        <v>89</v>
      </c>
      <c r="S898" s="1">
        <f t="shared" si="67"/>
        <v>-0.36363636363636365</v>
      </c>
      <c r="T898">
        <f t="shared" si="68"/>
        <v>0.55000000000000004</v>
      </c>
      <c r="U898" t="str">
        <f t="shared" si="69"/>
        <v>Mar</v>
      </c>
    </row>
    <row r="899" spans="1:21">
      <c r="A899" s="2">
        <v>46070</v>
      </c>
      <c r="B899" t="s">
        <v>6</v>
      </c>
      <c r="C899" t="s">
        <v>31</v>
      </c>
      <c r="D899" t="s">
        <v>9</v>
      </c>
      <c r="E899" t="s">
        <v>41</v>
      </c>
      <c r="F899" t="s">
        <v>49</v>
      </c>
      <c r="G899">
        <v>69</v>
      </c>
      <c r="H899">
        <v>69</v>
      </c>
      <c r="I899">
        <v>22</v>
      </c>
      <c r="J899">
        <v>126</v>
      </c>
      <c r="K899">
        <v>120</v>
      </c>
      <c r="L899">
        <v>82.07</v>
      </c>
      <c r="M899">
        <v>1993.81</v>
      </c>
      <c r="N899">
        <v>66919</v>
      </c>
      <c r="O899">
        <v>1343.43</v>
      </c>
      <c r="P899" s="1">
        <v>-0.65200000000000002</v>
      </c>
      <c r="Q899">
        <f t="shared" ref="Q899:Q962" si="70">G899+H899</f>
        <v>138</v>
      </c>
      <c r="R899">
        <f t="shared" ref="R899:R962" si="71">J899+H899</f>
        <v>195</v>
      </c>
      <c r="S899" s="1">
        <f t="shared" ref="S899:S962" si="72">(Q899-I899)/(Q899)</f>
        <v>0.84057971014492749</v>
      </c>
      <c r="T899">
        <f t="shared" ref="T899:T962" si="73">Q899/100</f>
        <v>1.38</v>
      </c>
      <c r="U899" t="str">
        <f t="shared" ref="U899:U962" si="74">TEXT(A899,"mmm")</f>
        <v>Feb</v>
      </c>
    </row>
    <row r="900" spans="1:21">
      <c r="A900" s="2">
        <v>46087</v>
      </c>
      <c r="B900" t="s">
        <v>4</v>
      </c>
      <c r="C900" t="s">
        <v>36</v>
      </c>
      <c r="D900" t="s">
        <v>10</v>
      </c>
      <c r="E900" t="s">
        <v>38</v>
      </c>
      <c r="F900" t="s">
        <v>45</v>
      </c>
      <c r="G900">
        <v>46</v>
      </c>
      <c r="H900">
        <v>46</v>
      </c>
      <c r="I900">
        <v>9</v>
      </c>
      <c r="J900">
        <v>6</v>
      </c>
      <c r="K900">
        <v>119</v>
      </c>
      <c r="L900">
        <v>101.43</v>
      </c>
      <c r="M900">
        <v>2045.75</v>
      </c>
      <c r="N900">
        <v>70440</v>
      </c>
      <c r="O900">
        <v>1241.02</v>
      </c>
      <c r="P900" s="1">
        <v>-0.83599999999999997</v>
      </c>
      <c r="Q900">
        <f t="shared" si="70"/>
        <v>92</v>
      </c>
      <c r="R900">
        <f t="shared" si="71"/>
        <v>52</v>
      </c>
      <c r="S900" s="1">
        <f t="shared" si="72"/>
        <v>0.90217391304347827</v>
      </c>
      <c r="T900">
        <f t="shared" si="73"/>
        <v>0.92</v>
      </c>
      <c r="U900" t="str">
        <f t="shared" si="74"/>
        <v>Mar</v>
      </c>
    </row>
    <row r="901" spans="1:21">
      <c r="A901" s="2">
        <v>46090</v>
      </c>
      <c r="B901" t="s">
        <v>4</v>
      </c>
      <c r="C901" t="s">
        <v>43</v>
      </c>
      <c r="D901" t="s">
        <v>11</v>
      </c>
      <c r="E901" t="s">
        <v>37</v>
      </c>
      <c r="F901" t="s">
        <v>33</v>
      </c>
      <c r="G901">
        <v>85</v>
      </c>
      <c r="H901">
        <v>49</v>
      </c>
      <c r="I901">
        <v>22</v>
      </c>
      <c r="J901">
        <v>153</v>
      </c>
      <c r="K901">
        <v>33</v>
      </c>
      <c r="L901">
        <v>114.1</v>
      </c>
      <c r="M901">
        <v>2084.71</v>
      </c>
      <c r="N901">
        <v>74894</v>
      </c>
      <c r="O901">
        <v>1571.68</v>
      </c>
      <c r="P901" s="1">
        <v>-0.91400000000000003</v>
      </c>
      <c r="Q901">
        <f t="shared" si="70"/>
        <v>134</v>
      </c>
      <c r="R901">
        <f t="shared" si="71"/>
        <v>202</v>
      </c>
      <c r="S901" s="1">
        <f t="shared" si="72"/>
        <v>0.83582089552238803</v>
      </c>
      <c r="T901">
        <f t="shared" si="73"/>
        <v>1.34</v>
      </c>
      <c r="U901" t="str">
        <f t="shared" si="74"/>
        <v>Mar</v>
      </c>
    </row>
    <row r="902" spans="1:21">
      <c r="A902" s="2">
        <v>46080</v>
      </c>
      <c r="B902" t="s">
        <v>4</v>
      </c>
      <c r="C902" t="s">
        <v>50</v>
      </c>
      <c r="D902" t="s">
        <v>11</v>
      </c>
      <c r="E902" t="s">
        <v>42</v>
      </c>
      <c r="F902" t="s">
        <v>39</v>
      </c>
      <c r="G902">
        <v>48</v>
      </c>
      <c r="H902">
        <v>68</v>
      </c>
      <c r="I902">
        <v>54</v>
      </c>
      <c r="J902">
        <v>121</v>
      </c>
      <c r="K902">
        <v>322</v>
      </c>
      <c r="L902">
        <v>114.36</v>
      </c>
      <c r="M902">
        <v>2186.86</v>
      </c>
      <c r="N902">
        <v>66950</v>
      </c>
      <c r="O902">
        <v>1074.44</v>
      </c>
      <c r="P902" s="1">
        <v>0.185</v>
      </c>
      <c r="Q902">
        <f t="shared" si="70"/>
        <v>116</v>
      </c>
      <c r="R902">
        <f t="shared" si="71"/>
        <v>189</v>
      </c>
      <c r="S902" s="1">
        <f t="shared" si="72"/>
        <v>0.53448275862068961</v>
      </c>
      <c r="T902">
        <f t="shared" si="73"/>
        <v>1.1599999999999999</v>
      </c>
      <c r="U902" t="str">
        <f t="shared" si="74"/>
        <v>Feb</v>
      </c>
    </row>
    <row r="903" spans="1:21">
      <c r="A903" s="2">
        <v>46120</v>
      </c>
      <c r="B903" t="s">
        <v>4</v>
      </c>
      <c r="C903" t="s">
        <v>51</v>
      </c>
      <c r="D903" t="s">
        <v>5</v>
      </c>
      <c r="E903" t="s">
        <v>42</v>
      </c>
      <c r="F903" t="s">
        <v>45</v>
      </c>
      <c r="G903">
        <v>20</v>
      </c>
      <c r="H903">
        <v>19</v>
      </c>
      <c r="I903">
        <v>32</v>
      </c>
      <c r="J903">
        <v>70</v>
      </c>
      <c r="K903">
        <v>340</v>
      </c>
      <c r="L903">
        <v>120.01</v>
      </c>
      <c r="M903">
        <v>2456.21</v>
      </c>
      <c r="N903">
        <v>70366</v>
      </c>
      <c r="O903">
        <v>1016.63</v>
      </c>
      <c r="P903" s="1">
        <v>0.41499999999999998</v>
      </c>
      <c r="Q903">
        <f t="shared" si="70"/>
        <v>39</v>
      </c>
      <c r="R903">
        <f t="shared" si="71"/>
        <v>89</v>
      </c>
      <c r="S903" s="1">
        <f t="shared" si="72"/>
        <v>0.17948717948717949</v>
      </c>
      <c r="T903">
        <f t="shared" si="73"/>
        <v>0.39</v>
      </c>
      <c r="U903" t="str">
        <f t="shared" si="74"/>
        <v>Apr</v>
      </c>
    </row>
    <row r="904" spans="1:21">
      <c r="A904" s="2">
        <v>46092</v>
      </c>
      <c r="B904" t="s">
        <v>6</v>
      </c>
      <c r="C904" t="s">
        <v>34</v>
      </c>
      <c r="D904" t="s">
        <v>10</v>
      </c>
      <c r="E904" t="s">
        <v>35</v>
      </c>
      <c r="F904" t="s">
        <v>49</v>
      </c>
      <c r="G904">
        <v>53</v>
      </c>
      <c r="H904">
        <v>33</v>
      </c>
      <c r="I904">
        <v>40</v>
      </c>
      <c r="J904">
        <v>78</v>
      </c>
      <c r="K904">
        <v>334</v>
      </c>
      <c r="L904">
        <v>129.49</v>
      </c>
      <c r="M904">
        <v>2103.4499999999998</v>
      </c>
      <c r="N904">
        <v>73443</v>
      </c>
      <c r="O904">
        <v>951.22</v>
      </c>
      <c r="P904" s="1">
        <v>-0.18099999999999999</v>
      </c>
      <c r="Q904">
        <f t="shared" si="70"/>
        <v>86</v>
      </c>
      <c r="R904">
        <f t="shared" si="71"/>
        <v>111</v>
      </c>
      <c r="S904" s="1">
        <f t="shared" si="72"/>
        <v>0.53488372093023251</v>
      </c>
      <c r="T904">
        <f t="shared" si="73"/>
        <v>0.86</v>
      </c>
      <c r="U904" t="str">
        <f t="shared" si="74"/>
        <v>Mar</v>
      </c>
    </row>
    <row r="905" spans="1:21">
      <c r="A905" s="2">
        <v>46070</v>
      </c>
      <c r="B905" t="s">
        <v>6</v>
      </c>
      <c r="C905" t="s">
        <v>51</v>
      </c>
      <c r="D905" t="s">
        <v>7</v>
      </c>
      <c r="E905" t="s">
        <v>47</v>
      </c>
      <c r="F905" t="s">
        <v>33</v>
      </c>
      <c r="G905">
        <v>70</v>
      </c>
      <c r="H905">
        <v>6</v>
      </c>
      <c r="I905">
        <v>43</v>
      </c>
      <c r="J905">
        <v>96</v>
      </c>
      <c r="K905">
        <v>327</v>
      </c>
      <c r="L905">
        <v>135.69</v>
      </c>
      <c r="M905">
        <v>2474.98</v>
      </c>
      <c r="N905">
        <v>72483</v>
      </c>
      <c r="O905">
        <v>1499.81</v>
      </c>
      <c r="P905" s="1">
        <v>0.36099999999999999</v>
      </c>
      <c r="Q905">
        <f t="shared" si="70"/>
        <v>76</v>
      </c>
      <c r="R905">
        <f t="shared" si="71"/>
        <v>102</v>
      </c>
      <c r="S905" s="1">
        <f t="shared" si="72"/>
        <v>0.43421052631578949</v>
      </c>
      <c r="T905">
        <f t="shared" si="73"/>
        <v>0.76</v>
      </c>
      <c r="U905" t="str">
        <f t="shared" si="74"/>
        <v>Feb</v>
      </c>
    </row>
    <row r="906" spans="1:21">
      <c r="A906" s="2">
        <v>46075</v>
      </c>
      <c r="B906" t="s">
        <v>4</v>
      </c>
      <c r="C906" t="s">
        <v>46</v>
      </c>
      <c r="D906" t="s">
        <v>7</v>
      </c>
      <c r="E906" t="s">
        <v>42</v>
      </c>
      <c r="F906" t="s">
        <v>49</v>
      </c>
      <c r="G906">
        <v>19</v>
      </c>
      <c r="H906">
        <v>24</v>
      </c>
      <c r="I906">
        <v>4</v>
      </c>
      <c r="J906">
        <v>58</v>
      </c>
      <c r="K906">
        <v>356</v>
      </c>
      <c r="L906">
        <v>102.82</v>
      </c>
      <c r="M906">
        <v>2082.17</v>
      </c>
      <c r="N906">
        <v>75328</v>
      </c>
      <c r="O906">
        <v>1144.03</v>
      </c>
      <c r="P906" s="1">
        <v>-0.38500000000000001</v>
      </c>
      <c r="Q906">
        <f t="shared" si="70"/>
        <v>43</v>
      </c>
      <c r="R906">
        <f t="shared" si="71"/>
        <v>82</v>
      </c>
      <c r="S906" s="1">
        <f t="shared" si="72"/>
        <v>0.90697674418604646</v>
      </c>
      <c r="T906">
        <f t="shared" si="73"/>
        <v>0.43</v>
      </c>
      <c r="U906" t="str">
        <f t="shared" si="74"/>
        <v>Feb</v>
      </c>
    </row>
    <row r="907" spans="1:21">
      <c r="A907" s="2">
        <v>46096</v>
      </c>
      <c r="B907" t="s">
        <v>4</v>
      </c>
      <c r="C907" t="s">
        <v>40</v>
      </c>
      <c r="D907" t="s">
        <v>9</v>
      </c>
      <c r="E907" t="s">
        <v>41</v>
      </c>
      <c r="F907" t="s">
        <v>33</v>
      </c>
      <c r="G907">
        <v>11</v>
      </c>
      <c r="H907">
        <v>67</v>
      </c>
      <c r="I907">
        <v>37</v>
      </c>
      <c r="J907">
        <v>153</v>
      </c>
      <c r="K907">
        <v>6</v>
      </c>
      <c r="L907">
        <v>137</v>
      </c>
      <c r="M907">
        <v>1901.33</v>
      </c>
      <c r="N907">
        <v>73946</v>
      </c>
      <c r="O907">
        <v>1277.74</v>
      </c>
      <c r="P907" s="1">
        <v>0.82299999999999995</v>
      </c>
      <c r="Q907">
        <f t="shared" si="70"/>
        <v>78</v>
      </c>
      <c r="R907">
        <f t="shared" si="71"/>
        <v>220</v>
      </c>
      <c r="S907" s="1">
        <f t="shared" si="72"/>
        <v>0.52564102564102566</v>
      </c>
      <c r="T907">
        <f t="shared" si="73"/>
        <v>0.78</v>
      </c>
      <c r="U907" t="str">
        <f t="shared" si="74"/>
        <v>Mar</v>
      </c>
    </row>
    <row r="908" spans="1:21">
      <c r="A908" s="2">
        <v>46105</v>
      </c>
      <c r="B908" t="s">
        <v>4</v>
      </c>
      <c r="C908" t="s">
        <v>50</v>
      </c>
      <c r="D908" t="s">
        <v>11</v>
      </c>
      <c r="E908" t="s">
        <v>32</v>
      </c>
      <c r="F908" t="s">
        <v>33</v>
      </c>
      <c r="G908">
        <v>100</v>
      </c>
      <c r="H908">
        <v>33</v>
      </c>
      <c r="I908">
        <v>21</v>
      </c>
      <c r="J908">
        <v>24</v>
      </c>
      <c r="K908">
        <v>62</v>
      </c>
      <c r="L908">
        <v>85.21</v>
      </c>
      <c r="M908">
        <v>2473.42</v>
      </c>
      <c r="N908">
        <v>71830</v>
      </c>
      <c r="O908">
        <v>1651.66</v>
      </c>
      <c r="P908" s="1">
        <v>6.8000000000000005E-2</v>
      </c>
      <c r="Q908">
        <f t="shared" si="70"/>
        <v>133</v>
      </c>
      <c r="R908">
        <f t="shared" si="71"/>
        <v>57</v>
      </c>
      <c r="S908" s="1">
        <f t="shared" si="72"/>
        <v>0.84210526315789469</v>
      </c>
      <c r="T908">
        <f t="shared" si="73"/>
        <v>1.33</v>
      </c>
      <c r="U908" t="str">
        <f t="shared" si="74"/>
        <v>Mar</v>
      </c>
    </row>
    <row r="909" spans="1:21">
      <c r="A909" s="2">
        <v>46075</v>
      </c>
      <c r="B909" t="s">
        <v>6</v>
      </c>
      <c r="C909" t="s">
        <v>34</v>
      </c>
      <c r="D909" t="s">
        <v>11</v>
      </c>
      <c r="E909" t="s">
        <v>41</v>
      </c>
      <c r="F909" t="s">
        <v>33</v>
      </c>
      <c r="G909">
        <v>98</v>
      </c>
      <c r="H909">
        <v>55</v>
      </c>
      <c r="I909">
        <v>58</v>
      </c>
      <c r="J909">
        <v>142</v>
      </c>
      <c r="K909">
        <v>394</v>
      </c>
      <c r="L909">
        <v>113.24</v>
      </c>
      <c r="M909">
        <v>2166.38</v>
      </c>
      <c r="N909">
        <v>65797</v>
      </c>
      <c r="O909">
        <v>1116.23</v>
      </c>
      <c r="P909" s="1">
        <v>-0.91700000000000004</v>
      </c>
      <c r="Q909">
        <f t="shared" si="70"/>
        <v>153</v>
      </c>
      <c r="R909">
        <f t="shared" si="71"/>
        <v>197</v>
      </c>
      <c r="S909" s="1">
        <f t="shared" si="72"/>
        <v>0.62091503267973858</v>
      </c>
      <c r="T909">
        <f t="shared" si="73"/>
        <v>1.53</v>
      </c>
      <c r="U909" t="str">
        <f t="shared" si="74"/>
        <v>Feb</v>
      </c>
    </row>
    <row r="910" spans="1:21">
      <c r="A910" s="2">
        <v>46127</v>
      </c>
      <c r="B910" t="s">
        <v>6</v>
      </c>
      <c r="C910" t="s">
        <v>50</v>
      </c>
      <c r="D910" t="s">
        <v>5</v>
      </c>
      <c r="E910" t="s">
        <v>42</v>
      </c>
      <c r="F910" t="s">
        <v>45</v>
      </c>
      <c r="G910">
        <v>91</v>
      </c>
      <c r="H910">
        <v>40</v>
      </c>
      <c r="I910">
        <v>50</v>
      </c>
      <c r="J910">
        <v>100</v>
      </c>
      <c r="K910">
        <v>411</v>
      </c>
      <c r="L910">
        <v>137.36000000000001</v>
      </c>
      <c r="M910">
        <v>1902.35</v>
      </c>
      <c r="N910">
        <v>71194</v>
      </c>
      <c r="O910">
        <v>1406.31</v>
      </c>
      <c r="P910" s="1">
        <v>-0.40699999999999997</v>
      </c>
      <c r="Q910">
        <f t="shared" si="70"/>
        <v>131</v>
      </c>
      <c r="R910">
        <f t="shared" si="71"/>
        <v>140</v>
      </c>
      <c r="S910" s="1">
        <f t="shared" si="72"/>
        <v>0.61832061068702293</v>
      </c>
      <c r="T910">
        <f t="shared" si="73"/>
        <v>1.31</v>
      </c>
      <c r="U910" t="str">
        <f t="shared" si="74"/>
        <v>Apr</v>
      </c>
    </row>
    <row r="911" spans="1:21">
      <c r="A911" s="2">
        <v>46118</v>
      </c>
      <c r="B911" t="s">
        <v>6</v>
      </c>
      <c r="C911" t="s">
        <v>51</v>
      </c>
      <c r="D911" t="s">
        <v>7</v>
      </c>
      <c r="E911" t="s">
        <v>47</v>
      </c>
      <c r="F911" t="s">
        <v>33</v>
      </c>
      <c r="G911">
        <v>97</v>
      </c>
      <c r="H911">
        <v>39</v>
      </c>
      <c r="I911">
        <v>3</v>
      </c>
      <c r="J911">
        <v>4</v>
      </c>
      <c r="K911">
        <v>291</v>
      </c>
      <c r="L911">
        <v>99.2</v>
      </c>
      <c r="M911">
        <v>2388.44</v>
      </c>
      <c r="N911">
        <v>71584</v>
      </c>
      <c r="O911">
        <v>1197.8800000000001</v>
      </c>
      <c r="P911" s="1">
        <v>-0.82099999999999995</v>
      </c>
      <c r="Q911">
        <f t="shared" si="70"/>
        <v>136</v>
      </c>
      <c r="R911">
        <f t="shared" si="71"/>
        <v>43</v>
      </c>
      <c r="S911" s="1">
        <f t="shared" si="72"/>
        <v>0.9779411764705882</v>
      </c>
      <c r="T911">
        <f t="shared" si="73"/>
        <v>1.36</v>
      </c>
      <c r="U911" t="str">
        <f t="shared" si="74"/>
        <v>Apr</v>
      </c>
    </row>
    <row r="912" spans="1:21">
      <c r="A912" s="2">
        <v>46109</v>
      </c>
      <c r="B912" t="s">
        <v>4</v>
      </c>
      <c r="C912" t="s">
        <v>48</v>
      </c>
      <c r="D912" t="s">
        <v>5</v>
      </c>
      <c r="E912" t="s">
        <v>38</v>
      </c>
      <c r="F912" t="s">
        <v>33</v>
      </c>
      <c r="G912">
        <v>35</v>
      </c>
      <c r="H912">
        <v>36</v>
      </c>
      <c r="I912">
        <v>24</v>
      </c>
      <c r="J912">
        <v>32</v>
      </c>
      <c r="K912">
        <v>345</v>
      </c>
      <c r="L912">
        <v>93.76</v>
      </c>
      <c r="M912">
        <v>2227.04</v>
      </c>
      <c r="N912">
        <v>66014</v>
      </c>
      <c r="O912">
        <v>1242.76</v>
      </c>
      <c r="P912" s="1">
        <v>0.56299999999999994</v>
      </c>
      <c r="Q912">
        <f t="shared" si="70"/>
        <v>71</v>
      </c>
      <c r="R912">
        <f t="shared" si="71"/>
        <v>68</v>
      </c>
      <c r="S912" s="1">
        <f t="shared" si="72"/>
        <v>0.6619718309859155</v>
      </c>
      <c r="T912">
        <f t="shared" si="73"/>
        <v>0.71</v>
      </c>
      <c r="U912" t="str">
        <f t="shared" si="74"/>
        <v>Mar</v>
      </c>
    </row>
    <row r="913" spans="1:21">
      <c r="A913" s="2">
        <v>46103</v>
      </c>
      <c r="B913" t="s">
        <v>6</v>
      </c>
      <c r="C913" t="s">
        <v>40</v>
      </c>
      <c r="D913" t="s">
        <v>11</v>
      </c>
      <c r="E913" t="s">
        <v>38</v>
      </c>
      <c r="F913" t="s">
        <v>39</v>
      </c>
      <c r="G913">
        <v>26</v>
      </c>
      <c r="H913">
        <v>41</v>
      </c>
      <c r="I913">
        <v>18</v>
      </c>
      <c r="J913">
        <v>15</v>
      </c>
      <c r="K913">
        <v>3</v>
      </c>
      <c r="L913">
        <v>99.61</v>
      </c>
      <c r="M913">
        <v>1960.93</v>
      </c>
      <c r="N913">
        <v>71564</v>
      </c>
      <c r="O913">
        <v>950.24</v>
      </c>
      <c r="P913" s="1">
        <v>-0.63600000000000001</v>
      </c>
      <c r="Q913">
        <f t="shared" si="70"/>
        <v>67</v>
      </c>
      <c r="R913">
        <f t="shared" si="71"/>
        <v>56</v>
      </c>
      <c r="S913" s="1">
        <f t="shared" si="72"/>
        <v>0.73134328358208955</v>
      </c>
      <c r="T913">
        <f t="shared" si="73"/>
        <v>0.67</v>
      </c>
      <c r="U913" t="str">
        <f t="shared" si="74"/>
        <v>Mar</v>
      </c>
    </row>
    <row r="914" spans="1:21">
      <c r="A914" s="2">
        <v>46100</v>
      </c>
      <c r="B914" t="s">
        <v>6</v>
      </c>
      <c r="C914" t="s">
        <v>44</v>
      </c>
      <c r="D914" t="s">
        <v>11</v>
      </c>
      <c r="E914" t="s">
        <v>37</v>
      </c>
      <c r="F914" t="s">
        <v>33</v>
      </c>
      <c r="G914">
        <v>86</v>
      </c>
      <c r="H914">
        <v>42</v>
      </c>
      <c r="I914">
        <v>69</v>
      </c>
      <c r="J914">
        <v>121</v>
      </c>
      <c r="K914">
        <v>288</v>
      </c>
      <c r="L914">
        <v>90.01</v>
      </c>
      <c r="M914">
        <v>2490.38</v>
      </c>
      <c r="N914">
        <v>64726</v>
      </c>
      <c r="O914">
        <v>1039.5</v>
      </c>
      <c r="P914" s="1">
        <v>-0.74</v>
      </c>
      <c r="Q914">
        <f t="shared" si="70"/>
        <v>128</v>
      </c>
      <c r="R914">
        <f t="shared" si="71"/>
        <v>163</v>
      </c>
      <c r="S914" s="1">
        <f t="shared" si="72"/>
        <v>0.4609375</v>
      </c>
      <c r="T914">
        <f t="shared" si="73"/>
        <v>1.28</v>
      </c>
      <c r="U914" t="str">
        <f t="shared" si="74"/>
        <v>Mar</v>
      </c>
    </row>
    <row r="915" spans="1:21">
      <c r="A915" s="2">
        <v>46118</v>
      </c>
      <c r="B915" t="s">
        <v>4</v>
      </c>
      <c r="C915" t="s">
        <v>43</v>
      </c>
      <c r="D915" t="s">
        <v>10</v>
      </c>
      <c r="E915" t="s">
        <v>47</v>
      </c>
      <c r="F915" t="s">
        <v>39</v>
      </c>
      <c r="G915">
        <v>72</v>
      </c>
      <c r="H915">
        <v>76</v>
      </c>
      <c r="I915">
        <v>53</v>
      </c>
      <c r="J915">
        <v>144</v>
      </c>
      <c r="K915">
        <v>445</v>
      </c>
      <c r="L915">
        <v>130.38999999999999</v>
      </c>
      <c r="M915">
        <v>2135.8200000000002</v>
      </c>
      <c r="N915">
        <v>67543</v>
      </c>
      <c r="O915">
        <v>1559.84</v>
      </c>
      <c r="P915" s="1">
        <v>0.48899999999999999</v>
      </c>
      <c r="Q915">
        <f t="shared" si="70"/>
        <v>148</v>
      </c>
      <c r="R915">
        <f t="shared" si="71"/>
        <v>220</v>
      </c>
      <c r="S915" s="1">
        <f t="shared" si="72"/>
        <v>0.64189189189189189</v>
      </c>
      <c r="T915">
        <f t="shared" si="73"/>
        <v>1.48</v>
      </c>
      <c r="U915" t="str">
        <f t="shared" si="74"/>
        <v>Apr</v>
      </c>
    </row>
    <row r="916" spans="1:21">
      <c r="A916" s="2">
        <v>46093</v>
      </c>
      <c r="B916" t="s">
        <v>6</v>
      </c>
      <c r="C916" t="s">
        <v>46</v>
      </c>
      <c r="D916" t="s">
        <v>10</v>
      </c>
      <c r="E916" t="s">
        <v>42</v>
      </c>
      <c r="F916" t="s">
        <v>45</v>
      </c>
      <c r="G916">
        <v>55</v>
      </c>
      <c r="H916">
        <v>37</v>
      </c>
      <c r="I916">
        <v>45</v>
      </c>
      <c r="J916">
        <v>8</v>
      </c>
      <c r="K916">
        <v>175</v>
      </c>
      <c r="L916">
        <v>90.85</v>
      </c>
      <c r="M916">
        <v>1809.04</v>
      </c>
      <c r="N916">
        <v>68925</v>
      </c>
      <c r="O916">
        <v>1487.47</v>
      </c>
      <c r="P916" s="1">
        <v>-0.50700000000000001</v>
      </c>
      <c r="Q916">
        <f t="shared" si="70"/>
        <v>92</v>
      </c>
      <c r="R916">
        <f t="shared" si="71"/>
        <v>45</v>
      </c>
      <c r="S916" s="1">
        <f t="shared" si="72"/>
        <v>0.51086956521739135</v>
      </c>
      <c r="T916">
        <f t="shared" si="73"/>
        <v>0.92</v>
      </c>
      <c r="U916" t="str">
        <f t="shared" si="74"/>
        <v>Mar</v>
      </c>
    </row>
    <row r="917" spans="1:21">
      <c r="A917" s="2">
        <v>46109</v>
      </c>
      <c r="B917" t="s">
        <v>6</v>
      </c>
      <c r="C917" t="s">
        <v>44</v>
      </c>
      <c r="D917" t="s">
        <v>9</v>
      </c>
      <c r="E917" t="s">
        <v>38</v>
      </c>
      <c r="F917" t="s">
        <v>39</v>
      </c>
      <c r="G917">
        <v>60</v>
      </c>
      <c r="H917">
        <v>40</v>
      </c>
      <c r="I917">
        <v>24</v>
      </c>
      <c r="J917">
        <v>51</v>
      </c>
      <c r="K917">
        <v>246</v>
      </c>
      <c r="L917">
        <v>123.12</v>
      </c>
      <c r="M917">
        <v>2026.62</v>
      </c>
      <c r="N917">
        <v>68035</v>
      </c>
      <c r="O917">
        <v>1075.5</v>
      </c>
      <c r="P917" s="1">
        <v>0.96299999999999997</v>
      </c>
      <c r="Q917">
        <f t="shared" si="70"/>
        <v>100</v>
      </c>
      <c r="R917">
        <f t="shared" si="71"/>
        <v>91</v>
      </c>
      <c r="S917" s="1">
        <f t="shared" si="72"/>
        <v>0.76</v>
      </c>
      <c r="T917">
        <f t="shared" si="73"/>
        <v>1</v>
      </c>
      <c r="U917" t="str">
        <f t="shared" si="74"/>
        <v>Mar</v>
      </c>
    </row>
    <row r="918" spans="1:21">
      <c r="A918" s="2">
        <v>46088</v>
      </c>
      <c r="B918" t="s">
        <v>6</v>
      </c>
      <c r="C918" t="s">
        <v>40</v>
      </c>
      <c r="D918" t="s">
        <v>11</v>
      </c>
      <c r="E918" t="s">
        <v>42</v>
      </c>
      <c r="F918" t="s">
        <v>33</v>
      </c>
      <c r="G918">
        <v>37</v>
      </c>
      <c r="H918">
        <v>23</v>
      </c>
      <c r="I918">
        <v>28</v>
      </c>
      <c r="J918">
        <v>18</v>
      </c>
      <c r="K918">
        <v>116</v>
      </c>
      <c r="L918">
        <v>118.63</v>
      </c>
      <c r="M918">
        <v>1873.3</v>
      </c>
      <c r="N918">
        <v>64935</v>
      </c>
      <c r="O918">
        <v>1264.6500000000001</v>
      </c>
      <c r="P918" s="1">
        <v>0.33200000000000002</v>
      </c>
      <c r="Q918">
        <f t="shared" si="70"/>
        <v>60</v>
      </c>
      <c r="R918">
        <f t="shared" si="71"/>
        <v>41</v>
      </c>
      <c r="S918" s="1">
        <f t="shared" si="72"/>
        <v>0.53333333333333333</v>
      </c>
      <c r="T918">
        <f t="shared" si="73"/>
        <v>0.6</v>
      </c>
      <c r="U918" t="str">
        <f t="shared" si="74"/>
        <v>Mar</v>
      </c>
    </row>
    <row r="919" spans="1:21">
      <c r="A919" s="2">
        <v>46126</v>
      </c>
      <c r="B919" t="s">
        <v>4</v>
      </c>
      <c r="C919" t="s">
        <v>50</v>
      </c>
      <c r="D919" t="s">
        <v>5</v>
      </c>
      <c r="E919" t="s">
        <v>47</v>
      </c>
      <c r="F919" t="s">
        <v>39</v>
      </c>
      <c r="G919">
        <v>75</v>
      </c>
      <c r="H919">
        <v>44</v>
      </c>
      <c r="I919">
        <v>52</v>
      </c>
      <c r="J919">
        <v>129</v>
      </c>
      <c r="K919">
        <v>405</v>
      </c>
      <c r="L919">
        <v>82.35</v>
      </c>
      <c r="M919">
        <v>2288.5100000000002</v>
      </c>
      <c r="N919">
        <v>69029</v>
      </c>
      <c r="O919">
        <v>1206.22</v>
      </c>
      <c r="P919" s="1">
        <v>-0.60799999999999998</v>
      </c>
      <c r="Q919">
        <f t="shared" si="70"/>
        <v>119</v>
      </c>
      <c r="R919">
        <f t="shared" si="71"/>
        <v>173</v>
      </c>
      <c r="S919" s="1">
        <f t="shared" si="72"/>
        <v>0.56302521008403361</v>
      </c>
      <c r="T919">
        <f t="shared" si="73"/>
        <v>1.19</v>
      </c>
      <c r="U919" t="str">
        <f t="shared" si="74"/>
        <v>Apr</v>
      </c>
    </row>
    <row r="920" spans="1:21">
      <c r="A920" s="2">
        <v>46119</v>
      </c>
      <c r="B920" t="s">
        <v>6</v>
      </c>
      <c r="C920" t="s">
        <v>44</v>
      </c>
      <c r="D920" t="s">
        <v>11</v>
      </c>
      <c r="E920" t="s">
        <v>47</v>
      </c>
      <c r="F920" t="s">
        <v>45</v>
      </c>
      <c r="G920">
        <v>74</v>
      </c>
      <c r="H920">
        <v>46</v>
      </c>
      <c r="I920">
        <v>82</v>
      </c>
      <c r="J920">
        <v>125</v>
      </c>
      <c r="K920">
        <v>368</v>
      </c>
      <c r="L920">
        <v>94.42</v>
      </c>
      <c r="M920">
        <v>2175.04</v>
      </c>
      <c r="N920">
        <v>75315</v>
      </c>
      <c r="O920">
        <v>1525.02</v>
      </c>
      <c r="P920" s="1">
        <v>-0.14499999999999999</v>
      </c>
      <c r="Q920">
        <f t="shared" si="70"/>
        <v>120</v>
      </c>
      <c r="R920">
        <f t="shared" si="71"/>
        <v>171</v>
      </c>
      <c r="S920" s="1">
        <f t="shared" si="72"/>
        <v>0.31666666666666665</v>
      </c>
      <c r="T920">
        <f t="shared" si="73"/>
        <v>1.2</v>
      </c>
      <c r="U920" t="str">
        <f t="shared" si="74"/>
        <v>Apr</v>
      </c>
    </row>
    <row r="921" spans="1:21">
      <c r="A921" s="2">
        <v>46073</v>
      </c>
      <c r="B921" t="s">
        <v>6</v>
      </c>
      <c r="C921" t="s">
        <v>40</v>
      </c>
      <c r="D921" t="s">
        <v>7</v>
      </c>
      <c r="E921" t="s">
        <v>37</v>
      </c>
      <c r="F921" t="s">
        <v>33</v>
      </c>
      <c r="G921">
        <v>55</v>
      </c>
      <c r="H921">
        <v>42</v>
      </c>
      <c r="I921">
        <v>29</v>
      </c>
      <c r="J921">
        <v>102</v>
      </c>
      <c r="K921">
        <v>78</v>
      </c>
      <c r="L921">
        <v>105.35</v>
      </c>
      <c r="M921">
        <v>2454.5300000000002</v>
      </c>
      <c r="N921">
        <v>67409</v>
      </c>
      <c r="O921">
        <v>972.48</v>
      </c>
      <c r="P921" s="1">
        <v>0.126</v>
      </c>
      <c r="Q921">
        <f t="shared" si="70"/>
        <v>97</v>
      </c>
      <c r="R921">
        <f t="shared" si="71"/>
        <v>144</v>
      </c>
      <c r="S921" s="1">
        <f t="shared" si="72"/>
        <v>0.7010309278350515</v>
      </c>
      <c r="T921">
        <f t="shared" si="73"/>
        <v>0.97</v>
      </c>
      <c r="U921" t="str">
        <f t="shared" si="74"/>
        <v>Feb</v>
      </c>
    </row>
    <row r="922" spans="1:21">
      <c r="A922" s="2">
        <v>46122</v>
      </c>
      <c r="B922" t="s">
        <v>4</v>
      </c>
      <c r="C922" t="s">
        <v>36</v>
      </c>
      <c r="D922" t="s">
        <v>11</v>
      </c>
      <c r="E922" t="s">
        <v>42</v>
      </c>
      <c r="F922" t="s">
        <v>33</v>
      </c>
      <c r="G922">
        <v>39</v>
      </c>
      <c r="H922">
        <v>17</v>
      </c>
      <c r="I922">
        <v>83</v>
      </c>
      <c r="J922">
        <v>4</v>
      </c>
      <c r="K922">
        <v>160</v>
      </c>
      <c r="L922">
        <v>91.84</v>
      </c>
      <c r="M922">
        <v>1953.43</v>
      </c>
      <c r="N922">
        <v>66915</v>
      </c>
      <c r="O922">
        <v>1714.28</v>
      </c>
      <c r="P922" s="1">
        <v>-0.61399999999999999</v>
      </c>
      <c r="Q922">
        <f t="shared" si="70"/>
        <v>56</v>
      </c>
      <c r="R922">
        <f t="shared" si="71"/>
        <v>21</v>
      </c>
      <c r="S922" s="1">
        <f t="shared" si="72"/>
        <v>-0.48214285714285715</v>
      </c>
      <c r="T922">
        <f t="shared" si="73"/>
        <v>0.56000000000000005</v>
      </c>
      <c r="U922" t="str">
        <f t="shared" si="74"/>
        <v>Apr</v>
      </c>
    </row>
    <row r="923" spans="1:21">
      <c r="A923" s="2">
        <v>46103</v>
      </c>
      <c r="B923" t="s">
        <v>6</v>
      </c>
      <c r="C923" t="s">
        <v>36</v>
      </c>
      <c r="D923" t="s">
        <v>7</v>
      </c>
      <c r="E923" t="s">
        <v>32</v>
      </c>
      <c r="F923" t="s">
        <v>49</v>
      </c>
      <c r="G923">
        <v>109</v>
      </c>
      <c r="H923">
        <v>57</v>
      </c>
      <c r="I923">
        <v>36</v>
      </c>
      <c r="J923">
        <v>154</v>
      </c>
      <c r="K923">
        <v>260</v>
      </c>
      <c r="L923">
        <v>91.58</v>
      </c>
      <c r="M923">
        <v>1874.53</v>
      </c>
      <c r="N923">
        <v>65445</v>
      </c>
      <c r="O923">
        <v>1776.25</v>
      </c>
      <c r="P923" s="1">
        <v>0.59</v>
      </c>
      <c r="Q923">
        <f t="shared" si="70"/>
        <v>166</v>
      </c>
      <c r="R923">
        <f t="shared" si="71"/>
        <v>211</v>
      </c>
      <c r="S923" s="1">
        <f t="shared" si="72"/>
        <v>0.7831325301204819</v>
      </c>
      <c r="T923">
        <f t="shared" si="73"/>
        <v>1.66</v>
      </c>
      <c r="U923" t="str">
        <f t="shared" si="74"/>
        <v>Mar</v>
      </c>
    </row>
    <row r="924" spans="1:21">
      <c r="A924" s="2">
        <v>46083</v>
      </c>
      <c r="B924" t="s">
        <v>4</v>
      </c>
      <c r="C924" t="s">
        <v>31</v>
      </c>
      <c r="D924" t="s">
        <v>9</v>
      </c>
      <c r="E924" t="s">
        <v>35</v>
      </c>
      <c r="F924" t="s">
        <v>33</v>
      </c>
      <c r="G924">
        <v>46</v>
      </c>
      <c r="H924">
        <v>12</v>
      </c>
      <c r="I924">
        <v>14</v>
      </c>
      <c r="J924">
        <v>103</v>
      </c>
      <c r="K924">
        <v>341</v>
      </c>
      <c r="L924">
        <v>98.17</v>
      </c>
      <c r="M924">
        <v>1887.31</v>
      </c>
      <c r="N924">
        <v>70176</v>
      </c>
      <c r="O924">
        <v>911.71</v>
      </c>
      <c r="P924" s="1">
        <v>0.83</v>
      </c>
      <c r="Q924">
        <f t="shared" si="70"/>
        <v>58</v>
      </c>
      <c r="R924">
        <f t="shared" si="71"/>
        <v>115</v>
      </c>
      <c r="S924" s="1">
        <f t="shared" si="72"/>
        <v>0.75862068965517238</v>
      </c>
      <c r="T924">
        <f t="shared" si="73"/>
        <v>0.57999999999999996</v>
      </c>
      <c r="U924" t="str">
        <f t="shared" si="74"/>
        <v>Mar</v>
      </c>
    </row>
    <row r="925" spans="1:21">
      <c r="A925" s="2">
        <v>46108</v>
      </c>
      <c r="B925" t="s">
        <v>6</v>
      </c>
      <c r="C925" t="s">
        <v>43</v>
      </c>
      <c r="D925" t="s">
        <v>10</v>
      </c>
      <c r="E925" t="s">
        <v>47</v>
      </c>
      <c r="F925" t="s">
        <v>39</v>
      </c>
      <c r="G925">
        <v>71</v>
      </c>
      <c r="H925">
        <v>76</v>
      </c>
      <c r="I925">
        <v>62</v>
      </c>
      <c r="J925">
        <v>120</v>
      </c>
      <c r="K925">
        <v>230</v>
      </c>
      <c r="L925">
        <v>82.29</v>
      </c>
      <c r="M925">
        <v>2220.0700000000002</v>
      </c>
      <c r="N925">
        <v>64197</v>
      </c>
      <c r="O925">
        <v>1458.51</v>
      </c>
      <c r="P925" s="1">
        <v>-0.36699999999999999</v>
      </c>
      <c r="Q925">
        <f t="shared" si="70"/>
        <v>147</v>
      </c>
      <c r="R925">
        <f t="shared" si="71"/>
        <v>196</v>
      </c>
      <c r="S925" s="1">
        <f t="shared" si="72"/>
        <v>0.57823129251700678</v>
      </c>
      <c r="T925">
        <f t="shared" si="73"/>
        <v>1.47</v>
      </c>
      <c r="U925" t="str">
        <f t="shared" si="74"/>
        <v>Mar</v>
      </c>
    </row>
    <row r="926" spans="1:21">
      <c r="A926" s="2">
        <v>46072</v>
      </c>
      <c r="B926" t="s">
        <v>6</v>
      </c>
      <c r="C926" t="s">
        <v>44</v>
      </c>
      <c r="D926" t="s">
        <v>5</v>
      </c>
      <c r="E926" t="s">
        <v>42</v>
      </c>
      <c r="F926" t="s">
        <v>33</v>
      </c>
      <c r="G926">
        <v>28</v>
      </c>
      <c r="H926">
        <v>24</v>
      </c>
      <c r="I926">
        <v>66</v>
      </c>
      <c r="J926">
        <v>142</v>
      </c>
      <c r="K926">
        <v>224</v>
      </c>
      <c r="L926">
        <v>137.52000000000001</v>
      </c>
      <c r="M926">
        <v>2310.02</v>
      </c>
      <c r="N926">
        <v>67472</v>
      </c>
      <c r="O926">
        <v>1794.7</v>
      </c>
      <c r="P926" s="1">
        <v>0.61699999999999999</v>
      </c>
      <c r="Q926">
        <f t="shared" si="70"/>
        <v>52</v>
      </c>
      <c r="R926">
        <f t="shared" si="71"/>
        <v>166</v>
      </c>
      <c r="S926" s="1">
        <f t="shared" si="72"/>
        <v>-0.26923076923076922</v>
      </c>
      <c r="T926">
        <f t="shared" si="73"/>
        <v>0.52</v>
      </c>
      <c r="U926" t="str">
        <f t="shared" si="74"/>
        <v>Feb</v>
      </c>
    </row>
    <row r="927" spans="1:21">
      <c r="A927" s="2">
        <v>46095</v>
      </c>
      <c r="B927" t="s">
        <v>6</v>
      </c>
      <c r="C927" t="s">
        <v>50</v>
      </c>
      <c r="D927" t="s">
        <v>10</v>
      </c>
      <c r="E927" t="s">
        <v>41</v>
      </c>
      <c r="F927" t="s">
        <v>33</v>
      </c>
      <c r="G927">
        <v>112</v>
      </c>
      <c r="H927">
        <v>50</v>
      </c>
      <c r="I927">
        <v>43</v>
      </c>
      <c r="J927">
        <v>132</v>
      </c>
      <c r="K927">
        <v>373</v>
      </c>
      <c r="L927">
        <v>92.69</v>
      </c>
      <c r="M927">
        <v>2303.4699999999998</v>
      </c>
      <c r="N927">
        <v>64667</v>
      </c>
      <c r="O927">
        <v>1721.83</v>
      </c>
      <c r="P927" s="1">
        <v>0.435</v>
      </c>
      <c r="Q927">
        <f t="shared" si="70"/>
        <v>162</v>
      </c>
      <c r="R927">
        <f t="shared" si="71"/>
        <v>182</v>
      </c>
      <c r="S927" s="1">
        <f t="shared" si="72"/>
        <v>0.73456790123456794</v>
      </c>
      <c r="T927">
        <f t="shared" si="73"/>
        <v>1.62</v>
      </c>
      <c r="U927" t="str">
        <f t="shared" si="74"/>
        <v>Mar</v>
      </c>
    </row>
    <row r="928" spans="1:21">
      <c r="A928" s="2">
        <v>46076</v>
      </c>
      <c r="B928" t="s">
        <v>4</v>
      </c>
      <c r="C928" t="s">
        <v>36</v>
      </c>
      <c r="D928" t="s">
        <v>9</v>
      </c>
      <c r="E928" t="s">
        <v>38</v>
      </c>
      <c r="F928" t="s">
        <v>33</v>
      </c>
      <c r="G928">
        <v>101</v>
      </c>
      <c r="H928">
        <v>53</v>
      </c>
      <c r="I928">
        <v>33</v>
      </c>
      <c r="J928">
        <v>106</v>
      </c>
      <c r="K928">
        <v>144</v>
      </c>
      <c r="L928">
        <v>90.05</v>
      </c>
      <c r="M928">
        <v>2025.93</v>
      </c>
      <c r="N928">
        <v>72974</v>
      </c>
      <c r="O928">
        <v>1020.84</v>
      </c>
      <c r="P928" s="1">
        <v>-0.53800000000000003</v>
      </c>
      <c r="Q928">
        <f t="shared" si="70"/>
        <v>154</v>
      </c>
      <c r="R928">
        <f t="shared" si="71"/>
        <v>159</v>
      </c>
      <c r="S928" s="1">
        <f t="shared" si="72"/>
        <v>0.7857142857142857</v>
      </c>
      <c r="T928">
        <f t="shared" si="73"/>
        <v>1.54</v>
      </c>
      <c r="U928" t="str">
        <f t="shared" si="74"/>
        <v>Feb</v>
      </c>
    </row>
    <row r="929" spans="1:21">
      <c r="A929" s="2">
        <v>46069</v>
      </c>
      <c r="B929" t="s">
        <v>4</v>
      </c>
      <c r="C929" t="s">
        <v>48</v>
      </c>
      <c r="D929" t="s">
        <v>9</v>
      </c>
      <c r="E929" t="s">
        <v>35</v>
      </c>
      <c r="F929" t="s">
        <v>45</v>
      </c>
      <c r="G929">
        <v>88</v>
      </c>
      <c r="H929">
        <v>5</v>
      </c>
      <c r="I929">
        <v>32</v>
      </c>
      <c r="J929">
        <v>87</v>
      </c>
      <c r="K929">
        <v>122</v>
      </c>
      <c r="L929">
        <v>121.95</v>
      </c>
      <c r="M929">
        <v>2418.7800000000002</v>
      </c>
      <c r="N929">
        <v>65284</v>
      </c>
      <c r="O929">
        <v>905.33</v>
      </c>
      <c r="P929" s="1">
        <v>-0.75900000000000001</v>
      </c>
      <c r="Q929">
        <f t="shared" si="70"/>
        <v>93</v>
      </c>
      <c r="R929">
        <f t="shared" si="71"/>
        <v>92</v>
      </c>
      <c r="S929" s="1">
        <f t="shared" si="72"/>
        <v>0.65591397849462363</v>
      </c>
      <c r="T929">
        <f t="shared" si="73"/>
        <v>0.93</v>
      </c>
      <c r="U929" t="str">
        <f t="shared" si="74"/>
        <v>Feb</v>
      </c>
    </row>
    <row r="930" spans="1:21">
      <c r="A930" s="2">
        <v>46088</v>
      </c>
      <c r="B930" t="s">
        <v>4</v>
      </c>
      <c r="C930" t="s">
        <v>36</v>
      </c>
      <c r="D930" t="s">
        <v>5</v>
      </c>
      <c r="E930" t="s">
        <v>35</v>
      </c>
      <c r="F930" t="s">
        <v>33</v>
      </c>
      <c r="G930">
        <v>11</v>
      </c>
      <c r="H930">
        <v>72</v>
      </c>
      <c r="I930">
        <v>19</v>
      </c>
      <c r="J930">
        <v>25</v>
      </c>
      <c r="K930">
        <v>64</v>
      </c>
      <c r="L930">
        <v>135.81</v>
      </c>
      <c r="M930">
        <v>2365.69</v>
      </c>
      <c r="N930">
        <v>64689</v>
      </c>
      <c r="O930">
        <v>1208.68</v>
      </c>
      <c r="P930" s="1">
        <v>-0.14499999999999999</v>
      </c>
      <c r="Q930">
        <f t="shared" si="70"/>
        <v>83</v>
      </c>
      <c r="R930">
        <f t="shared" si="71"/>
        <v>97</v>
      </c>
      <c r="S930" s="1">
        <f t="shared" si="72"/>
        <v>0.77108433734939763</v>
      </c>
      <c r="T930">
        <f t="shared" si="73"/>
        <v>0.83</v>
      </c>
      <c r="U930" t="str">
        <f t="shared" si="74"/>
        <v>Mar</v>
      </c>
    </row>
    <row r="931" spans="1:21">
      <c r="A931" s="2">
        <v>46070</v>
      </c>
      <c r="B931" t="s">
        <v>6</v>
      </c>
      <c r="C931" t="s">
        <v>40</v>
      </c>
      <c r="D931" t="s">
        <v>11</v>
      </c>
      <c r="E931" t="s">
        <v>41</v>
      </c>
      <c r="F931" t="s">
        <v>49</v>
      </c>
      <c r="G931">
        <v>58</v>
      </c>
      <c r="H931">
        <v>3</v>
      </c>
      <c r="I931">
        <v>56</v>
      </c>
      <c r="J931">
        <v>130</v>
      </c>
      <c r="K931">
        <v>398</v>
      </c>
      <c r="L931">
        <v>104.33</v>
      </c>
      <c r="M931">
        <v>2491.16</v>
      </c>
      <c r="N931">
        <v>67066</v>
      </c>
      <c r="O931">
        <v>1513.05</v>
      </c>
      <c r="P931" s="1">
        <v>0.53600000000000003</v>
      </c>
      <c r="Q931">
        <f t="shared" si="70"/>
        <v>61</v>
      </c>
      <c r="R931">
        <f t="shared" si="71"/>
        <v>133</v>
      </c>
      <c r="S931" s="1">
        <f t="shared" si="72"/>
        <v>8.1967213114754092E-2</v>
      </c>
      <c r="T931">
        <f t="shared" si="73"/>
        <v>0.61</v>
      </c>
      <c r="U931" t="str">
        <f t="shared" si="74"/>
        <v>Feb</v>
      </c>
    </row>
    <row r="932" spans="1:21">
      <c r="A932" s="2">
        <v>46114</v>
      </c>
      <c r="B932" t="s">
        <v>4</v>
      </c>
      <c r="C932" t="s">
        <v>50</v>
      </c>
      <c r="D932" t="s">
        <v>9</v>
      </c>
      <c r="E932" t="s">
        <v>47</v>
      </c>
      <c r="F932" t="s">
        <v>33</v>
      </c>
      <c r="G932">
        <v>56</v>
      </c>
      <c r="H932">
        <v>0</v>
      </c>
      <c r="I932">
        <v>47</v>
      </c>
      <c r="J932">
        <v>159</v>
      </c>
      <c r="K932">
        <v>102</v>
      </c>
      <c r="L932">
        <v>120.84</v>
      </c>
      <c r="M932">
        <v>2225.09</v>
      </c>
      <c r="N932">
        <v>65744</v>
      </c>
      <c r="O932">
        <v>1564.78</v>
      </c>
      <c r="P932" s="1">
        <v>-0.152</v>
      </c>
      <c r="Q932">
        <f t="shared" si="70"/>
        <v>56</v>
      </c>
      <c r="R932">
        <f t="shared" si="71"/>
        <v>159</v>
      </c>
      <c r="S932" s="1">
        <f t="shared" si="72"/>
        <v>0.16071428571428573</v>
      </c>
      <c r="T932">
        <f t="shared" si="73"/>
        <v>0.56000000000000005</v>
      </c>
      <c r="U932" t="str">
        <f t="shared" si="74"/>
        <v>Apr</v>
      </c>
    </row>
    <row r="933" spans="1:21">
      <c r="A933" s="2">
        <v>46111</v>
      </c>
      <c r="B933" t="s">
        <v>4</v>
      </c>
      <c r="C933" t="s">
        <v>31</v>
      </c>
      <c r="D933" t="s">
        <v>7</v>
      </c>
      <c r="E933" t="s">
        <v>41</v>
      </c>
      <c r="F933" t="s">
        <v>33</v>
      </c>
      <c r="G933">
        <v>59</v>
      </c>
      <c r="H933">
        <v>55</v>
      </c>
      <c r="I933">
        <v>38</v>
      </c>
      <c r="J933">
        <v>144</v>
      </c>
      <c r="K933">
        <v>426</v>
      </c>
      <c r="L933">
        <v>121.31</v>
      </c>
      <c r="M933">
        <v>2455.3200000000002</v>
      </c>
      <c r="N933">
        <v>72278</v>
      </c>
      <c r="O933">
        <v>914.84</v>
      </c>
      <c r="P933" s="1">
        <v>0.69899999999999995</v>
      </c>
      <c r="Q933">
        <f t="shared" si="70"/>
        <v>114</v>
      </c>
      <c r="R933">
        <f t="shared" si="71"/>
        <v>199</v>
      </c>
      <c r="S933" s="1">
        <f t="shared" si="72"/>
        <v>0.66666666666666663</v>
      </c>
      <c r="T933">
        <f t="shared" si="73"/>
        <v>1.1399999999999999</v>
      </c>
      <c r="U933" t="str">
        <f t="shared" si="74"/>
        <v>Mar</v>
      </c>
    </row>
    <row r="934" spans="1:21">
      <c r="A934" s="2">
        <v>46081</v>
      </c>
      <c r="B934" t="s">
        <v>6</v>
      </c>
      <c r="C934" t="s">
        <v>40</v>
      </c>
      <c r="D934" t="s">
        <v>7</v>
      </c>
      <c r="E934" t="s">
        <v>35</v>
      </c>
      <c r="F934" t="s">
        <v>45</v>
      </c>
      <c r="G934">
        <v>43</v>
      </c>
      <c r="H934">
        <v>2</v>
      </c>
      <c r="I934">
        <v>8</v>
      </c>
      <c r="J934">
        <v>123</v>
      </c>
      <c r="K934">
        <v>177</v>
      </c>
      <c r="L934">
        <v>90.45</v>
      </c>
      <c r="M934">
        <v>1969.77</v>
      </c>
      <c r="N934">
        <v>72404</v>
      </c>
      <c r="O934">
        <v>1087.02</v>
      </c>
      <c r="P934" s="1">
        <v>7.8E-2</v>
      </c>
      <c r="Q934">
        <f t="shared" si="70"/>
        <v>45</v>
      </c>
      <c r="R934">
        <f t="shared" si="71"/>
        <v>125</v>
      </c>
      <c r="S934" s="1">
        <f t="shared" si="72"/>
        <v>0.82222222222222219</v>
      </c>
      <c r="T934">
        <f t="shared" si="73"/>
        <v>0.45</v>
      </c>
      <c r="U934" t="str">
        <f t="shared" si="74"/>
        <v>Feb</v>
      </c>
    </row>
    <row r="935" spans="1:21">
      <c r="A935" s="2">
        <v>46076</v>
      </c>
      <c r="B935" t="s">
        <v>6</v>
      </c>
      <c r="C935" t="s">
        <v>50</v>
      </c>
      <c r="D935" t="s">
        <v>10</v>
      </c>
      <c r="E935" t="s">
        <v>41</v>
      </c>
      <c r="F935" t="s">
        <v>49</v>
      </c>
      <c r="G935">
        <v>43</v>
      </c>
      <c r="H935">
        <v>67</v>
      </c>
      <c r="I935">
        <v>86</v>
      </c>
      <c r="J935">
        <v>133</v>
      </c>
      <c r="K935">
        <v>420</v>
      </c>
      <c r="L935">
        <v>103.55</v>
      </c>
      <c r="M935">
        <v>2283.7399999999998</v>
      </c>
      <c r="N935">
        <v>71394</v>
      </c>
      <c r="O935">
        <v>1735.27</v>
      </c>
      <c r="P935" s="1">
        <v>0.60099999999999998</v>
      </c>
      <c r="Q935">
        <f t="shared" si="70"/>
        <v>110</v>
      </c>
      <c r="R935">
        <f t="shared" si="71"/>
        <v>200</v>
      </c>
      <c r="S935" s="1">
        <f t="shared" si="72"/>
        <v>0.21818181818181817</v>
      </c>
      <c r="T935">
        <f t="shared" si="73"/>
        <v>1.1000000000000001</v>
      </c>
      <c r="U935" t="str">
        <f t="shared" si="74"/>
        <v>Feb</v>
      </c>
    </row>
    <row r="936" spans="1:21">
      <c r="A936" s="2">
        <v>46089</v>
      </c>
      <c r="B936" t="s">
        <v>4</v>
      </c>
      <c r="C936" t="s">
        <v>48</v>
      </c>
      <c r="D936" t="s">
        <v>10</v>
      </c>
      <c r="E936" t="s">
        <v>35</v>
      </c>
      <c r="F936" t="s">
        <v>33</v>
      </c>
      <c r="G936">
        <v>35</v>
      </c>
      <c r="H936">
        <v>2</v>
      </c>
      <c r="I936">
        <v>46</v>
      </c>
      <c r="J936">
        <v>18</v>
      </c>
      <c r="K936">
        <v>31</v>
      </c>
      <c r="L936">
        <v>83.8</v>
      </c>
      <c r="M936">
        <v>1895.19</v>
      </c>
      <c r="N936">
        <v>74078</v>
      </c>
      <c r="O936">
        <v>1153.23</v>
      </c>
      <c r="P936" s="1">
        <v>0.19900000000000001</v>
      </c>
      <c r="Q936">
        <f t="shared" si="70"/>
        <v>37</v>
      </c>
      <c r="R936">
        <f t="shared" si="71"/>
        <v>20</v>
      </c>
      <c r="S936" s="1">
        <f t="shared" si="72"/>
        <v>-0.24324324324324326</v>
      </c>
      <c r="T936">
        <f t="shared" si="73"/>
        <v>0.37</v>
      </c>
      <c r="U936" t="str">
        <f t="shared" si="74"/>
        <v>Mar</v>
      </c>
    </row>
    <row r="937" spans="1:21">
      <c r="A937" s="2">
        <v>46079</v>
      </c>
      <c r="B937" t="s">
        <v>6</v>
      </c>
      <c r="C937" t="s">
        <v>44</v>
      </c>
      <c r="D937" t="s">
        <v>5</v>
      </c>
      <c r="E937" t="s">
        <v>38</v>
      </c>
      <c r="F937" t="s">
        <v>49</v>
      </c>
      <c r="G937">
        <v>77</v>
      </c>
      <c r="H937">
        <v>68</v>
      </c>
      <c r="I937">
        <v>29</v>
      </c>
      <c r="J937">
        <v>158</v>
      </c>
      <c r="K937">
        <v>250</v>
      </c>
      <c r="L937">
        <v>128.16</v>
      </c>
      <c r="M937">
        <v>2041.76</v>
      </c>
      <c r="N937">
        <v>71421</v>
      </c>
      <c r="O937">
        <v>1421.06</v>
      </c>
      <c r="P937" s="1">
        <v>-3.9E-2</v>
      </c>
      <c r="Q937">
        <f t="shared" si="70"/>
        <v>145</v>
      </c>
      <c r="R937">
        <f t="shared" si="71"/>
        <v>226</v>
      </c>
      <c r="S937" s="1">
        <f t="shared" si="72"/>
        <v>0.8</v>
      </c>
      <c r="T937">
        <f t="shared" si="73"/>
        <v>1.45</v>
      </c>
      <c r="U937" t="str">
        <f t="shared" si="74"/>
        <v>Feb</v>
      </c>
    </row>
    <row r="938" spans="1:21">
      <c r="A938" s="2">
        <v>46068</v>
      </c>
      <c r="B938" t="s">
        <v>4</v>
      </c>
      <c r="C938" t="s">
        <v>34</v>
      </c>
      <c r="D938" t="s">
        <v>11</v>
      </c>
      <c r="E938" t="s">
        <v>47</v>
      </c>
      <c r="F938" t="s">
        <v>39</v>
      </c>
      <c r="G938">
        <v>51</v>
      </c>
      <c r="H938">
        <v>59</v>
      </c>
      <c r="I938">
        <v>73</v>
      </c>
      <c r="J938">
        <v>52</v>
      </c>
      <c r="K938">
        <v>132</v>
      </c>
      <c r="L938">
        <v>99.26</v>
      </c>
      <c r="M938">
        <v>2455.4</v>
      </c>
      <c r="N938">
        <v>72485</v>
      </c>
      <c r="O938">
        <v>1187.19</v>
      </c>
      <c r="P938" s="1">
        <v>0.81399999999999995</v>
      </c>
      <c r="Q938">
        <f t="shared" si="70"/>
        <v>110</v>
      </c>
      <c r="R938">
        <f t="shared" si="71"/>
        <v>111</v>
      </c>
      <c r="S938" s="1">
        <f t="shared" si="72"/>
        <v>0.33636363636363636</v>
      </c>
      <c r="T938">
        <f t="shared" si="73"/>
        <v>1.1000000000000001</v>
      </c>
      <c r="U938" t="str">
        <f t="shared" si="74"/>
        <v>Feb</v>
      </c>
    </row>
    <row r="939" spans="1:21">
      <c r="A939" s="2">
        <v>46078</v>
      </c>
      <c r="B939" t="s">
        <v>6</v>
      </c>
      <c r="C939" t="s">
        <v>48</v>
      </c>
      <c r="D939" t="s">
        <v>9</v>
      </c>
      <c r="E939" t="s">
        <v>32</v>
      </c>
      <c r="F939" t="s">
        <v>39</v>
      </c>
      <c r="G939">
        <v>28</v>
      </c>
      <c r="H939">
        <v>66</v>
      </c>
      <c r="I939">
        <v>26</v>
      </c>
      <c r="J939">
        <v>12</v>
      </c>
      <c r="K939">
        <v>170</v>
      </c>
      <c r="L939">
        <v>123.33</v>
      </c>
      <c r="M939">
        <v>2083.77</v>
      </c>
      <c r="N939">
        <v>64044</v>
      </c>
      <c r="O939">
        <v>1084.98</v>
      </c>
      <c r="P939" s="1">
        <v>-0.79</v>
      </c>
      <c r="Q939">
        <f t="shared" si="70"/>
        <v>94</v>
      </c>
      <c r="R939">
        <f t="shared" si="71"/>
        <v>78</v>
      </c>
      <c r="S939" s="1">
        <f t="shared" si="72"/>
        <v>0.72340425531914898</v>
      </c>
      <c r="T939">
        <f t="shared" si="73"/>
        <v>0.94</v>
      </c>
      <c r="U939" t="str">
        <f t="shared" si="74"/>
        <v>Feb</v>
      </c>
    </row>
    <row r="940" spans="1:21">
      <c r="A940" s="2">
        <v>46109</v>
      </c>
      <c r="B940" t="s">
        <v>6</v>
      </c>
      <c r="C940" t="s">
        <v>44</v>
      </c>
      <c r="D940" t="s">
        <v>9</v>
      </c>
      <c r="E940" t="s">
        <v>32</v>
      </c>
      <c r="F940" t="s">
        <v>49</v>
      </c>
      <c r="G940">
        <v>31</v>
      </c>
      <c r="H940">
        <v>6</v>
      </c>
      <c r="I940">
        <v>40</v>
      </c>
      <c r="J940">
        <v>134</v>
      </c>
      <c r="K940">
        <v>332</v>
      </c>
      <c r="L940">
        <v>126.49</v>
      </c>
      <c r="M940">
        <v>1858.59</v>
      </c>
      <c r="N940">
        <v>68633</v>
      </c>
      <c r="O940">
        <v>935.45</v>
      </c>
      <c r="P940" s="1">
        <v>0.317</v>
      </c>
      <c r="Q940">
        <f t="shared" si="70"/>
        <v>37</v>
      </c>
      <c r="R940">
        <f t="shared" si="71"/>
        <v>140</v>
      </c>
      <c r="S940" s="1">
        <f t="shared" si="72"/>
        <v>-8.1081081081081086E-2</v>
      </c>
      <c r="T940">
        <f t="shared" si="73"/>
        <v>0.37</v>
      </c>
      <c r="U940" t="str">
        <f t="shared" si="74"/>
        <v>Mar</v>
      </c>
    </row>
    <row r="941" spans="1:21">
      <c r="A941" s="2">
        <v>46124</v>
      </c>
      <c r="B941" t="s">
        <v>6</v>
      </c>
      <c r="C941" t="s">
        <v>31</v>
      </c>
      <c r="D941" t="s">
        <v>10</v>
      </c>
      <c r="E941" t="s">
        <v>47</v>
      </c>
      <c r="F941" t="s">
        <v>49</v>
      </c>
      <c r="G941">
        <v>11</v>
      </c>
      <c r="H941">
        <v>64</v>
      </c>
      <c r="I941">
        <v>42</v>
      </c>
      <c r="J941">
        <v>30</v>
      </c>
      <c r="K941">
        <v>78</v>
      </c>
      <c r="L941">
        <v>132.69999999999999</v>
      </c>
      <c r="M941">
        <v>2494.86</v>
      </c>
      <c r="N941">
        <v>73339</v>
      </c>
      <c r="O941">
        <v>1211.28</v>
      </c>
      <c r="P941" s="1">
        <v>7.6999999999999999E-2</v>
      </c>
      <c r="Q941">
        <f t="shared" si="70"/>
        <v>75</v>
      </c>
      <c r="R941">
        <f t="shared" si="71"/>
        <v>94</v>
      </c>
      <c r="S941" s="1">
        <f t="shared" si="72"/>
        <v>0.44</v>
      </c>
      <c r="T941">
        <f t="shared" si="73"/>
        <v>0.75</v>
      </c>
      <c r="U941" t="str">
        <f t="shared" si="74"/>
        <v>Apr</v>
      </c>
    </row>
    <row r="942" spans="1:21">
      <c r="A942" s="2">
        <v>46117</v>
      </c>
      <c r="B942" t="s">
        <v>6</v>
      </c>
      <c r="C942" t="s">
        <v>34</v>
      </c>
      <c r="D942" t="s">
        <v>5</v>
      </c>
      <c r="E942" t="s">
        <v>42</v>
      </c>
      <c r="F942" t="s">
        <v>45</v>
      </c>
      <c r="G942">
        <v>109</v>
      </c>
      <c r="H942">
        <v>18</v>
      </c>
      <c r="I942">
        <v>85</v>
      </c>
      <c r="J942">
        <v>99</v>
      </c>
      <c r="K942">
        <v>228</v>
      </c>
      <c r="L942">
        <v>137.44999999999999</v>
      </c>
      <c r="M942">
        <v>1962.57</v>
      </c>
      <c r="N942">
        <v>73468</v>
      </c>
      <c r="O942">
        <v>1599.97</v>
      </c>
      <c r="P942" s="1">
        <v>0.42</v>
      </c>
      <c r="Q942">
        <f t="shared" si="70"/>
        <v>127</v>
      </c>
      <c r="R942">
        <f t="shared" si="71"/>
        <v>117</v>
      </c>
      <c r="S942" s="1">
        <f t="shared" si="72"/>
        <v>0.33070866141732286</v>
      </c>
      <c r="T942">
        <f t="shared" si="73"/>
        <v>1.27</v>
      </c>
      <c r="U942" t="str">
        <f t="shared" si="74"/>
        <v>Apr</v>
      </c>
    </row>
    <row r="943" spans="1:21">
      <c r="A943" s="2">
        <v>46101</v>
      </c>
      <c r="B943" t="s">
        <v>6</v>
      </c>
      <c r="C943" t="s">
        <v>43</v>
      </c>
      <c r="D943" t="s">
        <v>10</v>
      </c>
      <c r="E943" t="s">
        <v>35</v>
      </c>
      <c r="F943" t="s">
        <v>45</v>
      </c>
      <c r="G943">
        <v>68</v>
      </c>
      <c r="H943">
        <v>53</v>
      </c>
      <c r="I943">
        <v>14</v>
      </c>
      <c r="J943">
        <v>67</v>
      </c>
      <c r="K943">
        <v>399</v>
      </c>
      <c r="L943">
        <v>109.78</v>
      </c>
      <c r="M943">
        <v>2011.2</v>
      </c>
      <c r="N943">
        <v>66083</v>
      </c>
      <c r="O943">
        <v>1495.9</v>
      </c>
      <c r="P943" s="1">
        <v>0.498</v>
      </c>
      <c r="Q943">
        <f t="shared" si="70"/>
        <v>121</v>
      </c>
      <c r="R943">
        <f t="shared" si="71"/>
        <v>120</v>
      </c>
      <c r="S943" s="1">
        <f t="shared" si="72"/>
        <v>0.88429752066115708</v>
      </c>
      <c r="T943">
        <f t="shared" si="73"/>
        <v>1.21</v>
      </c>
      <c r="U943" t="str">
        <f t="shared" si="74"/>
        <v>Mar</v>
      </c>
    </row>
    <row r="944" spans="1:21">
      <c r="A944" s="2">
        <v>46095</v>
      </c>
      <c r="B944" t="s">
        <v>4</v>
      </c>
      <c r="C944" t="s">
        <v>48</v>
      </c>
      <c r="D944" t="s">
        <v>10</v>
      </c>
      <c r="E944" t="s">
        <v>32</v>
      </c>
      <c r="F944" t="s">
        <v>39</v>
      </c>
      <c r="G944">
        <v>18</v>
      </c>
      <c r="H944">
        <v>24</v>
      </c>
      <c r="I944">
        <v>54</v>
      </c>
      <c r="J944">
        <v>105</v>
      </c>
      <c r="K944">
        <v>324</v>
      </c>
      <c r="L944">
        <v>103.75</v>
      </c>
      <c r="M944">
        <v>2200.5</v>
      </c>
      <c r="N944">
        <v>72765</v>
      </c>
      <c r="O944">
        <v>1687.95</v>
      </c>
      <c r="P944" s="1">
        <v>-0.44</v>
      </c>
      <c r="Q944">
        <f t="shared" si="70"/>
        <v>42</v>
      </c>
      <c r="R944">
        <f t="shared" si="71"/>
        <v>129</v>
      </c>
      <c r="S944" s="1">
        <f t="shared" si="72"/>
        <v>-0.2857142857142857</v>
      </c>
      <c r="T944">
        <f t="shared" si="73"/>
        <v>0.42</v>
      </c>
      <c r="U944" t="str">
        <f t="shared" si="74"/>
        <v>Mar</v>
      </c>
    </row>
    <row r="945" spans="1:21">
      <c r="A945" s="2">
        <v>46099</v>
      </c>
      <c r="B945" t="s">
        <v>6</v>
      </c>
      <c r="C945" t="s">
        <v>44</v>
      </c>
      <c r="D945" t="s">
        <v>11</v>
      </c>
      <c r="E945" t="s">
        <v>37</v>
      </c>
      <c r="F945" t="s">
        <v>49</v>
      </c>
      <c r="G945">
        <v>67</v>
      </c>
      <c r="H945">
        <v>34</v>
      </c>
      <c r="I945">
        <v>15</v>
      </c>
      <c r="J945">
        <v>133</v>
      </c>
      <c r="K945">
        <v>371</v>
      </c>
      <c r="L945">
        <v>108.16</v>
      </c>
      <c r="M945">
        <v>2387.71</v>
      </c>
      <c r="N945">
        <v>70746</v>
      </c>
      <c r="O945">
        <v>1525.29</v>
      </c>
      <c r="P945" s="1">
        <v>0.85</v>
      </c>
      <c r="Q945">
        <f t="shared" si="70"/>
        <v>101</v>
      </c>
      <c r="R945">
        <f t="shared" si="71"/>
        <v>167</v>
      </c>
      <c r="S945" s="1">
        <f t="shared" si="72"/>
        <v>0.85148514851485146</v>
      </c>
      <c r="T945">
        <f t="shared" si="73"/>
        <v>1.01</v>
      </c>
      <c r="U945" t="str">
        <f t="shared" si="74"/>
        <v>Mar</v>
      </c>
    </row>
    <row r="946" spans="1:21">
      <c r="A946" s="2">
        <v>46079</v>
      </c>
      <c r="B946" t="s">
        <v>6</v>
      </c>
      <c r="C946" t="s">
        <v>48</v>
      </c>
      <c r="D946" t="s">
        <v>11</v>
      </c>
      <c r="E946" t="s">
        <v>32</v>
      </c>
      <c r="F946" t="s">
        <v>49</v>
      </c>
      <c r="G946">
        <v>93</v>
      </c>
      <c r="H946">
        <v>25</v>
      </c>
      <c r="I946">
        <v>16</v>
      </c>
      <c r="J946">
        <v>39</v>
      </c>
      <c r="K946">
        <v>331</v>
      </c>
      <c r="L946">
        <v>104.46</v>
      </c>
      <c r="M946">
        <v>2177.84</v>
      </c>
      <c r="N946">
        <v>70821</v>
      </c>
      <c r="O946">
        <v>1637.91</v>
      </c>
      <c r="P946" s="1">
        <v>0.84699999999999998</v>
      </c>
      <c r="Q946">
        <f t="shared" si="70"/>
        <v>118</v>
      </c>
      <c r="R946">
        <f t="shared" si="71"/>
        <v>64</v>
      </c>
      <c r="S946" s="1">
        <f t="shared" si="72"/>
        <v>0.86440677966101698</v>
      </c>
      <c r="T946">
        <f t="shared" si="73"/>
        <v>1.18</v>
      </c>
      <c r="U946" t="str">
        <f t="shared" si="74"/>
        <v>Feb</v>
      </c>
    </row>
    <row r="947" spans="1:21">
      <c r="A947" s="2">
        <v>46099</v>
      </c>
      <c r="B947" t="s">
        <v>6</v>
      </c>
      <c r="C947" t="s">
        <v>36</v>
      </c>
      <c r="D947" t="s">
        <v>9</v>
      </c>
      <c r="E947" t="s">
        <v>42</v>
      </c>
      <c r="F947" t="s">
        <v>45</v>
      </c>
      <c r="G947">
        <v>90</v>
      </c>
      <c r="H947">
        <v>11</v>
      </c>
      <c r="I947">
        <v>34</v>
      </c>
      <c r="J947">
        <v>151</v>
      </c>
      <c r="K947">
        <v>211</v>
      </c>
      <c r="L947">
        <v>80.89</v>
      </c>
      <c r="M947">
        <v>2451.54</v>
      </c>
      <c r="N947">
        <v>72044</v>
      </c>
      <c r="O947">
        <v>1503.73</v>
      </c>
      <c r="P947" s="1">
        <v>-0.33600000000000002</v>
      </c>
      <c r="Q947">
        <f t="shared" si="70"/>
        <v>101</v>
      </c>
      <c r="R947">
        <f t="shared" si="71"/>
        <v>162</v>
      </c>
      <c r="S947" s="1">
        <f t="shared" si="72"/>
        <v>0.6633663366336634</v>
      </c>
      <c r="T947">
        <f t="shared" si="73"/>
        <v>1.01</v>
      </c>
      <c r="U947" t="str">
        <f t="shared" si="74"/>
        <v>Mar</v>
      </c>
    </row>
    <row r="948" spans="1:21">
      <c r="A948" s="2">
        <v>46104</v>
      </c>
      <c r="B948" t="s">
        <v>6</v>
      </c>
      <c r="C948" t="s">
        <v>40</v>
      </c>
      <c r="D948" t="s">
        <v>11</v>
      </c>
      <c r="E948" t="s">
        <v>37</v>
      </c>
      <c r="F948" t="s">
        <v>33</v>
      </c>
      <c r="G948">
        <v>107</v>
      </c>
      <c r="H948">
        <v>16</v>
      </c>
      <c r="I948">
        <v>67</v>
      </c>
      <c r="J948">
        <v>89</v>
      </c>
      <c r="K948">
        <v>15</v>
      </c>
      <c r="L948">
        <v>87.09</v>
      </c>
      <c r="M948">
        <v>1891.96</v>
      </c>
      <c r="N948">
        <v>72920</v>
      </c>
      <c r="O948">
        <v>1260.56</v>
      </c>
      <c r="P948" s="1">
        <v>0.60899999999999999</v>
      </c>
      <c r="Q948">
        <f t="shared" si="70"/>
        <v>123</v>
      </c>
      <c r="R948">
        <f t="shared" si="71"/>
        <v>105</v>
      </c>
      <c r="S948" s="1">
        <f t="shared" si="72"/>
        <v>0.45528455284552843</v>
      </c>
      <c r="T948">
        <f t="shared" si="73"/>
        <v>1.23</v>
      </c>
      <c r="U948" t="str">
        <f t="shared" si="74"/>
        <v>Mar</v>
      </c>
    </row>
    <row r="949" spans="1:21">
      <c r="A949" s="2">
        <v>46101</v>
      </c>
      <c r="B949" t="s">
        <v>4</v>
      </c>
      <c r="C949" t="s">
        <v>50</v>
      </c>
      <c r="D949" t="s">
        <v>11</v>
      </c>
      <c r="E949" t="s">
        <v>41</v>
      </c>
      <c r="F949" t="s">
        <v>33</v>
      </c>
      <c r="G949">
        <v>99</v>
      </c>
      <c r="H949">
        <v>53</v>
      </c>
      <c r="I949">
        <v>15</v>
      </c>
      <c r="J949">
        <v>54</v>
      </c>
      <c r="K949">
        <v>10</v>
      </c>
      <c r="L949">
        <v>122.44</v>
      </c>
      <c r="M949">
        <v>2332.16</v>
      </c>
      <c r="N949">
        <v>73903</v>
      </c>
      <c r="O949">
        <v>1146.1300000000001</v>
      </c>
      <c r="P949" s="1">
        <v>-0.69399999999999995</v>
      </c>
      <c r="Q949">
        <f t="shared" si="70"/>
        <v>152</v>
      </c>
      <c r="R949">
        <f t="shared" si="71"/>
        <v>107</v>
      </c>
      <c r="S949" s="1">
        <f t="shared" si="72"/>
        <v>0.90131578947368418</v>
      </c>
      <c r="T949">
        <f t="shared" si="73"/>
        <v>1.52</v>
      </c>
      <c r="U949" t="str">
        <f t="shared" si="74"/>
        <v>Mar</v>
      </c>
    </row>
    <row r="950" spans="1:21">
      <c r="A950" s="2">
        <v>46077</v>
      </c>
      <c r="B950" t="s">
        <v>6</v>
      </c>
      <c r="C950" t="s">
        <v>36</v>
      </c>
      <c r="D950" t="s">
        <v>5</v>
      </c>
      <c r="E950" t="s">
        <v>35</v>
      </c>
      <c r="F950" t="s">
        <v>49</v>
      </c>
      <c r="G950">
        <v>59</v>
      </c>
      <c r="H950">
        <v>54</v>
      </c>
      <c r="I950">
        <v>7</v>
      </c>
      <c r="J950">
        <v>121</v>
      </c>
      <c r="K950">
        <v>6</v>
      </c>
      <c r="L950">
        <v>122.35</v>
      </c>
      <c r="M950">
        <v>2094.83</v>
      </c>
      <c r="N950">
        <v>68855</v>
      </c>
      <c r="O950">
        <v>1274.28</v>
      </c>
      <c r="P950" s="1">
        <v>0.25600000000000001</v>
      </c>
      <c r="Q950">
        <f t="shared" si="70"/>
        <v>113</v>
      </c>
      <c r="R950">
        <f t="shared" si="71"/>
        <v>175</v>
      </c>
      <c r="S950" s="1">
        <f t="shared" si="72"/>
        <v>0.93805309734513276</v>
      </c>
      <c r="T950">
        <f t="shared" si="73"/>
        <v>1.1299999999999999</v>
      </c>
      <c r="U950" t="str">
        <f t="shared" si="74"/>
        <v>Feb</v>
      </c>
    </row>
    <row r="951" spans="1:21">
      <c r="A951" s="2">
        <v>46097</v>
      </c>
      <c r="B951" t="s">
        <v>4</v>
      </c>
      <c r="C951" t="s">
        <v>31</v>
      </c>
      <c r="D951" t="s">
        <v>7</v>
      </c>
      <c r="E951" t="s">
        <v>47</v>
      </c>
      <c r="F951" t="s">
        <v>39</v>
      </c>
      <c r="G951">
        <v>56</v>
      </c>
      <c r="H951">
        <v>62</v>
      </c>
      <c r="I951">
        <v>33</v>
      </c>
      <c r="J951">
        <v>97</v>
      </c>
      <c r="K951">
        <v>98</v>
      </c>
      <c r="L951">
        <v>139.21</v>
      </c>
      <c r="M951">
        <v>1923.05</v>
      </c>
      <c r="N951">
        <v>74366</v>
      </c>
      <c r="O951">
        <v>1535.72</v>
      </c>
      <c r="P951" s="1">
        <v>-0.216</v>
      </c>
      <c r="Q951">
        <f t="shared" si="70"/>
        <v>118</v>
      </c>
      <c r="R951">
        <f t="shared" si="71"/>
        <v>159</v>
      </c>
      <c r="S951" s="1">
        <f t="shared" si="72"/>
        <v>0.72033898305084743</v>
      </c>
      <c r="T951">
        <f t="shared" si="73"/>
        <v>1.18</v>
      </c>
      <c r="U951" t="str">
        <f t="shared" si="74"/>
        <v>Mar</v>
      </c>
    </row>
    <row r="952" spans="1:21">
      <c r="A952" s="2">
        <v>46082</v>
      </c>
      <c r="B952" t="s">
        <v>6</v>
      </c>
      <c r="C952" t="s">
        <v>44</v>
      </c>
      <c r="D952" t="s">
        <v>10</v>
      </c>
      <c r="E952" t="s">
        <v>42</v>
      </c>
      <c r="F952" t="s">
        <v>39</v>
      </c>
      <c r="G952">
        <v>22</v>
      </c>
      <c r="H952">
        <v>38</v>
      </c>
      <c r="I952">
        <v>49</v>
      </c>
      <c r="J952">
        <v>153</v>
      </c>
      <c r="K952">
        <v>447</v>
      </c>
      <c r="L952">
        <v>95.6</v>
      </c>
      <c r="M952">
        <v>2072.6</v>
      </c>
      <c r="N952">
        <v>71441</v>
      </c>
      <c r="O952">
        <v>1655.51</v>
      </c>
      <c r="P952" s="1">
        <v>0.64900000000000002</v>
      </c>
      <c r="Q952">
        <f t="shared" si="70"/>
        <v>60</v>
      </c>
      <c r="R952">
        <f t="shared" si="71"/>
        <v>191</v>
      </c>
      <c r="S952" s="1">
        <f t="shared" si="72"/>
        <v>0.18333333333333332</v>
      </c>
      <c r="T952">
        <f t="shared" si="73"/>
        <v>0.6</v>
      </c>
      <c r="U952" t="str">
        <f t="shared" si="74"/>
        <v>Mar</v>
      </c>
    </row>
    <row r="953" spans="1:21">
      <c r="A953" s="2">
        <v>46070</v>
      </c>
      <c r="B953" t="s">
        <v>4</v>
      </c>
      <c r="C953" t="s">
        <v>44</v>
      </c>
      <c r="D953" t="s">
        <v>5</v>
      </c>
      <c r="E953" t="s">
        <v>35</v>
      </c>
      <c r="F953" t="s">
        <v>33</v>
      </c>
      <c r="G953">
        <v>14</v>
      </c>
      <c r="H953">
        <v>41</v>
      </c>
      <c r="I953">
        <v>26</v>
      </c>
      <c r="J953">
        <v>113</v>
      </c>
      <c r="K953">
        <v>15</v>
      </c>
      <c r="L953">
        <v>84.09</v>
      </c>
      <c r="M953">
        <v>1929.45</v>
      </c>
      <c r="N953">
        <v>75430</v>
      </c>
      <c r="O953">
        <v>1538.98</v>
      </c>
      <c r="P953" s="1">
        <v>-0.443</v>
      </c>
      <c r="Q953">
        <f t="shared" si="70"/>
        <v>55</v>
      </c>
      <c r="R953">
        <f t="shared" si="71"/>
        <v>154</v>
      </c>
      <c r="S953" s="1">
        <f t="shared" si="72"/>
        <v>0.52727272727272723</v>
      </c>
      <c r="T953">
        <f t="shared" si="73"/>
        <v>0.55000000000000004</v>
      </c>
      <c r="U953" t="str">
        <f t="shared" si="74"/>
        <v>Feb</v>
      </c>
    </row>
    <row r="954" spans="1:21">
      <c r="A954" s="2">
        <v>46077</v>
      </c>
      <c r="B954" t="s">
        <v>6</v>
      </c>
      <c r="C954" t="s">
        <v>44</v>
      </c>
      <c r="D954" t="s">
        <v>5</v>
      </c>
      <c r="E954" t="s">
        <v>37</v>
      </c>
      <c r="F954" t="s">
        <v>39</v>
      </c>
      <c r="G954">
        <v>105</v>
      </c>
      <c r="H954">
        <v>60</v>
      </c>
      <c r="I954">
        <v>2</v>
      </c>
      <c r="J954">
        <v>102</v>
      </c>
      <c r="K954">
        <v>445</v>
      </c>
      <c r="L954">
        <v>130.93</v>
      </c>
      <c r="M954">
        <v>1995.99</v>
      </c>
      <c r="N954">
        <v>66593</v>
      </c>
      <c r="O954">
        <v>1685.72</v>
      </c>
      <c r="P954" s="1">
        <v>-0.70699999999999996</v>
      </c>
      <c r="Q954">
        <f t="shared" si="70"/>
        <v>165</v>
      </c>
      <c r="R954">
        <f t="shared" si="71"/>
        <v>162</v>
      </c>
      <c r="S954" s="1">
        <f t="shared" si="72"/>
        <v>0.98787878787878791</v>
      </c>
      <c r="T954">
        <f t="shared" si="73"/>
        <v>1.65</v>
      </c>
      <c r="U954" t="str">
        <f t="shared" si="74"/>
        <v>Feb</v>
      </c>
    </row>
    <row r="955" spans="1:21">
      <c r="A955" s="2">
        <v>46079</v>
      </c>
      <c r="B955" t="s">
        <v>4</v>
      </c>
      <c r="C955" t="s">
        <v>44</v>
      </c>
      <c r="D955" t="s">
        <v>11</v>
      </c>
      <c r="E955" t="s">
        <v>38</v>
      </c>
      <c r="F955" t="s">
        <v>33</v>
      </c>
      <c r="G955">
        <v>48</v>
      </c>
      <c r="H955">
        <v>27</v>
      </c>
      <c r="I955">
        <v>86</v>
      </c>
      <c r="J955">
        <v>118</v>
      </c>
      <c r="K955">
        <v>206</v>
      </c>
      <c r="L955">
        <v>103.04</v>
      </c>
      <c r="M955">
        <v>2165.69</v>
      </c>
      <c r="N955">
        <v>64866</v>
      </c>
      <c r="O955">
        <v>1413.21</v>
      </c>
      <c r="P955" s="1">
        <v>-0.316</v>
      </c>
      <c r="Q955">
        <f t="shared" si="70"/>
        <v>75</v>
      </c>
      <c r="R955">
        <f t="shared" si="71"/>
        <v>145</v>
      </c>
      <c r="S955" s="1">
        <f t="shared" si="72"/>
        <v>-0.14666666666666667</v>
      </c>
      <c r="T955">
        <f t="shared" si="73"/>
        <v>0.75</v>
      </c>
      <c r="U955" t="str">
        <f t="shared" si="74"/>
        <v>Feb</v>
      </c>
    </row>
    <row r="956" spans="1:21">
      <c r="A956" s="2">
        <v>46122</v>
      </c>
      <c r="B956" t="s">
        <v>4</v>
      </c>
      <c r="C956" t="s">
        <v>50</v>
      </c>
      <c r="D956" t="s">
        <v>5</v>
      </c>
      <c r="E956" t="s">
        <v>32</v>
      </c>
      <c r="F956" t="s">
        <v>45</v>
      </c>
      <c r="G956">
        <v>102</v>
      </c>
      <c r="H956">
        <v>40</v>
      </c>
      <c r="I956">
        <v>78</v>
      </c>
      <c r="J956">
        <v>98</v>
      </c>
      <c r="K956">
        <v>106</v>
      </c>
      <c r="L956">
        <v>80.739999999999995</v>
      </c>
      <c r="M956">
        <v>2150.06</v>
      </c>
      <c r="N956">
        <v>67528</v>
      </c>
      <c r="O956">
        <v>1576.45</v>
      </c>
      <c r="P956" s="1">
        <v>-0.13500000000000001</v>
      </c>
      <c r="Q956">
        <f t="shared" si="70"/>
        <v>142</v>
      </c>
      <c r="R956">
        <f t="shared" si="71"/>
        <v>138</v>
      </c>
      <c r="S956" s="1">
        <f t="shared" si="72"/>
        <v>0.45070422535211269</v>
      </c>
      <c r="T956">
        <f t="shared" si="73"/>
        <v>1.42</v>
      </c>
      <c r="U956" t="str">
        <f t="shared" si="74"/>
        <v>Apr</v>
      </c>
    </row>
    <row r="957" spans="1:21">
      <c r="A957" s="2">
        <v>46125</v>
      </c>
      <c r="B957" t="s">
        <v>4</v>
      </c>
      <c r="C957" t="s">
        <v>51</v>
      </c>
      <c r="D957" t="s">
        <v>7</v>
      </c>
      <c r="E957" t="s">
        <v>35</v>
      </c>
      <c r="F957" t="s">
        <v>45</v>
      </c>
      <c r="G957">
        <v>34</v>
      </c>
      <c r="H957">
        <v>57</v>
      </c>
      <c r="I957">
        <v>11</v>
      </c>
      <c r="J957">
        <v>128</v>
      </c>
      <c r="K957">
        <v>374</v>
      </c>
      <c r="L957">
        <v>81.680000000000007</v>
      </c>
      <c r="M957">
        <v>2008.33</v>
      </c>
      <c r="N957">
        <v>66507</v>
      </c>
      <c r="O957">
        <v>1574.1</v>
      </c>
      <c r="P957" s="1">
        <v>0.80200000000000005</v>
      </c>
      <c r="Q957">
        <f t="shared" si="70"/>
        <v>91</v>
      </c>
      <c r="R957">
        <f t="shared" si="71"/>
        <v>185</v>
      </c>
      <c r="S957" s="1">
        <f t="shared" si="72"/>
        <v>0.87912087912087911</v>
      </c>
      <c r="T957">
        <f t="shared" si="73"/>
        <v>0.91</v>
      </c>
      <c r="U957" t="str">
        <f t="shared" si="74"/>
        <v>Apr</v>
      </c>
    </row>
    <row r="958" spans="1:21">
      <c r="A958" s="2">
        <v>46125</v>
      </c>
      <c r="B958" t="s">
        <v>4</v>
      </c>
      <c r="C958" t="s">
        <v>46</v>
      </c>
      <c r="D958" t="s">
        <v>11</v>
      </c>
      <c r="E958" t="s">
        <v>42</v>
      </c>
      <c r="F958" t="s">
        <v>33</v>
      </c>
      <c r="G958">
        <v>76</v>
      </c>
      <c r="H958">
        <v>15</v>
      </c>
      <c r="I958">
        <v>43</v>
      </c>
      <c r="J958">
        <v>135</v>
      </c>
      <c r="K958">
        <v>166</v>
      </c>
      <c r="L958">
        <v>118.45</v>
      </c>
      <c r="M958">
        <v>1986.4</v>
      </c>
      <c r="N958">
        <v>70324</v>
      </c>
      <c r="O958">
        <v>1310.97</v>
      </c>
      <c r="P958" s="1">
        <v>0.80200000000000005</v>
      </c>
      <c r="Q958">
        <f t="shared" si="70"/>
        <v>91</v>
      </c>
      <c r="R958">
        <f t="shared" si="71"/>
        <v>150</v>
      </c>
      <c r="S958" s="1">
        <f t="shared" si="72"/>
        <v>0.52747252747252749</v>
      </c>
      <c r="T958">
        <f t="shared" si="73"/>
        <v>0.91</v>
      </c>
      <c r="U958" t="str">
        <f t="shared" si="74"/>
        <v>Apr</v>
      </c>
    </row>
    <row r="959" spans="1:21">
      <c r="A959" s="2">
        <v>46069</v>
      </c>
      <c r="B959" t="s">
        <v>6</v>
      </c>
      <c r="C959" t="s">
        <v>43</v>
      </c>
      <c r="D959" t="s">
        <v>5</v>
      </c>
      <c r="E959" t="s">
        <v>47</v>
      </c>
      <c r="F959" t="s">
        <v>45</v>
      </c>
      <c r="G959">
        <v>54</v>
      </c>
      <c r="H959">
        <v>18</v>
      </c>
      <c r="I959">
        <v>35</v>
      </c>
      <c r="J959">
        <v>103</v>
      </c>
      <c r="K959">
        <v>146</v>
      </c>
      <c r="L959">
        <v>85.08</v>
      </c>
      <c r="M959">
        <v>2380.4</v>
      </c>
      <c r="N959">
        <v>74265</v>
      </c>
      <c r="O959">
        <v>1651.94</v>
      </c>
      <c r="P959" s="1">
        <v>0.69299999999999995</v>
      </c>
      <c r="Q959">
        <f t="shared" si="70"/>
        <v>72</v>
      </c>
      <c r="R959">
        <f t="shared" si="71"/>
        <v>121</v>
      </c>
      <c r="S959" s="1">
        <f t="shared" si="72"/>
        <v>0.51388888888888884</v>
      </c>
      <c r="T959">
        <f t="shared" si="73"/>
        <v>0.72</v>
      </c>
      <c r="U959" t="str">
        <f t="shared" si="74"/>
        <v>Feb</v>
      </c>
    </row>
    <row r="960" spans="1:21">
      <c r="A960" s="2">
        <v>46102</v>
      </c>
      <c r="B960" t="s">
        <v>6</v>
      </c>
      <c r="C960" t="s">
        <v>44</v>
      </c>
      <c r="D960" t="s">
        <v>11</v>
      </c>
      <c r="E960" t="s">
        <v>41</v>
      </c>
      <c r="F960" t="s">
        <v>39</v>
      </c>
      <c r="G960">
        <v>69</v>
      </c>
      <c r="H960">
        <v>8</v>
      </c>
      <c r="I960">
        <v>46</v>
      </c>
      <c r="J960">
        <v>16</v>
      </c>
      <c r="K960">
        <v>153</v>
      </c>
      <c r="L960">
        <v>104.87</v>
      </c>
      <c r="M960">
        <v>1937.44</v>
      </c>
      <c r="N960">
        <v>65606</v>
      </c>
      <c r="O960">
        <v>1021.91</v>
      </c>
      <c r="P960" s="1">
        <v>0.72</v>
      </c>
      <c r="Q960">
        <f t="shared" si="70"/>
        <v>77</v>
      </c>
      <c r="R960">
        <f t="shared" si="71"/>
        <v>24</v>
      </c>
      <c r="S960" s="1">
        <f t="shared" si="72"/>
        <v>0.40259740259740262</v>
      </c>
      <c r="T960">
        <f t="shared" si="73"/>
        <v>0.77</v>
      </c>
      <c r="U960" t="str">
        <f t="shared" si="74"/>
        <v>Mar</v>
      </c>
    </row>
    <row r="961" spans="1:21">
      <c r="A961" s="2">
        <v>46085</v>
      </c>
      <c r="B961" t="s">
        <v>4</v>
      </c>
      <c r="C961" t="s">
        <v>36</v>
      </c>
      <c r="D961" t="s">
        <v>11</v>
      </c>
      <c r="E961" t="s">
        <v>42</v>
      </c>
      <c r="F961" t="s">
        <v>45</v>
      </c>
      <c r="G961">
        <v>117</v>
      </c>
      <c r="H961">
        <v>29</v>
      </c>
      <c r="I961">
        <v>8</v>
      </c>
      <c r="J961">
        <v>72</v>
      </c>
      <c r="K961">
        <v>204</v>
      </c>
      <c r="L961">
        <v>111.64</v>
      </c>
      <c r="M961">
        <v>2226.42</v>
      </c>
      <c r="N961">
        <v>74166</v>
      </c>
      <c r="O961">
        <v>1134.71</v>
      </c>
      <c r="P961" s="1">
        <v>0.11799999999999999</v>
      </c>
      <c r="Q961">
        <f t="shared" si="70"/>
        <v>146</v>
      </c>
      <c r="R961">
        <f t="shared" si="71"/>
        <v>101</v>
      </c>
      <c r="S961" s="1">
        <f t="shared" si="72"/>
        <v>0.9452054794520548</v>
      </c>
      <c r="T961">
        <f t="shared" si="73"/>
        <v>1.46</v>
      </c>
      <c r="U961" t="str">
        <f t="shared" si="74"/>
        <v>Mar</v>
      </c>
    </row>
    <row r="962" spans="1:21">
      <c r="A962" s="2">
        <v>46073</v>
      </c>
      <c r="B962" t="s">
        <v>6</v>
      </c>
      <c r="C962" t="s">
        <v>40</v>
      </c>
      <c r="D962" t="s">
        <v>5</v>
      </c>
      <c r="E962" t="s">
        <v>38</v>
      </c>
      <c r="F962" t="s">
        <v>39</v>
      </c>
      <c r="G962">
        <v>80</v>
      </c>
      <c r="H962">
        <v>69</v>
      </c>
      <c r="I962">
        <v>22</v>
      </c>
      <c r="J962">
        <v>44</v>
      </c>
      <c r="K962">
        <v>266</v>
      </c>
      <c r="L962">
        <v>98.76</v>
      </c>
      <c r="M962">
        <v>2436.92</v>
      </c>
      <c r="N962">
        <v>67450</v>
      </c>
      <c r="O962">
        <v>1305.8499999999999</v>
      </c>
      <c r="P962" s="1">
        <v>0.377</v>
      </c>
      <c r="Q962">
        <f t="shared" si="70"/>
        <v>149</v>
      </c>
      <c r="R962">
        <f t="shared" si="71"/>
        <v>113</v>
      </c>
      <c r="S962" s="1">
        <f t="shared" si="72"/>
        <v>0.8523489932885906</v>
      </c>
      <c r="T962">
        <f t="shared" si="73"/>
        <v>1.49</v>
      </c>
      <c r="U962" t="str">
        <f t="shared" si="74"/>
        <v>Feb</v>
      </c>
    </row>
    <row r="963" spans="1:21">
      <c r="A963" s="2">
        <v>46115</v>
      </c>
      <c r="B963" t="s">
        <v>6</v>
      </c>
      <c r="C963" t="s">
        <v>43</v>
      </c>
      <c r="D963" t="s">
        <v>7</v>
      </c>
      <c r="E963" t="s">
        <v>38</v>
      </c>
      <c r="F963" t="s">
        <v>33</v>
      </c>
      <c r="G963">
        <v>0</v>
      </c>
      <c r="H963">
        <v>8</v>
      </c>
      <c r="I963">
        <v>48</v>
      </c>
      <c r="J963">
        <v>64</v>
      </c>
      <c r="K963">
        <v>219</v>
      </c>
      <c r="L963">
        <v>92.34</v>
      </c>
      <c r="M963">
        <v>2303.73</v>
      </c>
      <c r="N963">
        <v>72313</v>
      </c>
      <c r="O963">
        <v>1710.2</v>
      </c>
      <c r="P963" s="1">
        <v>0.112</v>
      </c>
      <c r="Q963">
        <f t="shared" ref="Q963:Q1026" si="75">G963+H963</f>
        <v>8</v>
      </c>
      <c r="R963">
        <f t="shared" ref="R963:R1026" si="76">J963+H963</f>
        <v>72</v>
      </c>
      <c r="S963" s="1">
        <f t="shared" ref="S963:S1026" si="77">(Q963-I963)/(Q963)</f>
        <v>-5</v>
      </c>
      <c r="T963">
        <f t="shared" ref="T963:T1026" si="78">Q963/100</f>
        <v>0.08</v>
      </c>
      <c r="U963" t="str">
        <f t="shared" ref="U963:U1026" si="79">TEXT(A963,"mmm")</f>
        <v>Apr</v>
      </c>
    </row>
    <row r="964" spans="1:21">
      <c r="A964" s="2">
        <v>46127</v>
      </c>
      <c r="B964" t="s">
        <v>4</v>
      </c>
      <c r="C964" t="s">
        <v>31</v>
      </c>
      <c r="D964" t="s">
        <v>11</v>
      </c>
      <c r="E964" t="s">
        <v>37</v>
      </c>
      <c r="F964" t="s">
        <v>45</v>
      </c>
      <c r="G964">
        <v>42</v>
      </c>
      <c r="H964">
        <v>28</v>
      </c>
      <c r="I964">
        <v>19</v>
      </c>
      <c r="J964">
        <v>35</v>
      </c>
      <c r="K964">
        <v>295</v>
      </c>
      <c r="L964">
        <v>130.38999999999999</v>
      </c>
      <c r="M964">
        <v>2089.33</v>
      </c>
      <c r="N964">
        <v>64355</v>
      </c>
      <c r="O964">
        <v>1482.53</v>
      </c>
      <c r="P964" s="1">
        <v>-0.59699999999999998</v>
      </c>
      <c r="Q964">
        <f t="shared" si="75"/>
        <v>70</v>
      </c>
      <c r="R964">
        <f t="shared" si="76"/>
        <v>63</v>
      </c>
      <c r="S964" s="1">
        <f t="shared" si="77"/>
        <v>0.72857142857142854</v>
      </c>
      <c r="T964">
        <f t="shared" si="78"/>
        <v>0.7</v>
      </c>
      <c r="U964" t="str">
        <f t="shared" si="79"/>
        <v>Apr</v>
      </c>
    </row>
    <row r="965" spans="1:21">
      <c r="A965" s="2">
        <v>46106</v>
      </c>
      <c r="B965" t="s">
        <v>4</v>
      </c>
      <c r="C965" t="s">
        <v>44</v>
      </c>
      <c r="D965" t="s">
        <v>9</v>
      </c>
      <c r="E965" t="s">
        <v>32</v>
      </c>
      <c r="F965" t="s">
        <v>33</v>
      </c>
      <c r="G965">
        <v>114</v>
      </c>
      <c r="H965">
        <v>1</v>
      </c>
      <c r="I965">
        <v>21</v>
      </c>
      <c r="J965">
        <v>82</v>
      </c>
      <c r="K965">
        <v>327</v>
      </c>
      <c r="L965">
        <v>113.97</v>
      </c>
      <c r="M965">
        <v>2115.16</v>
      </c>
      <c r="N965">
        <v>67346</v>
      </c>
      <c r="O965">
        <v>931.48</v>
      </c>
      <c r="P965" s="1">
        <v>0.73899999999999999</v>
      </c>
      <c r="Q965">
        <f t="shared" si="75"/>
        <v>115</v>
      </c>
      <c r="R965">
        <f t="shared" si="76"/>
        <v>83</v>
      </c>
      <c r="S965" s="1">
        <f t="shared" si="77"/>
        <v>0.81739130434782614</v>
      </c>
      <c r="T965">
        <f t="shared" si="78"/>
        <v>1.1499999999999999</v>
      </c>
      <c r="U965" t="str">
        <f t="shared" si="79"/>
        <v>Mar</v>
      </c>
    </row>
    <row r="966" spans="1:21">
      <c r="A966" s="2">
        <v>46099</v>
      </c>
      <c r="B966" t="s">
        <v>4</v>
      </c>
      <c r="C966" t="s">
        <v>48</v>
      </c>
      <c r="D966" t="s">
        <v>11</v>
      </c>
      <c r="E966" t="s">
        <v>47</v>
      </c>
      <c r="F966" t="s">
        <v>33</v>
      </c>
      <c r="G966">
        <v>26</v>
      </c>
      <c r="H966">
        <v>29</v>
      </c>
      <c r="I966">
        <v>61</v>
      </c>
      <c r="J966">
        <v>140</v>
      </c>
      <c r="K966">
        <v>16</v>
      </c>
      <c r="L966">
        <v>136.69999999999999</v>
      </c>
      <c r="M966">
        <v>2401.7600000000002</v>
      </c>
      <c r="N966">
        <v>72305</v>
      </c>
      <c r="O966">
        <v>1378.67</v>
      </c>
      <c r="P966" s="1">
        <v>0.57199999999999995</v>
      </c>
      <c r="Q966">
        <f t="shared" si="75"/>
        <v>55</v>
      </c>
      <c r="R966">
        <f t="shared" si="76"/>
        <v>169</v>
      </c>
      <c r="S966" s="1">
        <f t="shared" si="77"/>
        <v>-0.10909090909090909</v>
      </c>
      <c r="T966">
        <f t="shared" si="78"/>
        <v>0.55000000000000004</v>
      </c>
      <c r="U966" t="str">
        <f t="shared" si="79"/>
        <v>Mar</v>
      </c>
    </row>
    <row r="967" spans="1:21">
      <c r="A967" s="2">
        <v>46118</v>
      </c>
      <c r="B967" t="s">
        <v>6</v>
      </c>
      <c r="C967" t="s">
        <v>34</v>
      </c>
      <c r="D967" t="s">
        <v>7</v>
      </c>
      <c r="E967" t="s">
        <v>38</v>
      </c>
      <c r="F967" t="s">
        <v>49</v>
      </c>
      <c r="G967">
        <v>5</v>
      </c>
      <c r="H967">
        <v>65</v>
      </c>
      <c r="I967">
        <v>16</v>
      </c>
      <c r="J967">
        <v>143</v>
      </c>
      <c r="K967">
        <v>29</v>
      </c>
      <c r="L967">
        <v>106.63</v>
      </c>
      <c r="M967">
        <v>2455.34</v>
      </c>
      <c r="N967">
        <v>66113</v>
      </c>
      <c r="O967">
        <v>1467.67</v>
      </c>
      <c r="P967" s="1">
        <v>-0.877</v>
      </c>
      <c r="Q967">
        <f t="shared" si="75"/>
        <v>70</v>
      </c>
      <c r="R967">
        <f t="shared" si="76"/>
        <v>208</v>
      </c>
      <c r="S967" s="1">
        <f t="shared" si="77"/>
        <v>0.77142857142857146</v>
      </c>
      <c r="T967">
        <f t="shared" si="78"/>
        <v>0.7</v>
      </c>
      <c r="U967" t="str">
        <f t="shared" si="79"/>
        <v>Apr</v>
      </c>
    </row>
    <row r="968" spans="1:21">
      <c r="A968" s="2">
        <v>46082</v>
      </c>
      <c r="B968" t="s">
        <v>6</v>
      </c>
      <c r="C968" t="s">
        <v>34</v>
      </c>
      <c r="D968" t="s">
        <v>7</v>
      </c>
      <c r="E968" t="s">
        <v>35</v>
      </c>
      <c r="F968" t="s">
        <v>39</v>
      </c>
      <c r="G968">
        <v>14</v>
      </c>
      <c r="H968">
        <v>60</v>
      </c>
      <c r="I968">
        <v>45</v>
      </c>
      <c r="J968">
        <v>18</v>
      </c>
      <c r="K968">
        <v>295</v>
      </c>
      <c r="L968">
        <v>130.06</v>
      </c>
      <c r="M968">
        <v>2172.7199999999998</v>
      </c>
      <c r="N968">
        <v>67375</v>
      </c>
      <c r="O968">
        <v>1266.9100000000001</v>
      </c>
      <c r="P968" s="1">
        <v>-0.67300000000000004</v>
      </c>
      <c r="Q968">
        <f t="shared" si="75"/>
        <v>74</v>
      </c>
      <c r="R968">
        <f t="shared" si="76"/>
        <v>78</v>
      </c>
      <c r="S968" s="1">
        <f t="shared" si="77"/>
        <v>0.39189189189189189</v>
      </c>
      <c r="T968">
        <f t="shared" si="78"/>
        <v>0.74</v>
      </c>
      <c r="U968" t="str">
        <f t="shared" si="79"/>
        <v>Mar</v>
      </c>
    </row>
    <row r="969" spans="1:21">
      <c r="A969" s="2">
        <v>46122</v>
      </c>
      <c r="B969" t="s">
        <v>6</v>
      </c>
      <c r="C969" t="s">
        <v>43</v>
      </c>
      <c r="D969" t="s">
        <v>5</v>
      </c>
      <c r="E969" t="s">
        <v>37</v>
      </c>
      <c r="F969" t="s">
        <v>49</v>
      </c>
      <c r="G969">
        <v>28</v>
      </c>
      <c r="H969">
        <v>63</v>
      </c>
      <c r="I969">
        <v>76</v>
      </c>
      <c r="J969">
        <v>40</v>
      </c>
      <c r="K969">
        <v>83</v>
      </c>
      <c r="L969">
        <v>107.29</v>
      </c>
      <c r="M969">
        <v>2249.35</v>
      </c>
      <c r="N969">
        <v>73404</v>
      </c>
      <c r="O969">
        <v>1498.22</v>
      </c>
      <c r="P969" s="1">
        <v>0.126</v>
      </c>
      <c r="Q969">
        <f t="shared" si="75"/>
        <v>91</v>
      </c>
      <c r="R969">
        <f t="shared" si="76"/>
        <v>103</v>
      </c>
      <c r="S969" s="1">
        <f t="shared" si="77"/>
        <v>0.16483516483516483</v>
      </c>
      <c r="T969">
        <f t="shared" si="78"/>
        <v>0.91</v>
      </c>
      <c r="U969" t="str">
        <f t="shared" si="79"/>
        <v>Apr</v>
      </c>
    </row>
    <row r="970" spans="1:21">
      <c r="A970" s="2">
        <v>46124</v>
      </c>
      <c r="B970" t="s">
        <v>4</v>
      </c>
      <c r="C970" t="s">
        <v>46</v>
      </c>
      <c r="D970" t="s">
        <v>10</v>
      </c>
      <c r="E970" t="s">
        <v>41</v>
      </c>
      <c r="F970" t="s">
        <v>33</v>
      </c>
      <c r="G970">
        <v>86</v>
      </c>
      <c r="H970">
        <v>64</v>
      </c>
      <c r="I970">
        <v>19</v>
      </c>
      <c r="J970">
        <v>114</v>
      </c>
      <c r="K970">
        <v>198</v>
      </c>
      <c r="L970">
        <v>95.35</v>
      </c>
      <c r="M970">
        <v>2341.0300000000002</v>
      </c>
      <c r="N970">
        <v>70334</v>
      </c>
      <c r="O970">
        <v>1341.31</v>
      </c>
      <c r="P970" s="1">
        <v>-8.7999999999999995E-2</v>
      </c>
      <c r="Q970">
        <f t="shared" si="75"/>
        <v>150</v>
      </c>
      <c r="R970">
        <f t="shared" si="76"/>
        <v>178</v>
      </c>
      <c r="S970" s="1">
        <f t="shared" si="77"/>
        <v>0.87333333333333329</v>
      </c>
      <c r="T970">
        <f t="shared" si="78"/>
        <v>1.5</v>
      </c>
      <c r="U970" t="str">
        <f t="shared" si="79"/>
        <v>Apr</v>
      </c>
    </row>
    <row r="971" spans="1:21">
      <c r="A971" s="2">
        <v>46085</v>
      </c>
      <c r="B971" t="s">
        <v>6</v>
      </c>
      <c r="C971" t="s">
        <v>31</v>
      </c>
      <c r="D971" t="s">
        <v>10</v>
      </c>
      <c r="E971" t="s">
        <v>37</v>
      </c>
      <c r="F971" t="s">
        <v>49</v>
      </c>
      <c r="G971">
        <v>17</v>
      </c>
      <c r="H971">
        <v>60</v>
      </c>
      <c r="I971">
        <v>21</v>
      </c>
      <c r="J971">
        <v>108</v>
      </c>
      <c r="K971">
        <v>360</v>
      </c>
      <c r="L971">
        <v>91.81</v>
      </c>
      <c r="M971">
        <v>1920.43</v>
      </c>
      <c r="N971">
        <v>64049</v>
      </c>
      <c r="O971">
        <v>1221.27</v>
      </c>
      <c r="P971" s="1">
        <v>-0.22700000000000001</v>
      </c>
      <c r="Q971">
        <f t="shared" si="75"/>
        <v>77</v>
      </c>
      <c r="R971">
        <f t="shared" si="76"/>
        <v>168</v>
      </c>
      <c r="S971" s="1">
        <f t="shared" si="77"/>
        <v>0.72727272727272729</v>
      </c>
      <c r="T971">
        <f t="shared" si="78"/>
        <v>0.77</v>
      </c>
      <c r="U971" t="str">
        <f t="shared" si="79"/>
        <v>Mar</v>
      </c>
    </row>
    <row r="972" spans="1:21">
      <c r="A972" s="2">
        <v>46090</v>
      </c>
      <c r="B972" t="s">
        <v>4</v>
      </c>
      <c r="C972" t="s">
        <v>43</v>
      </c>
      <c r="D972" t="s">
        <v>11</v>
      </c>
      <c r="E972" t="s">
        <v>35</v>
      </c>
      <c r="F972" t="s">
        <v>45</v>
      </c>
      <c r="G972">
        <v>29</v>
      </c>
      <c r="H972">
        <v>11</v>
      </c>
      <c r="I972">
        <v>55</v>
      </c>
      <c r="J972">
        <v>9</v>
      </c>
      <c r="K972">
        <v>187</v>
      </c>
      <c r="L972">
        <v>96.83</v>
      </c>
      <c r="M972">
        <v>2315.9699999999998</v>
      </c>
      <c r="N972">
        <v>74865</v>
      </c>
      <c r="O972">
        <v>1126.8</v>
      </c>
      <c r="P972" s="1">
        <v>-0.85</v>
      </c>
      <c r="Q972">
        <f t="shared" si="75"/>
        <v>40</v>
      </c>
      <c r="R972">
        <f t="shared" si="76"/>
        <v>20</v>
      </c>
      <c r="S972" s="1">
        <f t="shared" si="77"/>
        <v>-0.375</v>
      </c>
      <c r="T972">
        <f t="shared" si="78"/>
        <v>0.4</v>
      </c>
      <c r="U972" t="str">
        <f t="shared" si="79"/>
        <v>Mar</v>
      </c>
    </row>
    <row r="973" spans="1:21">
      <c r="A973" s="2">
        <v>46084</v>
      </c>
      <c r="B973" t="s">
        <v>6</v>
      </c>
      <c r="C973" t="s">
        <v>43</v>
      </c>
      <c r="D973" t="s">
        <v>9</v>
      </c>
      <c r="E973" t="s">
        <v>37</v>
      </c>
      <c r="F973" t="s">
        <v>33</v>
      </c>
      <c r="G973">
        <v>39</v>
      </c>
      <c r="H973">
        <v>58</v>
      </c>
      <c r="I973">
        <v>11</v>
      </c>
      <c r="J973">
        <v>14</v>
      </c>
      <c r="K973">
        <v>95</v>
      </c>
      <c r="L973">
        <v>126.34</v>
      </c>
      <c r="M973">
        <v>1935.68</v>
      </c>
      <c r="N973">
        <v>69978</v>
      </c>
      <c r="O973">
        <v>1241.28</v>
      </c>
      <c r="P973" s="1">
        <v>0.61599999999999999</v>
      </c>
      <c r="Q973">
        <f t="shared" si="75"/>
        <v>97</v>
      </c>
      <c r="R973">
        <f t="shared" si="76"/>
        <v>72</v>
      </c>
      <c r="S973" s="1">
        <f t="shared" si="77"/>
        <v>0.88659793814432986</v>
      </c>
      <c r="T973">
        <f t="shared" si="78"/>
        <v>0.97</v>
      </c>
      <c r="U973" t="str">
        <f t="shared" si="79"/>
        <v>Mar</v>
      </c>
    </row>
    <row r="974" spans="1:21">
      <c r="A974" s="2">
        <v>46116</v>
      </c>
      <c r="B974" t="s">
        <v>4</v>
      </c>
      <c r="C974" t="s">
        <v>40</v>
      </c>
      <c r="D974" t="s">
        <v>9</v>
      </c>
      <c r="E974" t="s">
        <v>38</v>
      </c>
      <c r="F974" t="s">
        <v>39</v>
      </c>
      <c r="G974">
        <v>119</v>
      </c>
      <c r="H974">
        <v>25</v>
      </c>
      <c r="I974">
        <v>9</v>
      </c>
      <c r="J974">
        <v>150</v>
      </c>
      <c r="K974">
        <v>375</v>
      </c>
      <c r="L974">
        <v>85.61</v>
      </c>
      <c r="M974">
        <v>2462.14</v>
      </c>
      <c r="N974">
        <v>67255</v>
      </c>
      <c r="O974">
        <v>1775.56</v>
      </c>
      <c r="P974" s="1">
        <v>-0.56499999999999995</v>
      </c>
      <c r="Q974">
        <f t="shared" si="75"/>
        <v>144</v>
      </c>
      <c r="R974">
        <f t="shared" si="76"/>
        <v>175</v>
      </c>
      <c r="S974" s="1">
        <f t="shared" si="77"/>
        <v>0.9375</v>
      </c>
      <c r="T974">
        <f t="shared" si="78"/>
        <v>1.44</v>
      </c>
      <c r="U974" t="str">
        <f t="shared" si="79"/>
        <v>Apr</v>
      </c>
    </row>
    <row r="975" spans="1:21">
      <c r="A975" s="2">
        <v>46073</v>
      </c>
      <c r="B975" t="s">
        <v>4</v>
      </c>
      <c r="C975" t="s">
        <v>48</v>
      </c>
      <c r="D975" t="s">
        <v>7</v>
      </c>
      <c r="E975" t="s">
        <v>42</v>
      </c>
      <c r="F975" t="s">
        <v>49</v>
      </c>
      <c r="G975">
        <v>108</v>
      </c>
      <c r="H975">
        <v>56</v>
      </c>
      <c r="I975">
        <v>72</v>
      </c>
      <c r="J975">
        <v>5</v>
      </c>
      <c r="K975">
        <v>255</v>
      </c>
      <c r="L975">
        <v>82.48</v>
      </c>
      <c r="M975">
        <v>2443.9299999999998</v>
      </c>
      <c r="N975">
        <v>70001</v>
      </c>
      <c r="O975">
        <v>1542.49</v>
      </c>
      <c r="P975" s="1">
        <v>0.56899999999999995</v>
      </c>
      <c r="Q975">
        <f t="shared" si="75"/>
        <v>164</v>
      </c>
      <c r="R975">
        <f t="shared" si="76"/>
        <v>61</v>
      </c>
      <c r="S975" s="1">
        <f t="shared" si="77"/>
        <v>0.56097560975609762</v>
      </c>
      <c r="T975">
        <f t="shared" si="78"/>
        <v>1.64</v>
      </c>
      <c r="U975" t="str">
        <f t="shared" si="79"/>
        <v>Feb</v>
      </c>
    </row>
    <row r="976" spans="1:21">
      <c r="A976" s="2">
        <v>46117</v>
      </c>
      <c r="B976" t="s">
        <v>6</v>
      </c>
      <c r="C976" t="s">
        <v>46</v>
      </c>
      <c r="D976" t="s">
        <v>5</v>
      </c>
      <c r="E976" t="s">
        <v>32</v>
      </c>
      <c r="F976" t="s">
        <v>39</v>
      </c>
      <c r="G976">
        <v>22</v>
      </c>
      <c r="H976">
        <v>4</v>
      </c>
      <c r="I976">
        <v>17</v>
      </c>
      <c r="J976">
        <v>118</v>
      </c>
      <c r="K976">
        <v>263</v>
      </c>
      <c r="L976">
        <v>131.78</v>
      </c>
      <c r="M976">
        <v>1960.12</v>
      </c>
      <c r="N976">
        <v>71605</v>
      </c>
      <c r="O976">
        <v>1423.96</v>
      </c>
      <c r="P976" s="1">
        <v>-1.4999999999999999E-2</v>
      </c>
      <c r="Q976">
        <f t="shared" si="75"/>
        <v>26</v>
      </c>
      <c r="R976">
        <f t="shared" si="76"/>
        <v>122</v>
      </c>
      <c r="S976" s="1">
        <f t="shared" si="77"/>
        <v>0.34615384615384615</v>
      </c>
      <c r="T976">
        <f t="shared" si="78"/>
        <v>0.26</v>
      </c>
      <c r="U976" t="str">
        <f t="shared" si="79"/>
        <v>Apr</v>
      </c>
    </row>
    <row r="977" spans="1:21">
      <c r="A977" s="2">
        <v>46107</v>
      </c>
      <c r="B977" t="s">
        <v>6</v>
      </c>
      <c r="C977" t="s">
        <v>43</v>
      </c>
      <c r="D977" t="s">
        <v>10</v>
      </c>
      <c r="E977" t="s">
        <v>41</v>
      </c>
      <c r="F977" t="s">
        <v>45</v>
      </c>
      <c r="G977">
        <v>55</v>
      </c>
      <c r="H977">
        <v>63</v>
      </c>
      <c r="I977">
        <v>25</v>
      </c>
      <c r="J977">
        <v>124</v>
      </c>
      <c r="K977">
        <v>409</v>
      </c>
      <c r="L977">
        <v>103.76</v>
      </c>
      <c r="M977">
        <v>2078.87</v>
      </c>
      <c r="N977">
        <v>74418</v>
      </c>
      <c r="O977">
        <v>1667.98</v>
      </c>
      <c r="P977" s="1">
        <v>-0.80500000000000005</v>
      </c>
      <c r="Q977">
        <f t="shared" si="75"/>
        <v>118</v>
      </c>
      <c r="R977">
        <f t="shared" si="76"/>
        <v>187</v>
      </c>
      <c r="S977" s="1">
        <f t="shared" si="77"/>
        <v>0.78813559322033899</v>
      </c>
      <c r="T977">
        <f t="shared" si="78"/>
        <v>1.18</v>
      </c>
      <c r="U977" t="str">
        <f t="shared" si="79"/>
        <v>Mar</v>
      </c>
    </row>
    <row r="978" spans="1:21">
      <c r="A978" s="2">
        <v>46088</v>
      </c>
      <c r="B978" t="s">
        <v>4</v>
      </c>
      <c r="C978" t="s">
        <v>50</v>
      </c>
      <c r="D978" t="s">
        <v>11</v>
      </c>
      <c r="E978" t="s">
        <v>38</v>
      </c>
      <c r="F978" t="s">
        <v>49</v>
      </c>
      <c r="G978">
        <v>30</v>
      </c>
      <c r="H978">
        <v>51</v>
      </c>
      <c r="I978">
        <v>43</v>
      </c>
      <c r="J978">
        <v>129</v>
      </c>
      <c r="K978">
        <v>338</v>
      </c>
      <c r="L978">
        <v>83.27</v>
      </c>
      <c r="M978">
        <v>1955.77</v>
      </c>
      <c r="N978">
        <v>71149</v>
      </c>
      <c r="O978">
        <v>1657.19</v>
      </c>
      <c r="P978" s="1">
        <v>-0.28399999999999997</v>
      </c>
      <c r="Q978">
        <f t="shared" si="75"/>
        <v>81</v>
      </c>
      <c r="R978">
        <f t="shared" si="76"/>
        <v>180</v>
      </c>
      <c r="S978" s="1">
        <f t="shared" si="77"/>
        <v>0.46913580246913578</v>
      </c>
      <c r="T978">
        <f t="shared" si="78"/>
        <v>0.81</v>
      </c>
      <c r="U978" t="str">
        <f t="shared" si="79"/>
        <v>Mar</v>
      </c>
    </row>
    <row r="979" spans="1:21">
      <c r="A979" s="2">
        <v>46070</v>
      </c>
      <c r="B979" t="s">
        <v>4</v>
      </c>
      <c r="C979" t="s">
        <v>48</v>
      </c>
      <c r="D979" t="s">
        <v>9</v>
      </c>
      <c r="E979" t="s">
        <v>47</v>
      </c>
      <c r="F979" t="s">
        <v>45</v>
      </c>
      <c r="G979">
        <v>105</v>
      </c>
      <c r="H979">
        <v>39</v>
      </c>
      <c r="I979">
        <v>82</v>
      </c>
      <c r="J979">
        <v>112</v>
      </c>
      <c r="K979">
        <v>237</v>
      </c>
      <c r="L979">
        <v>107.19</v>
      </c>
      <c r="M979">
        <v>2307.83</v>
      </c>
      <c r="N979">
        <v>64337</v>
      </c>
      <c r="O979">
        <v>1149.57</v>
      </c>
      <c r="P979" s="1">
        <v>-7.9000000000000001E-2</v>
      </c>
      <c r="Q979">
        <f t="shared" si="75"/>
        <v>144</v>
      </c>
      <c r="R979">
        <f t="shared" si="76"/>
        <v>151</v>
      </c>
      <c r="S979" s="1">
        <f t="shared" si="77"/>
        <v>0.43055555555555558</v>
      </c>
      <c r="T979">
        <f t="shared" si="78"/>
        <v>1.44</v>
      </c>
      <c r="U979" t="str">
        <f t="shared" si="79"/>
        <v>Feb</v>
      </c>
    </row>
    <row r="980" spans="1:21">
      <c r="A980" s="2">
        <v>46090</v>
      </c>
      <c r="B980" t="s">
        <v>6</v>
      </c>
      <c r="C980" t="s">
        <v>50</v>
      </c>
      <c r="D980" t="s">
        <v>5</v>
      </c>
      <c r="E980" t="s">
        <v>41</v>
      </c>
      <c r="F980" t="s">
        <v>33</v>
      </c>
      <c r="G980">
        <v>84</v>
      </c>
      <c r="H980">
        <v>75</v>
      </c>
      <c r="I980">
        <v>49</v>
      </c>
      <c r="J980">
        <v>137</v>
      </c>
      <c r="K980">
        <v>1</v>
      </c>
      <c r="L980">
        <v>126.4</v>
      </c>
      <c r="M980">
        <v>2154.25</v>
      </c>
      <c r="N980">
        <v>70726</v>
      </c>
      <c r="O980">
        <v>1471.11</v>
      </c>
      <c r="P980" s="1">
        <v>0.223</v>
      </c>
      <c r="Q980">
        <f t="shared" si="75"/>
        <v>159</v>
      </c>
      <c r="R980">
        <f t="shared" si="76"/>
        <v>212</v>
      </c>
      <c r="S980" s="1">
        <f t="shared" si="77"/>
        <v>0.69182389937106914</v>
      </c>
      <c r="T980">
        <f t="shared" si="78"/>
        <v>1.59</v>
      </c>
      <c r="U980" t="str">
        <f t="shared" si="79"/>
        <v>Mar</v>
      </c>
    </row>
    <row r="981" spans="1:21">
      <c r="A981" s="2">
        <v>46072</v>
      </c>
      <c r="B981" t="s">
        <v>4</v>
      </c>
      <c r="C981" t="s">
        <v>51</v>
      </c>
      <c r="D981" t="s">
        <v>7</v>
      </c>
      <c r="E981" t="s">
        <v>42</v>
      </c>
      <c r="F981" t="s">
        <v>39</v>
      </c>
      <c r="G981">
        <v>3</v>
      </c>
      <c r="H981">
        <v>45</v>
      </c>
      <c r="I981">
        <v>10</v>
      </c>
      <c r="J981">
        <v>100</v>
      </c>
      <c r="K981">
        <v>438</v>
      </c>
      <c r="L981">
        <v>117.94</v>
      </c>
      <c r="M981">
        <v>2026.14</v>
      </c>
      <c r="N981">
        <v>65844</v>
      </c>
      <c r="O981">
        <v>1365.11</v>
      </c>
      <c r="P981" s="1">
        <v>0.39500000000000002</v>
      </c>
      <c r="Q981">
        <f t="shared" si="75"/>
        <v>48</v>
      </c>
      <c r="R981">
        <f t="shared" si="76"/>
        <v>145</v>
      </c>
      <c r="S981" s="1">
        <f t="shared" si="77"/>
        <v>0.79166666666666663</v>
      </c>
      <c r="T981">
        <f t="shared" si="78"/>
        <v>0.48</v>
      </c>
      <c r="U981" t="str">
        <f t="shared" si="79"/>
        <v>Feb</v>
      </c>
    </row>
    <row r="982" spans="1:21">
      <c r="A982" s="2">
        <v>46114</v>
      </c>
      <c r="B982" t="s">
        <v>6</v>
      </c>
      <c r="C982" t="s">
        <v>48</v>
      </c>
      <c r="D982" t="s">
        <v>10</v>
      </c>
      <c r="E982" t="s">
        <v>38</v>
      </c>
      <c r="F982" t="s">
        <v>45</v>
      </c>
      <c r="G982">
        <v>96</v>
      </c>
      <c r="H982">
        <v>68</v>
      </c>
      <c r="I982">
        <v>7</v>
      </c>
      <c r="J982">
        <v>10</v>
      </c>
      <c r="K982">
        <v>176</v>
      </c>
      <c r="L982">
        <v>131.51</v>
      </c>
      <c r="M982">
        <v>2124.17</v>
      </c>
      <c r="N982">
        <v>73316</v>
      </c>
      <c r="O982">
        <v>1474.39</v>
      </c>
      <c r="P982" s="1">
        <v>-0.27200000000000002</v>
      </c>
      <c r="Q982">
        <f t="shared" si="75"/>
        <v>164</v>
      </c>
      <c r="R982">
        <f t="shared" si="76"/>
        <v>78</v>
      </c>
      <c r="S982" s="1">
        <f t="shared" si="77"/>
        <v>0.95731707317073167</v>
      </c>
      <c r="T982">
        <f t="shared" si="78"/>
        <v>1.64</v>
      </c>
      <c r="U982" t="str">
        <f t="shared" si="79"/>
        <v>Apr</v>
      </c>
    </row>
    <row r="983" spans="1:21">
      <c r="A983" s="2">
        <v>46101</v>
      </c>
      <c r="B983" t="s">
        <v>6</v>
      </c>
      <c r="C983" t="s">
        <v>43</v>
      </c>
      <c r="D983" t="s">
        <v>5</v>
      </c>
      <c r="E983" t="s">
        <v>35</v>
      </c>
      <c r="F983" t="s">
        <v>33</v>
      </c>
      <c r="G983">
        <v>88</v>
      </c>
      <c r="H983">
        <v>33</v>
      </c>
      <c r="I983">
        <v>10</v>
      </c>
      <c r="J983">
        <v>122</v>
      </c>
      <c r="K983">
        <v>35</v>
      </c>
      <c r="L983">
        <v>104.85</v>
      </c>
      <c r="M983">
        <v>2305.5500000000002</v>
      </c>
      <c r="N983">
        <v>72309</v>
      </c>
      <c r="O983">
        <v>1355.43</v>
      </c>
      <c r="P983" s="1">
        <v>0.47599999999999998</v>
      </c>
      <c r="Q983">
        <f t="shared" si="75"/>
        <v>121</v>
      </c>
      <c r="R983">
        <f t="shared" si="76"/>
        <v>155</v>
      </c>
      <c r="S983" s="1">
        <f t="shared" si="77"/>
        <v>0.9173553719008265</v>
      </c>
      <c r="T983">
        <f t="shared" si="78"/>
        <v>1.21</v>
      </c>
      <c r="U983" t="str">
        <f t="shared" si="79"/>
        <v>Mar</v>
      </c>
    </row>
    <row r="984" spans="1:21">
      <c r="A984" s="2">
        <v>46107</v>
      </c>
      <c r="B984" t="s">
        <v>4</v>
      </c>
      <c r="C984" t="s">
        <v>34</v>
      </c>
      <c r="D984" t="s">
        <v>9</v>
      </c>
      <c r="E984" t="s">
        <v>35</v>
      </c>
      <c r="F984" t="s">
        <v>39</v>
      </c>
      <c r="G984">
        <v>46</v>
      </c>
      <c r="H984">
        <v>65</v>
      </c>
      <c r="I984">
        <v>78</v>
      </c>
      <c r="J984">
        <v>113</v>
      </c>
      <c r="K984">
        <v>4</v>
      </c>
      <c r="L984">
        <v>90.9</v>
      </c>
      <c r="M984">
        <v>2116.65</v>
      </c>
      <c r="N984">
        <v>73842</v>
      </c>
      <c r="O984">
        <v>1291.01</v>
      </c>
      <c r="P984" s="1">
        <v>0.58199999999999996</v>
      </c>
      <c r="Q984">
        <f t="shared" si="75"/>
        <v>111</v>
      </c>
      <c r="R984">
        <f t="shared" si="76"/>
        <v>178</v>
      </c>
      <c r="S984" s="1">
        <f t="shared" si="77"/>
        <v>0.29729729729729731</v>
      </c>
      <c r="T984">
        <f t="shared" si="78"/>
        <v>1.1100000000000001</v>
      </c>
      <c r="U984" t="str">
        <f t="shared" si="79"/>
        <v>Mar</v>
      </c>
    </row>
    <row r="985" spans="1:21">
      <c r="A985" s="2">
        <v>46119</v>
      </c>
      <c r="B985" t="s">
        <v>6</v>
      </c>
      <c r="C985" t="s">
        <v>43</v>
      </c>
      <c r="D985" t="s">
        <v>7</v>
      </c>
      <c r="E985" t="s">
        <v>32</v>
      </c>
      <c r="F985" t="s">
        <v>33</v>
      </c>
      <c r="G985">
        <v>102</v>
      </c>
      <c r="H985">
        <v>65</v>
      </c>
      <c r="I985">
        <v>30</v>
      </c>
      <c r="J985">
        <v>155</v>
      </c>
      <c r="K985">
        <v>280</v>
      </c>
      <c r="L985">
        <v>106.39</v>
      </c>
      <c r="M985">
        <v>2284.44</v>
      </c>
      <c r="N985">
        <v>74954</v>
      </c>
      <c r="O985">
        <v>1540.12</v>
      </c>
      <c r="P985" s="1">
        <v>-0.54800000000000004</v>
      </c>
      <c r="Q985">
        <f t="shared" si="75"/>
        <v>167</v>
      </c>
      <c r="R985">
        <f t="shared" si="76"/>
        <v>220</v>
      </c>
      <c r="S985" s="1">
        <f t="shared" si="77"/>
        <v>0.82035928143712578</v>
      </c>
      <c r="T985">
        <f t="shared" si="78"/>
        <v>1.67</v>
      </c>
      <c r="U985" t="str">
        <f t="shared" si="79"/>
        <v>Apr</v>
      </c>
    </row>
    <row r="986" spans="1:21">
      <c r="A986" s="2">
        <v>46100</v>
      </c>
      <c r="B986" t="s">
        <v>6</v>
      </c>
      <c r="C986" t="s">
        <v>48</v>
      </c>
      <c r="D986" t="s">
        <v>10</v>
      </c>
      <c r="E986" t="s">
        <v>32</v>
      </c>
      <c r="F986" t="s">
        <v>39</v>
      </c>
      <c r="G986">
        <v>53</v>
      </c>
      <c r="H986">
        <v>42</v>
      </c>
      <c r="I986">
        <v>21</v>
      </c>
      <c r="J986">
        <v>58</v>
      </c>
      <c r="K986">
        <v>81</v>
      </c>
      <c r="L986">
        <v>117.89</v>
      </c>
      <c r="M986">
        <v>1951.14</v>
      </c>
      <c r="N986">
        <v>68929</v>
      </c>
      <c r="O986">
        <v>1246.27</v>
      </c>
      <c r="P986" s="1">
        <v>0.751</v>
      </c>
      <c r="Q986">
        <f t="shared" si="75"/>
        <v>95</v>
      </c>
      <c r="R986">
        <f t="shared" si="76"/>
        <v>100</v>
      </c>
      <c r="S986" s="1">
        <f t="shared" si="77"/>
        <v>0.77894736842105261</v>
      </c>
      <c r="T986">
        <f t="shared" si="78"/>
        <v>0.95</v>
      </c>
      <c r="U986" t="str">
        <f t="shared" si="79"/>
        <v>Mar</v>
      </c>
    </row>
    <row r="987" spans="1:21">
      <c r="A987" s="2">
        <v>46092</v>
      </c>
      <c r="B987" t="s">
        <v>6</v>
      </c>
      <c r="C987" t="s">
        <v>31</v>
      </c>
      <c r="D987" t="s">
        <v>5</v>
      </c>
      <c r="E987" t="s">
        <v>32</v>
      </c>
      <c r="F987" t="s">
        <v>49</v>
      </c>
      <c r="G987">
        <v>5</v>
      </c>
      <c r="H987">
        <v>54</v>
      </c>
      <c r="I987">
        <v>47</v>
      </c>
      <c r="J987">
        <v>145</v>
      </c>
      <c r="K987">
        <v>207</v>
      </c>
      <c r="L987">
        <v>84.64</v>
      </c>
      <c r="M987">
        <v>2216.66</v>
      </c>
      <c r="N987">
        <v>70037</v>
      </c>
      <c r="O987">
        <v>1616.66</v>
      </c>
      <c r="P987" s="1">
        <v>0.44500000000000001</v>
      </c>
      <c r="Q987">
        <f t="shared" si="75"/>
        <v>59</v>
      </c>
      <c r="R987">
        <f t="shared" si="76"/>
        <v>199</v>
      </c>
      <c r="S987" s="1">
        <f t="shared" si="77"/>
        <v>0.20338983050847459</v>
      </c>
      <c r="T987">
        <f t="shared" si="78"/>
        <v>0.59</v>
      </c>
      <c r="U987" t="str">
        <f t="shared" si="79"/>
        <v>Mar</v>
      </c>
    </row>
    <row r="988" spans="1:21">
      <c r="A988" s="2">
        <v>46117</v>
      </c>
      <c r="B988" t="s">
        <v>6</v>
      </c>
      <c r="C988" t="s">
        <v>48</v>
      </c>
      <c r="D988" t="s">
        <v>7</v>
      </c>
      <c r="E988" t="s">
        <v>41</v>
      </c>
      <c r="F988" t="s">
        <v>39</v>
      </c>
      <c r="G988">
        <v>80</v>
      </c>
      <c r="H988">
        <v>1</v>
      </c>
      <c r="I988">
        <v>85</v>
      </c>
      <c r="J988">
        <v>28</v>
      </c>
      <c r="K988">
        <v>12</v>
      </c>
      <c r="L988">
        <v>126.9</v>
      </c>
      <c r="M988">
        <v>2415.8200000000002</v>
      </c>
      <c r="N988">
        <v>69658</v>
      </c>
      <c r="O988">
        <v>1297.6400000000001</v>
      </c>
      <c r="P988" s="1">
        <v>-0.50600000000000001</v>
      </c>
      <c r="Q988">
        <f t="shared" si="75"/>
        <v>81</v>
      </c>
      <c r="R988">
        <f t="shared" si="76"/>
        <v>29</v>
      </c>
      <c r="S988" s="1">
        <f t="shared" si="77"/>
        <v>-4.9382716049382713E-2</v>
      </c>
      <c r="T988">
        <f t="shared" si="78"/>
        <v>0.81</v>
      </c>
      <c r="U988" t="str">
        <f t="shared" si="79"/>
        <v>Apr</v>
      </c>
    </row>
    <row r="989" spans="1:21">
      <c r="A989" s="2">
        <v>46122</v>
      </c>
      <c r="B989" t="s">
        <v>6</v>
      </c>
      <c r="C989" t="s">
        <v>48</v>
      </c>
      <c r="D989" t="s">
        <v>5</v>
      </c>
      <c r="E989" t="s">
        <v>35</v>
      </c>
      <c r="F989" t="s">
        <v>39</v>
      </c>
      <c r="G989">
        <v>23</v>
      </c>
      <c r="H989">
        <v>28</v>
      </c>
      <c r="I989">
        <v>6</v>
      </c>
      <c r="J989">
        <v>7</v>
      </c>
      <c r="K989">
        <v>140</v>
      </c>
      <c r="L989">
        <v>134.69999999999999</v>
      </c>
      <c r="M989">
        <v>1833.11</v>
      </c>
      <c r="N989">
        <v>65417</v>
      </c>
      <c r="O989">
        <v>1107.67</v>
      </c>
      <c r="P989" s="1">
        <v>0.97799999999999998</v>
      </c>
      <c r="Q989">
        <f t="shared" si="75"/>
        <v>51</v>
      </c>
      <c r="R989">
        <f t="shared" si="76"/>
        <v>35</v>
      </c>
      <c r="S989" s="1">
        <f t="shared" si="77"/>
        <v>0.88235294117647056</v>
      </c>
      <c r="T989">
        <f t="shared" si="78"/>
        <v>0.51</v>
      </c>
      <c r="U989" t="str">
        <f t="shared" si="79"/>
        <v>Apr</v>
      </c>
    </row>
    <row r="990" spans="1:21">
      <c r="A990" s="2">
        <v>46078</v>
      </c>
      <c r="B990" t="s">
        <v>6</v>
      </c>
      <c r="C990" t="s">
        <v>31</v>
      </c>
      <c r="D990" t="s">
        <v>5</v>
      </c>
      <c r="E990" t="s">
        <v>42</v>
      </c>
      <c r="F990" t="s">
        <v>49</v>
      </c>
      <c r="G990">
        <v>93</v>
      </c>
      <c r="H990">
        <v>17</v>
      </c>
      <c r="I990">
        <v>54</v>
      </c>
      <c r="J990">
        <v>44</v>
      </c>
      <c r="K990">
        <v>47</v>
      </c>
      <c r="L990">
        <v>95.24</v>
      </c>
      <c r="M990">
        <v>2352.59</v>
      </c>
      <c r="N990">
        <v>64649</v>
      </c>
      <c r="O990">
        <v>1241.2</v>
      </c>
      <c r="P990" s="1">
        <v>-0.871</v>
      </c>
      <c r="Q990">
        <f t="shared" si="75"/>
        <v>110</v>
      </c>
      <c r="R990">
        <f t="shared" si="76"/>
        <v>61</v>
      </c>
      <c r="S990" s="1">
        <f t="shared" si="77"/>
        <v>0.50909090909090904</v>
      </c>
      <c r="T990">
        <f t="shared" si="78"/>
        <v>1.1000000000000001</v>
      </c>
      <c r="U990" t="str">
        <f t="shared" si="79"/>
        <v>Feb</v>
      </c>
    </row>
    <row r="991" spans="1:21">
      <c r="A991" s="2">
        <v>46084</v>
      </c>
      <c r="B991" t="s">
        <v>4</v>
      </c>
      <c r="C991" t="s">
        <v>46</v>
      </c>
      <c r="D991" t="s">
        <v>7</v>
      </c>
      <c r="E991" t="s">
        <v>35</v>
      </c>
      <c r="F991" t="s">
        <v>39</v>
      </c>
      <c r="G991">
        <v>60</v>
      </c>
      <c r="H991">
        <v>1</v>
      </c>
      <c r="I991">
        <v>57</v>
      </c>
      <c r="J991">
        <v>90</v>
      </c>
      <c r="K991">
        <v>34</v>
      </c>
      <c r="L991">
        <v>116.76</v>
      </c>
      <c r="M991">
        <v>2178.5100000000002</v>
      </c>
      <c r="N991">
        <v>70027</v>
      </c>
      <c r="O991">
        <v>1447.66</v>
      </c>
      <c r="P991" s="1">
        <v>0.62</v>
      </c>
      <c r="Q991">
        <f t="shared" si="75"/>
        <v>61</v>
      </c>
      <c r="R991">
        <f t="shared" si="76"/>
        <v>91</v>
      </c>
      <c r="S991" s="1">
        <f t="shared" si="77"/>
        <v>6.5573770491803282E-2</v>
      </c>
      <c r="T991">
        <f t="shared" si="78"/>
        <v>0.61</v>
      </c>
      <c r="U991" t="str">
        <f t="shared" si="79"/>
        <v>Mar</v>
      </c>
    </row>
    <row r="992" spans="1:21">
      <c r="A992" s="2">
        <v>46109</v>
      </c>
      <c r="B992" t="s">
        <v>6</v>
      </c>
      <c r="C992" t="s">
        <v>36</v>
      </c>
      <c r="D992" t="s">
        <v>5</v>
      </c>
      <c r="E992" t="s">
        <v>38</v>
      </c>
      <c r="F992" t="s">
        <v>49</v>
      </c>
      <c r="G992">
        <v>63</v>
      </c>
      <c r="H992">
        <v>21</v>
      </c>
      <c r="I992">
        <v>88</v>
      </c>
      <c r="J992">
        <v>148</v>
      </c>
      <c r="K992">
        <v>364</v>
      </c>
      <c r="L992">
        <v>81.7</v>
      </c>
      <c r="M992">
        <v>2171.42</v>
      </c>
      <c r="N992">
        <v>67530</v>
      </c>
      <c r="O992">
        <v>1743.71</v>
      </c>
      <c r="P992" s="1">
        <v>0.33200000000000002</v>
      </c>
      <c r="Q992">
        <f t="shared" si="75"/>
        <v>84</v>
      </c>
      <c r="R992">
        <f t="shared" si="76"/>
        <v>169</v>
      </c>
      <c r="S992" s="1">
        <f t="shared" si="77"/>
        <v>-4.7619047619047616E-2</v>
      </c>
      <c r="T992">
        <f t="shared" si="78"/>
        <v>0.84</v>
      </c>
      <c r="U992" t="str">
        <f t="shared" si="79"/>
        <v>Mar</v>
      </c>
    </row>
    <row r="993" spans="1:21">
      <c r="A993" s="2">
        <v>46100</v>
      </c>
      <c r="B993" t="s">
        <v>6</v>
      </c>
      <c r="C993" t="s">
        <v>40</v>
      </c>
      <c r="D993" t="s">
        <v>5</v>
      </c>
      <c r="E993" t="s">
        <v>38</v>
      </c>
      <c r="F993" t="s">
        <v>33</v>
      </c>
      <c r="G993">
        <v>66</v>
      </c>
      <c r="H993">
        <v>55</v>
      </c>
      <c r="I993">
        <v>30</v>
      </c>
      <c r="J993">
        <v>25</v>
      </c>
      <c r="K993">
        <v>388</v>
      </c>
      <c r="L993">
        <v>124.98</v>
      </c>
      <c r="M993">
        <v>2040.59</v>
      </c>
      <c r="N993">
        <v>67286</v>
      </c>
      <c r="O993">
        <v>1343.27</v>
      </c>
      <c r="P993" s="1">
        <v>0.317</v>
      </c>
      <c r="Q993">
        <f t="shared" si="75"/>
        <v>121</v>
      </c>
      <c r="R993">
        <f t="shared" si="76"/>
        <v>80</v>
      </c>
      <c r="S993" s="1">
        <f t="shared" si="77"/>
        <v>0.75206611570247939</v>
      </c>
      <c r="T993">
        <f t="shared" si="78"/>
        <v>1.21</v>
      </c>
      <c r="U993" t="str">
        <f t="shared" si="79"/>
        <v>Mar</v>
      </c>
    </row>
    <row r="994" spans="1:21">
      <c r="A994" s="2">
        <v>46123</v>
      </c>
      <c r="B994" t="s">
        <v>4</v>
      </c>
      <c r="C994" t="s">
        <v>48</v>
      </c>
      <c r="D994" t="s">
        <v>11</v>
      </c>
      <c r="E994" t="s">
        <v>42</v>
      </c>
      <c r="F994" t="s">
        <v>49</v>
      </c>
      <c r="G994">
        <v>39</v>
      </c>
      <c r="H994">
        <v>63</v>
      </c>
      <c r="I994">
        <v>28</v>
      </c>
      <c r="J994">
        <v>39</v>
      </c>
      <c r="K994">
        <v>395</v>
      </c>
      <c r="L994">
        <v>101.03</v>
      </c>
      <c r="M994">
        <v>1963.05</v>
      </c>
      <c r="N994">
        <v>75727</v>
      </c>
      <c r="O994">
        <v>1379.65</v>
      </c>
      <c r="P994" s="1">
        <v>-5.0000000000000001E-3</v>
      </c>
      <c r="Q994">
        <f t="shared" si="75"/>
        <v>102</v>
      </c>
      <c r="R994">
        <f t="shared" si="76"/>
        <v>102</v>
      </c>
      <c r="S994" s="1">
        <f t="shared" si="77"/>
        <v>0.72549019607843135</v>
      </c>
      <c r="T994">
        <f t="shared" si="78"/>
        <v>1.02</v>
      </c>
      <c r="U994" t="str">
        <f t="shared" si="79"/>
        <v>Apr</v>
      </c>
    </row>
    <row r="995" spans="1:21">
      <c r="A995" s="2">
        <v>46119</v>
      </c>
      <c r="B995" t="s">
        <v>4</v>
      </c>
      <c r="C995" t="s">
        <v>51</v>
      </c>
      <c r="D995" t="s">
        <v>11</v>
      </c>
      <c r="E995" t="s">
        <v>38</v>
      </c>
      <c r="F995" t="s">
        <v>33</v>
      </c>
      <c r="G995">
        <v>64</v>
      </c>
      <c r="H995">
        <v>38</v>
      </c>
      <c r="I995">
        <v>27</v>
      </c>
      <c r="J995">
        <v>0</v>
      </c>
      <c r="K995">
        <v>338</v>
      </c>
      <c r="L995">
        <v>114.45</v>
      </c>
      <c r="M995">
        <v>1900</v>
      </c>
      <c r="N995">
        <v>71940</v>
      </c>
      <c r="O995">
        <v>985.17</v>
      </c>
      <c r="P995" s="1">
        <v>0.60899999999999999</v>
      </c>
      <c r="Q995">
        <f t="shared" si="75"/>
        <v>102</v>
      </c>
      <c r="R995">
        <f t="shared" si="76"/>
        <v>38</v>
      </c>
      <c r="S995" s="1">
        <f t="shared" si="77"/>
        <v>0.73529411764705888</v>
      </c>
      <c r="T995">
        <f t="shared" si="78"/>
        <v>1.02</v>
      </c>
      <c r="U995" t="str">
        <f t="shared" si="79"/>
        <v>Apr</v>
      </c>
    </row>
    <row r="996" spans="1:21">
      <c r="A996" s="2">
        <v>46111</v>
      </c>
      <c r="B996" t="s">
        <v>6</v>
      </c>
      <c r="C996" t="s">
        <v>44</v>
      </c>
      <c r="D996" t="s">
        <v>10</v>
      </c>
      <c r="E996" t="s">
        <v>38</v>
      </c>
      <c r="F996" t="s">
        <v>49</v>
      </c>
      <c r="G996">
        <v>115</v>
      </c>
      <c r="H996">
        <v>72</v>
      </c>
      <c r="I996">
        <v>67</v>
      </c>
      <c r="J996">
        <v>81</v>
      </c>
      <c r="K996">
        <v>173</v>
      </c>
      <c r="L996">
        <v>115.92</v>
      </c>
      <c r="M996">
        <v>2373.09</v>
      </c>
      <c r="N996">
        <v>72859</v>
      </c>
      <c r="O996">
        <v>1188.8900000000001</v>
      </c>
      <c r="P996" s="1">
        <v>-0.85099999999999998</v>
      </c>
      <c r="Q996">
        <f t="shared" si="75"/>
        <v>187</v>
      </c>
      <c r="R996">
        <f t="shared" si="76"/>
        <v>153</v>
      </c>
      <c r="S996" s="1">
        <f t="shared" si="77"/>
        <v>0.64171122994652408</v>
      </c>
      <c r="T996">
        <f t="shared" si="78"/>
        <v>1.87</v>
      </c>
      <c r="U996" t="str">
        <f t="shared" si="79"/>
        <v>Mar</v>
      </c>
    </row>
    <row r="997" spans="1:21">
      <c r="A997" s="2">
        <v>46126</v>
      </c>
      <c r="B997" t="s">
        <v>4</v>
      </c>
      <c r="C997" t="s">
        <v>31</v>
      </c>
      <c r="D997" t="s">
        <v>5</v>
      </c>
      <c r="E997" t="s">
        <v>38</v>
      </c>
      <c r="F997" t="s">
        <v>49</v>
      </c>
      <c r="G997">
        <v>11</v>
      </c>
      <c r="H997">
        <v>55</v>
      </c>
      <c r="I997">
        <v>67</v>
      </c>
      <c r="J997">
        <v>137</v>
      </c>
      <c r="K997">
        <v>48</v>
      </c>
      <c r="L997">
        <v>138.97999999999999</v>
      </c>
      <c r="M997">
        <v>1914.16</v>
      </c>
      <c r="N997">
        <v>67019</v>
      </c>
      <c r="O997">
        <v>1596.56</v>
      </c>
      <c r="P997" s="1">
        <v>0.19600000000000001</v>
      </c>
      <c r="Q997">
        <f t="shared" si="75"/>
        <v>66</v>
      </c>
      <c r="R997">
        <f t="shared" si="76"/>
        <v>192</v>
      </c>
      <c r="S997" s="1">
        <f t="shared" si="77"/>
        <v>-1.5151515151515152E-2</v>
      </c>
      <c r="T997">
        <f t="shared" si="78"/>
        <v>0.66</v>
      </c>
      <c r="U997" t="str">
        <f t="shared" si="79"/>
        <v>Apr</v>
      </c>
    </row>
    <row r="998" spans="1:21">
      <c r="A998" s="2">
        <v>46087</v>
      </c>
      <c r="B998" t="s">
        <v>4</v>
      </c>
      <c r="C998" t="s">
        <v>36</v>
      </c>
      <c r="D998" t="s">
        <v>5</v>
      </c>
      <c r="E998" t="s">
        <v>47</v>
      </c>
      <c r="F998" t="s">
        <v>45</v>
      </c>
      <c r="G998">
        <v>112</v>
      </c>
      <c r="H998">
        <v>1</v>
      </c>
      <c r="I998">
        <v>83</v>
      </c>
      <c r="J998">
        <v>27</v>
      </c>
      <c r="K998">
        <v>211</v>
      </c>
      <c r="L998">
        <v>92.1</v>
      </c>
      <c r="M998">
        <v>1949.5</v>
      </c>
      <c r="N998">
        <v>67834</v>
      </c>
      <c r="O998">
        <v>1252.95</v>
      </c>
      <c r="P998" s="1">
        <v>-7.0999999999999994E-2</v>
      </c>
      <c r="Q998">
        <f t="shared" si="75"/>
        <v>113</v>
      </c>
      <c r="R998">
        <f t="shared" si="76"/>
        <v>28</v>
      </c>
      <c r="S998" s="1">
        <f t="shared" si="77"/>
        <v>0.26548672566371684</v>
      </c>
      <c r="T998">
        <f t="shared" si="78"/>
        <v>1.1299999999999999</v>
      </c>
      <c r="U998" t="str">
        <f t="shared" si="79"/>
        <v>Mar</v>
      </c>
    </row>
    <row r="999" spans="1:21">
      <c r="A999" s="2">
        <v>46086</v>
      </c>
      <c r="B999" t="s">
        <v>6</v>
      </c>
      <c r="C999" t="s">
        <v>34</v>
      </c>
      <c r="D999" t="s">
        <v>9</v>
      </c>
      <c r="E999" t="s">
        <v>38</v>
      </c>
      <c r="F999" t="s">
        <v>39</v>
      </c>
      <c r="G999">
        <v>104</v>
      </c>
      <c r="H999">
        <v>63</v>
      </c>
      <c r="I999">
        <v>77</v>
      </c>
      <c r="J999">
        <v>84</v>
      </c>
      <c r="K999">
        <v>181</v>
      </c>
      <c r="L999">
        <v>135.59</v>
      </c>
      <c r="M999">
        <v>2212.58</v>
      </c>
      <c r="N999">
        <v>70851</v>
      </c>
      <c r="O999">
        <v>965.98</v>
      </c>
      <c r="P999" s="1">
        <v>-0.182</v>
      </c>
      <c r="Q999">
        <f t="shared" si="75"/>
        <v>167</v>
      </c>
      <c r="R999">
        <f t="shared" si="76"/>
        <v>147</v>
      </c>
      <c r="S999" s="1">
        <f t="shared" si="77"/>
        <v>0.53892215568862278</v>
      </c>
      <c r="T999">
        <f t="shared" si="78"/>
        <v>1.67</v>
      </c>
      <c r="U999" t="str">
        <f t="shared" si="79"/>
        <v>Mar</v>
      </c>
    </row>
    <row r="1000" spans="1:21">
      <c r="A1000" s="2">
        <v>46112</v>
      </c>
      <c r="B1000" t="s">
        <v>4</v>
      </c>
      <c r="C1000" t="s">
        <v>34</v>
      </c>
      <c r="D1000" t="s">
        <v>7</v>
      </c>
      <c r="E1000" t="s">
        <v>47</v>
      </c>
      <c r="F1000" t="s">
        <v>39</v>
      </c>
      <c r="G1000">
        <v>33</v>
      </c>
      <c r="H1000">
        <v>38</v>
      </c>
      <c r="I1000">
        <v>17</v>
      </c>
      <c r="J1000">
        <v>28</v>
      </c>
      <c r="K1000">
        <v>193</v>
      </c>
      <c r="L1000">
        <v>115.44</v>
      </c>
      <c r="M1000">
        <v>2255.86</v>
      </c>
      <c r="N1000">
        <v>69225</v>
      </c>
      <c r="O1000">
        <v>1579.48</v>
      </c>
      <c r="P1000" s="1">
        <v>0.71899999999999997</v>
      </c>
      <c r="Q1000">
        <f t="shared" si="75"/>
        <v>71</v>
      </c>
      <c r="R1000">
        <f t="shared" si="76"/>
        <v>66</v>
      </c>
      <c r="S1000" s="1">
        <f t="shared" si="77"/>
        <v>0.76056338028169013</v>
      </c>
      <c r="T1000">
        <f t="shared" si="78"/>
        <v>0.71</v>
      </c>
      <c r="U1000" t="str">
        <f t="shared" si="79"/>
        <v>Mar</v>
      </c>
    </row>
    <row r="1001" spans="1:21">
      <c r="A1001" s="2">
        <v>46086</v>
      </c>
      <c r="B1001" t="s">
        <v>4</v>
      </c>
      <c r="C1001" t="s">
        <v>51</v>
      </c>
      <c r="D1001" t="s">
        <v>9</v>
      </c>
      <c r="E1001" t="s">
        <v>41</v>
      </c>
      <c r="F1001" t="s">
        <v>49</v>
      </c>
      <c r="G1001">
        <v>63</v>
      </c>
      <c r="H1001">
        <v>39</v>
      </c>
      <c r="I1001">
        <v>10</v>
      </c>
      <c r="J1001">
        <v>154</v>
      </c>
      <c r="K1001">
        <v>426</v>
      </c>
      <c r="L1001">
        <v>93.49</v>
      </c>
      <c r="M1001">
        <v>2042.4</v>
      </c>
      <c r="N1001">
        <v>75638</v>
      </c>
      <c r="O1001">
        <v>1186.6199999999999</v>
      </c>
      <c r="P1001" s="1">
        <v>0.376</v>
      </c>
      <c r="Q1001">
        <f t="shared" si="75"/>
        <v>102</v>
      </c>
      <c r="R1001">
        <f t="shared" si="76"/>
        <v>193</v>
      </c>
      <c r="S1001" s="1">
        <f t="shared" si="77"/>
        <v>0.90196078431372551</v>
      </c>
      <c r="T1001">
        <f t="shared" si="78"/>
        <v>1.02</v>
      </c>
      <c r="U1001" t="str">
        <f t="shared" si="79"/>
        <v>Mar</v>
      </c>
    </row>
    <row r="1002" spans="1:21">
      <c r="A1002" s="2">
        <v>46125</v>
      </c>
      <c r="B1002" t="s">
        <v>4</v>
      </c>
      <c r="C1002" t="s">
        <v>31</v>
      </c>
      <c r="D1002" t="s">
        <v>10</v>
      </c>
      <c r="E1002" t="s">
        <v>41</v>
      </c>
      <c r="F1002" t="s">
        <v>33</v>
      </c>
      <c r="G1002">
        <v>110</v>
      </c>
      <c r="H1002">
        <v>50</v>
      </c>
      <c r="I1002">
        <v>31</v>
      </c>
      <c r="J1002">
        <v>147</v>
      </c>
      <c r="K1002">
        <v>205</v>
      </c>
      <c r="L1002">
        <v>109.73</v>
      </c>
      <c r="M1002">
        <v>1936.26</v>
      </c>
      <c r="N1002">
        <v>67896</v>
      </c>
      <c r="O1002">
        <v>965.76</v>
      </c>
      <c r="P1002" s="1">
        <v>0.92</v>
      </c>
      <c r="Q1002">
        <f t="shared" si="75"/>
        <v>160</v>
      </c>
      <c r="R1002">
        <f t="shared" si="76"/>
        <v>197</v>
      </c>
      <c r="S1002" s="1">
        <f t="shared" si="77"/>
        <v>0.80625000000000002</v>
      </c>
      <c r="T1002">
        <f t="shared" si="78"/>
        <v>1.6</v>
      </c>
      <c r="U1002" t="str">
        <f t="shared" si="79"/>
        <v>Apr</v>
      </c>
    </row>
    <row r="1003" spans="1:21">
      <c r="A1003" s="2">
        <v>46068</v>
      </c>
      <c r="B1003" t="s">
        <v>6</v>
      </c>
      <c r="C1003" t="s">
        <v>48</v>
      </c>
      <c r="D1003" t="s">
        <v>5</v>
      </c>
      <c r="E1003" t="s">
        <v>41</v>
      </c>
      <c r="F1003" t="s">
        <v>33</v>
      </c>
      <c r="G1003">
        <v>52</v>
      </c>
      <c r="H1003">
        <v>65</v>
      </c>
      <c r="I1003">
        <v>77</v>
      </c>
      <c r="J1003">
        <v>55</v>
      </c>
      <c r="K1003">
        <v>312</v>
      </c>
      <c r="L1003">
        <v>101.6</v>
      </c>
      <c r="M1003">
        <v>2229.06</v>
      </c>
      <c r="N1003">
        <v>74746</v>
      </c>
      <c r="O1003">
        <v>1138.3399999999999</v>
      </c>
      <c r="P1003" s="1">
        <v>7.0000000000000007E-2</v>
      </c>
      <c r="Q1003">
        <f t="shared" si="75"/>
        <v>117</v>
      </c>
      <c r="R1003">
        <f t="shared" si="76"/>
        <v>120</v>
      </c>
      <c r="S1003" s="1">
        <f t="shared" si="77"/>
        <v>0.34188034188034189</v>
      </c>
      <c r="T1003">
        <f t="shared" si="78"/>
        <v>1.17</v>
      </c>
      <c r="U1003" t="str">
        <f t="shared" si="79"/>
        <v>Feb</v>
      </c>
    </row>
    <row r="1004" spans="1:21">
      <c r="A1004" s="2">
        <v>46125</v>
      </c>
      <c r="B1004" t="s">
        <v>4</v>
      </c>
      <c r="C1004" t="s">
        <v>48</v>
      </c>
      <c r="D1004" t="s">
        <v>7</v>
      </c>
      <c r="E1004" t="s">
        <v>32</v>
      </c>
      <c r="F1004" t="s">
        <v>45</v>
      </c>
      <c r="G1004">
        <v>11</v>
      </c>
      <c r="H1004">
        <v>77</v>
      </c>
      <c r="I1004">
        <v>14</v>
      </c>
      <c r="J1004">
        <v>86</v>
      </c>
      <c r="K1004">
        <v>196</v>
      </c>
      <c r="L1004">
        <v>93.99</v>
      </c>
      <c r="M1004">
        <v>1950.69</v>
      </c>
      <c r="N1004">
        <v>69072</v>
      </c>
      <c r="O1004">
        <v>987.43</v>
      </c>
      <c r="P1004" s="1">
        <v>0.28899999999999998</v>
      </c>
      <c r="Q1004">
        <f t="shared" si="75"/>
        <v>88</v>
      </c>
      <c r="R1004">
        <f t="shared" si="76"/>
        <v>163</v>
      </c>
      <c r="S1004" s="1">
        <f t="shared" si="77"/>
        <v>0.84090909090909094</v>
      </c>
      <c r="T1004">
        <f t="shared" si="78"/>
        <v>0.88</v>
      </c>
      <c r="U1004" t="str">
        <f t="shared" si="79"/>
        <v>Apr</v>
      </c>
    </row>
    <row r="1005" spans="1:21">
      <c r="A1005" s="2">
        <v>46080</v>
      </c>
      <c r="B1005" t="s">
        <v>4</v>
      </c>
      <c r="C1005" t="s">
        <v>50</v>
      </c>
      <c r="D1005" t="s">
        <v>10</v>
      </c>
      <c r="E1005" t="s">
        <v>37</v>
      </c>
      <c r="F1005" t="s">
        <v>33</v>
      </c>
      <c r="G1005">
        <v>63</v>
      </c>
      <c r="H1005">
        <v>52</v>
      </c>
      <c r="I1005">
        <v>41</v>
      </c>
      <c r="J1005">
        <v>156</v>
      </c>
      <c r="K1005">
        <v>239</v>
      </c>
      <c r="L1005">
        <v>115.46</v>
      </c>
      <c r="M1005">
        <v>2101.3000000000002</v>
      </c>
      <c r="N1005">
        <v>74129</v>
      </c>
      <c r="O1005">
        <v>1099.29</v>
      </c>
      <c r="P1005" s="1">
        <v>0.45600000000000002</v>
      </c>
      <c r="Q1005">
        <f t="shared" si="75"/>
        <v>115</v>
      </c>
      <c r="R1005">
        <f t="shared" si="76"/>
        <v>208</v>
      </c>
      <c r="S1005" s="1">
        <f t="shared" si="77"/>
        <v>0.64347826086956517</v>
      </c>
      <c r="T1005">
        <f t="shared" si="78"/>
        <v>1.1499999999999999</v>
      </c>
      <c r="U1005" t="str">
        <f t="shared" si="79"/>
        <v>Feb</v>
      </c>
    </row>
    <row r="1006" spans="1:21">
      <c r="A1006" s="2">
        <v>46113</v>
      </c>
      <c r="B1006" t="s">
        <v>4</v>
      </c>
      <c r="C1006" t="s">
        <v>50</v>
      </c>
      <c r="D1006" t="s">
        <v>11</v>
      </c>
      <c r="E1006" t="s">
        <v>35</v>
      </c>
      <c r="F1006" t="s">
        <v>49</v>
      </c>
      <c r="G1006">
        <v>6</v>
      </c>
      <c r="H1006">
        <v>74</v>
      </c>
      <c r="I1006">
        <v>32</v>
      </c>
      <c r="J1006">
        <v>98</v>
      </c>
      <c r="K1006">
        <v>70</v>
      </c>
      <c r="L1006">
        <v>85.83</v>
      </c>
      <c r="M1006">
        <v>1948.46</v>
      </c>
      <c r="N1006">
        <v>71920</v>
      </c>
      <c r="O1006">
        <v>1084.49</v>
      </c>
      <c r="P1006" s="1">
        <v>6.9000000000000006E-2</v>
      </c>
      <c r="Q1006">
        <f t="shared" si="75"/>
        <v>80</v>
      </c>
      <c r="R1006">
        <f t="shared" si="76"/>
        <v>172</v>
      </c>
      <c r="S1006" s="1">
        <f t="shared" si="77"/>
        <v>0.6</v>
      </c>
      <c r="T1006">
        <f t="shared" si="78"/>
        <v>0.8</v>
      </c>
      <c r="U1006" t="str">
        <f t="shared" si="79"/>
        <v>Apr</v>
      </c>
    </row>
    <row r="1007" spans="1:21">
      <c r="A1007" s="2">
        <v>46089</v>
      </c>
      <c r="B1007" t="s">
        <v>4</v>
      </c>
      <c r="C1007" t="s">
        <v>31</v>
      </c>
      <c r="D1007" t="s">
        <v>10</v>
      </c>
      <c r="E1007" t="s">
        <v>42</v>
      </c>
      <c r="F1007" t="s">
        <v>39</v>
      </c>
      <c r="G1007">
        <v>86</v>
      </c>
      <c r="H1007">
        <v>66</v>
      </c>
      <c r="I1007">
        <v>0</v>
      </c>
      <c r="J1007">
        <v>50</v>
      </c>
      <c r="K1007">
        <v>3</v>
      </c>
      <c r="L1007">
        <v>101.72</v>
      </c>
      <c r="M1007">
        <v>2422.7800000000002</v>
      </c>
      <c r="N1007">
        <v>66164</v>
      </c>
      <c r="O1007">
        <v>1453.95</v>
      </c>
      <c r="P1007" s="1">
        <v>-0.42799999999999999</v>
      </c>
      <c r="Q1007">
        <f t="shared" si="75"/>
        <v>152</v>
      </c>
      <c r="R1007">
        <f t="shared" si="76"/>
        <v>116</v>
      </c>
      <c r="S1007" s="1">
        <f t="shared" si="77"/>
        <v>1</v>
      </c>
      <c r="T1007">
        <f t="shared" si="78"/>
        <v>1.52</v>
      </c>
      <c r="U1007" t="str">
        <f t="shared" si="79"/>
        <v>Mar</v>
      </c>
    </row>
    <row r="1008" spans="1:21">
      <c r="A1008" s="2">
        <v>46084</v>
      </c>
      <c r="B1008" t="s">
        <v>6</v>
      </c>
      <c r="C1008" t="s">
        <v>50</v>
      </c>
      <c r="D1008" t="s">
        <v>7</v>
      </c>
      <c r="E1008" t="s">
        <v>35</v>
      </c>
      <c r="F1008" t="s">
        <v>33</v>
      </c>
      <c r="G1008">
        <v>94</v>
      </c>
      <c r="H1008">
        <v>50</v>
      </c>
      <c r="I1008">
        <v>28</v>
      </c>
      <c r="J1008">
        <v>18</v>
      </c>
      <c r="K1008">
        <v>434</v>
      </c>
      <c r="L1008">
        <v>107.8</v>
      </c>
      <c r="M1008">
        <v>2412.04</v>
      </c>
      <c r="N1008">
        <v>65474</v>
      </c>
      <c r="O1008">
        <v>1347.11</v>
      </c>
      <c r="P1008" s="1">
        <v>0.58099999999999996</v>
      </c>
      <c r="Q1008">
        <f t="shared" si="75"/>
        <v>144</v>
      </c>
      <c r="R1008">
        <f t="shared" si="76"/>
        <v>68</v>
      </c>
      <c r="S1008" s="1">
        <f t="shared" si="77"/>
        <v>0.80555555555555558</v>
      </c>
      <c r="T1008">
        <f t="shared" si="78"/>
        <v>1.44</v>
      </c>
      <c r="U1008" t="str">
        <f t="shared" si="79"/>
        <v>Mar</v>
      </c>
    </row>
    <row r="1009" spans="1:21">
      <c r="A1009" s="2">
        <v>46114</v>
      </c>
      <c r="B1009" t="s">
        <v>6</v>
      </c>
      <c r="C1009" t="s">
        <v>40</v>
      </c>
      <c r="D1009" t="s">
        <v>7</v>
      </c>
      <c r="E1009" t="s">
        <v>42</v>
      </c>
      <c r="F1009" t="s">
        <v>45</v>
      </c>
      <c r="G1009">
        <v>30</v>
      </c>
      <c r="H1009">
        <v>74</v>
      </c>
      <c r="I1009">
        <v>13</v>
      </c>
      <c r="J1009">
        <v>42</v>
      </c>
      <c r="K1009">
        <v>20</v>
      </c>
      <c r="L1009">
        <v>132.75</v>
      </c>
      <c r="M1009">
        <v>2428.13</v>
      </c>
      <c r="N1009">
        <v>68866</v>
      </c>
      <c r="O1009">
        <v>1393.83</v>
      </c>
      <c r="P1009" s="1">
        <v>-0.30099999999999999</v>
      </c>
      <c r="Q1009">
        <f t="shared" si="75"/>
        <v>104</v>
      </c>
      <c r="R1009">
        <f t="shared" si="76"/>
        <v>116</v>
      </c>
      <c r="S1009" s="1">
        <f t="shared" si="77"/>
        <v>0.875</v>
      </c>
      <c r="T1009">
        <f t="shared" si="78"/>
        <v>1.04</v>
      </c>
      <c r="U1009" t="str">
        <f t="shared" si="79"/>
        <v>Apr</v>
      </c>
    </row>
    <row r="1010" spans="1:21">
      <c r="A1010" s="2">
        <v>46095</v>
      </c>
      <c r="B1010" t="s">
        <v>6</v>
      </c>
      <c r="C1010" t="s">
        <v>50</v>
      </c>
      <c r="D1010" t="s">
        <v>5</v>
      </c>
      <c r="E1010" t="s">
        <v>32</v>
      </c>
      <c r="F1010" t="s">
        <v>49</v>
      </c>
      <c r="G1010">
        <v>102</v>
      </c>
      <c r="H1010">
        <v>2</v>
      </c>
      <c r="I1010">
        <v>62</v>
      </c>
      <c r="J1010">
        <v>41</v>
      </c>
      <c r="K1010">
        <v>418</v>
      </c>
      <c r="L1010">
        <v>132.56</v>
      </c>
      <c r="M1010">
        <v>2264.27</v>
      </c>
      <c r="N1010">
        <v>64583</v>
      </c>
      <c r="O1010">
        <v>1073.67</v>
      </c>
      <c r="P1010" s="1">
        <v>-0.94499999999999995</v>
      </c>
      <c r="Q1010">
        <f t="shared" si="75"/>
        <v>104</v>
      </c>
      <c r="R1010">
        <f t="shared" si="76"/>
        <v>43</v>
      </c>
      <c r="S1010" s="1">
        <f t="shared" si="77"/>
        <v>0.40384615384615385</v>
      </c>
      <c r="T1010">
        <f t="shared" si="78"/>
        <v>1.04</v>
      </c>
      <c r="U1010" t="str">
        <f t="shared" si="79"/>
        <v>Mar</v>
      </c>
    </row>
    <row r="1011" spans="1:21">
      <c r="A1011" s="2">
        <v>46086</v>
      </c>
      <c r="B1011" t="s">
        <v>6</v>
      </c>
      <c r="C1011" t="s">
        <v>40</v>
      </c>
      <c r="D1011" t="s">
        <v>11</v>
      </c>
      <c r="E1011" t="s">
        <v>47</v>
      </c>
      <c r="F1011" t="s">
        <v>33</v>
      </c>
      <c r="G1011">
        <v>31</v>
      </c>
      <c r="H1011">
        <v>76</v>
      </c>
      <c r="I1011">
        <v>24</v>
      </c>
      <c r="J1011">
        <v>139</v>
      </c>
      <c r="K1011">
        <v>321</v>
      </c>
      <c r="L1011">
        <v>97.13</v>
      </c>
      <c r="M1011">
        <v>2263.7800000000002</v>
      </c>
      <c r="N1011">
        <v>64699</v>
      </c>
      <c r="O1011">
        <v>1195.31</v>
      </c>
      <c r="P1011" s="1">
        <v>-0.79900000000000004</v>
      </c>
      <c r="Q1011">
        <f t="shared" si="75"/>
        <v>107</v>
      </c>
      <c r="R1011">
        <f t="shared" si="76"/>
        <v>215</v>
      </c>
      <c r="S1011" s="1">
        <f t="shared" si="77"/>
        <v>0.77570093457943923</v>
      </c>
      <c r="T1011">
        <f t="shared" si="78"/>
        <v>1.07</v>
      </c>
      <c r="U1011" t="str">
        <f t="shared" si="79"/>
        <v>Mar</v>
      </c>
    </row>
    <row r="1012" spans="1:21">
      <c r="A1012" s="2">
        <v>46083</v>
      </c>
      <c r="B1012" t="s">
        <v>4</v>
      </c>
      <c r="C1012" t="s">
        <v>40</v>
      </c>
      <c r="D1012" t="s">
        <v>7</v>
      </c>
      <c r="E1012" t="s">
        <v>38</v>
      </c>
      <c r="F1012" t="s">
        <v>45</v>
      </c>
      <c r="G1012">
        <v>88</v>
      </c>
      <c r="H1012">
        <v>73</v>
      </c>
      <c r="I1012">
        <v>66</v>
      </c>
      <c r="J1012">
        <v>118</v>
      </c>
      <c r="K1012">
        <v>410</v>
      </c>
      <c r="L1012">
        <v>111.14</v>
      </c>
      <c r="M1012">
        <v>1864.81</v>
      </c>
      <c r="N1012">
        <v>69826</v>
      </c>
      <c r="O1012">
        <v>1615.25</v>
      </c>
      <c r="P1012" s="1">
        <v>-0.746</v>
      </c>
      <c r="Q1012">
        <f t="shared" si="75"/>
        <v>161</v>
      </c>
      <c r="R1012">
        <f t="shared" si="76"/>
        <v>191</v>
      </c>
      <c r="S1012" s="1">
        <f t="shared" si="77"/>
        <v>0.59006211180124224</v>
      </c>
      <c r="T1012">
        <f t="shared" si="78"/>
        <v>1.61</v>
      </c>
      <c r="U1012" t="str">
        <f t="shared" si="79"/>
        <v>Mar</v>
      </c>
    </row>
    <row r="1013" spans="1:21">
      <c r="A1013" s="2">
        <v>46110</v>
      </c>
      <c r="B1013" t="s">
        <v>4</v>
      </c>
      <c r="C1013" t="s">
        <v>48</v>
      </c>
      <c r="D1013" t="s">
        <v>5</v>
      </c>
      <c r="E1013" t="s">
        <v>35</v>
      </c>
      <c r="F1013" t="s">
        <v>45</v>
      </c>
      <c r="G1013">
        <v>78</v>
      </c>
      <c r="H1013">
        <v>19</v>
      </c>
      <c r="I1013">
        <v>32</v>
      </c>
      <c r="J1013">
        <v>91</v>
      </c>
      <c r="K1013">
        <v>356</v>
      </c>
      <c r="L1013">
        <v>80.900000000000006</v>
      </c>
      <c r="M1013">
        <v>2343.29</v>
      </c>
      <c r="N1013">
        <v>72613</v>
      </c>
      <c r="O1013">
        <v>1659.08</v>
      </c>
      <c r="P1013" s="1">
        <v>0.20899999999999999</v>
      </c>
      <c r="Q1013">
        <f t="shared" si="75"/>
        <v>97</v>
      </c>
      <c r="R1013">
        <f t="shared" si="76"/>
        <v>110</v>
      </c>
      <c r="S1013" s="1">
        <f t="shared" si="77"/>
        <v>0.67010309278350511</v>
      </c>
      <c r="T1013">
        <f t="shared" si="78"/>
        <v>0.97</v>
      </c>
      <c r="U1013" t="str">
        <f t="shared" si="79"/>
        <v>Mar</v>
      </c>
    </row>
    <row r="1014" spans="1:21">
      <c r="A1014" s="2">
        <v>46126</v>
      </c>
      <c r="B1014" t="s">
        <v>6</v>
      </c>
      <c r="C1014" t="s">
        <v>48</v>
      </c>
      <c r="D1014" t="s">
        <v>7</v>
      </c>
      <c r="E1014" t="s">
        <v>41</v>
      </c>
      <c r="F1014" t="s">
        <v>49</v>
      </c>
      <c r="G1014">
        <v>27</v>
      </c>
      <c r="H1014">
        <v>36</v>
      </c>
      <c r="I1014">
        <v>83</v>
      </c>
      <c r="J1014">
        <v>97</v>
      </c>
      <c r="K1014">
        <v>60</v>
      </c>
      <c r="L1014">
        <v>136.22999999999999</v>
      </c>
      <c r="M1014">
        <v>2140.12</v>
      </c>
      <c r="N1014">
        <v>69188</v>
      </c>
      <c r="O1014">
        <v>1788.27</v>
      </c>
      <c r="P1014" s="1">
        <v>-0.40500000000000003</v>
      </c>
      <c r="Q1014">
        <f t="shared" si="75"/>
        <v>63</v>
      </c>
      <c r="R1014">
        <f t="shared" si="76"/>
        <v>133</v>
      </c>
      <c r="S1014" s="1">
        <f t="shared" si="77"/>
        <v>-0.31746031746031744</v>
      </c>
      <c r="T1014">
        <f t="shared" si="78"/>
        <v>0.63</v>
      </c>
      <c r="U1014" t="str">
        <f t="shared" si="79"/>
        <v>Apr</v>
      </c>
    </row>
    <row r="1015" spans="1:21">
      <c r="A1015" s="2">
        <v>46096</v>
      </c>
      <c r="B1015" t="s">
        <v>6</v>
      </c>
      <c r="C1015" t="s">
        <v>46</v>
      </c>
      <c r="D1015" t="s">
        <v>5</v>
      </c>
      <c r="E1015" t="s">
        <v>42</v>
      </c>
      <c r="F1015" t="s">
        <v>33</v>
      </c>
      <c r="G1015">
        <v>110</v>
      </c>
      <c r="H1015">
        <v>31</v>
      </c>
      <c r="I1015">
        <v>58</v>
      </c>
      <c r="J1015">
        <v>141</v>
      </c>
      <c r="K1015">
        <v>128</v>
      </c>
      <c r="L1015">
        <v>131.04</v>
      </c>
      <c r="M1015">
        <v>2181.39</v>
      </c>
      <c r="N1015">
        <v>67926</v>
      </c>
      <c r="O1015">
        <v>1060.8</v>
      </c>
      <c r="P1015" s="1">
        <v>-0.72899999999999998</v>
      </c>
      <c r="Q1015">
        <f t="shared" si="75"/>
        <v>141</v>
      </c>
      <c r="R1015">
        <f t="shared" si="76"/>
        <v>172</v>
      </c>
      <c r="S1015" s="1">
        <f t="shared" si="77"/>
        <v>0.58865248226950351</v>
      </c>
      <c r="T1015">
        <f t="shared" si="78"/>
        <v>1.41</v>
      </c>
      <c r="U1015" t="str">
        <f t="shared" si="79"/>
        <v>Mar</v>
      </c>
    </row>
    <row r="1016" spans="1:21">
      <c r="A1016" s="2">
        <v>46087</v>
      </c>
      <c r="B1016" t="s">
        <v>4</v>
      </c>
      <c r="C1016" t="s">
        <v>46</v>
      </c>
      <c r="D1016" t="s">
        <v>5</v>
      </c>
      <c r="E1016" t="s">
        <v>38</v>
      </c>
      <c r="F1016" t="s">
        <v>49</v>
      </c>
      <c r="G1016">
        <v>36</v>
      </c>
      <c r="H1016">
        <v>67</v>
      </c>
      <c r="I1016">
        <v>26</v>
      </c>
      <c r="J1016">
        <v>6</v>
      </c>
      <c r="K1016">
        <v>190</v>
      </c>
      <c r="L1016">
        <v>98.83</v>
      </c>
      <c r="M1016">
        <v>2436.39</v>
      </c>
      <c r="N1016">
        <v>65731</v>
      </c>
      <c r="O1016">
        <v>1793.99</v>
      </c>
      <c r="P1016" s="1">
        <v>-0.70599999999999996</v>
      </c>
      <c r="Q1016">
        <f t="shared" si="75"/>
        <v>103</v>
      </c>
      <c r="R1016">
        <f t="shared" si="76"/>
        <v>73</v>
      </c>
      <c r="S1016" s="1">
        <f t="shared" si="77"/>
        <v>0.74757281553398058</v>
      </c>
      <c r="T1016">
        <f t="shared" si="78"/>
        <v>1.03</v>
      </c>
      <c r="U1016" t="str">
        <f t="shared" si="79"/>
        <v>Mar</v>
      </c>
    </row>
    <row r="1017" spans="1:21">
      <c r="A1017" s="2">
        <v>46078</v>
      </c>
      <c r="B1017" t="s">
        <v>4</v>
      </c>
      <c r="C1017" t="s">
        <v>43</v>
      </c>
      <c r="D1017" t="s">
        <v>10</v>
      </c>
      <c r="E1017" t="s">
        <v>35</v>
      </c>
      <c r="F1017" t="s">
        <v>49</v>
      </c>
      <c r="G1017">
        <v>104</v>
      </c>
      <c r="H1017">
        <v>49</v>
      </c>
      <c r="I1017">
        <v>39</v>
      </c>
      <c r="J1017">
        <v>51</v>
      </c>
      <c r="K1017">
        <v>199</v>
      </c>
      <c r="L1017">
        <v>83.62</v>
      </c>
      <c r="M1017">
        <v>1834.62</v>
      </c>
      <c r="N1017">
        <v>68105</v>
      </c>
      <c r="O1017">
        <v>930.87</v>
      </c>
      <c r="P1017" s="1">
        <v>0.64400000000000002</v>
      </c>
      <c r="Q1017">
        <f t="shared" si="75"/>
        <v>153</v>
      </c>
      <c r="R1017">
        <f t="shared" si="76"/>
        <v>100</v>
      </c>
      <c r="S1017" s="1">
        <f t="shared" si="77"/>
        <v>0.74509803921568629</v>
      </c>
      <c r="T1017">
        <f t="shared" si="78"/>
        <v>1.53</v>
      </c>
      <c r="U1017" t="str">
        <f t="shared" si="79"/>
        <v>Feb</v>
      </c>
    </row>
    <row r="1018" spans="1:21">
      <c r="A1018" s="2">
        <v>46115</v>
      </c>
      <c r="B1018" t="s">
        <v>6</v>
      </c>
      <c r="C1018" t="s">
        <v>43</v>
      </c>
      <c r="D1018" t="s">
        <v>10</v>
      </c>
      <c r="E1018" t="s">
        <v>38</v>
      </c>
      <c r="F1018" t="s">
        <v>39</v>
      </c>
      <c r="G1018">
        <v>4</v>
      </c>
      <c r="H1018">
        <v>16</v>
      </c>
      <c r="I1018">
        <v>19</v>
      </c>
      <c r="J1018">
        <v>50</v>
      </c>
      <c r="K1018">
        <v>166</v>
      </c>
      <c r="L1018">
        <v>106.96</v>
      </c>
      <c r="M1018">
        <v>1951.39</v>
      </c>
      <c r="N1018">
        <v>75204</v>
      </c>
      <c r="O1018">
        <v>1330.3</v>
      </c>
      <c r="P1018" s="1">
        <v>-0.69099999999999995</v>
      </c>
      <c r="Q1018">
        <f t="shared" si="75"/>
        <v>20</v>
      </c>
      <c r="R1018">
        <f t="shared" si="76"/>
        <v>66</v>
      </c>
      <c r="S1018" s="1">
        <f t="shared" si="77"/>
        <v>0.05</v>
      </c>
      <c r="T1018">
        <f t="shared" si="78"/>
        <v>0.2</v>
      </c>
      <c r="U1018" t="str">
        <f t="shared" si="79"/>
        <v>Apr</v>
      </c>
    </row>
    <row r="1019" spans="1:21">
      <c r="A1019" s="2">
        <v>46121</v>
      </c>
      <c r="B1019" t="s">
        <v>4</v>
      </c>
      <c r="C1019" t="s">
        <v>36</v>
      </c>
      <c r="D1019" t="s">
        <v>10</v>
      </c>
      <c r="E1019" t="s">
        <v>41</v>
      </c>
      <c r="F1019" t="s">
        <v>33</v>
      </c>
      <c r="G1019">
        <v>45</v>
      </c>
      <c r="H1019">
        <v>16</v>
      </c>
      <c r="I1019">
        <v>36</v>
      </c>
      <c r="J1019">
        <v>15</v>
      </c>
      <c r="K1019">
        <v>11</v>
      </c>
      <c r="L1019">
        <v>98.17</v>
      </c>
      <c r="M1019">
        <v>2464.52</v>
      </c>
      <c r="N1019">
        <v>72892</v>
      </c>
      <c r="O1019">
        <v>1760.63</v>
      </c>
      <c r="P1019" s="1">
        <v>0.13</v>
      </c>
      <c r="Q1019">
        <f t="shared" si="75"/>
        <v>61</v>
      </c>
      <c r="R1019">
        <f t="shared" si="76"/>
        <v>31</v>
      </c>
      <c r="S1019" s="1">
        <f t="shared" si="77"/>
        <v>0.4098360655737705</v>
      </c>
      <c r="T1019">
        <f t="shared" si="78"/>
        <v>0.61</v>
      </c>
      <c r="U1019" t="str">
        <f t="shared" si="79"/>
        <v>Apr</v>
      </c>
    </row>
    <row r="1020" spans="1:21">
      <c r="A1020" s="2">
        <v>46112</v>
      </c>
      <c r="B1020" t="s">
        <v>6</v>
      </c>
      <c r="C1020" t="s">
        <v>43</v>
      </c>
      <c r="D1020" t="s">
        <v>10</v>
      </c>
      <c r="E1020" t="s">
        <v>47</v>
      </c>
      <c r="F1020" t="s">
        <v>39</v>
      </c>
      <c r="G1020">
        <v>96</v>
      </c>
      <c r="H1020">
        <v>69</v>
      </c>
      <c r="I1020">
        <v>63</v>
      </c>
      <c r="J1020">
        <v>45</v>
      </c>
      <c r="K1020">
        <v>333</v>
      </c>
      <c r="L1020">
        <v>107.57</v>
      </c>
      <c r="M1020">
        <v>2202.77</v>
      </c>
      <c r="N1020">
        <v>70299</v>
      </c>
      <c r="O1020">
        <v>1209.77</v>
      </c>
      <c r="P1020" s="1">
        <v>0.67200000000000004</v>
      </c>
      <c r="Q1020">
        <f t="shared" si="75"/>
        <v>165</v>
      </c>
      <c r="R1020">
        <f t="shared" si="76"/>
        <v>114</v>
      </c>
      <c r="S1020" s="1">
        <f t="shared" si="77"/>
        <v>0.61818181818181817</v>
      </c>
      <c r="T1020">
        <f t="shared" si="78"/>
        <v>1.65</v>
      </c>
      <c r="U1020" t="str">
        <f t="shared" si="79"/>
        <v>Mar</v>
      </c>
    </row>
    <row r="1021" spans="1:21">
      <c r="A1021" s="2">
        <v>46111</v>
      </c>
      <c r="B1021" t="s">
        <v>6</v>
      </c>
      <c r="C1021" t="s">
        <v>31</v>
      </c>
      <c r="D1021" t="s">
        <v>5</v>
      </c>
      <c r="E1021" t="s">
        <v>32</v>
      </c>
      <c r="F1021" t="s">
        <v>49</v>
      </c>
      <c r="G1021">
        <v>34</v>
      </c>
      <c r="H1021">
        <v>32</v>
      </c>
      <c r="I1021">
        <v>4</v>
      </c>
      <c r="J1021">
        <v>21</v>
      </c>
      <c r="K1021">
        <v>75</v>
      </c>
      <c r="L1021">
        <v>128.09</v>
      </c>
      <c r="M1021">
        <v>2138.12</v>
      </c>
      <c r="N1021">
        <v>71129</v>
      </c>
      <c r="O1021">
        <v>1593.81</v>
      </c>
      <c r="P1021" s="1">
        <v>-0.28499999999999998</v>
      </c>
      <c r="Q1021">
        <f t="shared" si="75"/>
        <v>66</v>
      </c>
      <c r="R1021">
        <f t="shared" si="76"/>
        <v>53</v>
      </c>
      <c r="S1021" s="1">
        <f t="shared" si="77"/>
        <v>0.93939393939393945</v>
      </c>
      <c r="T1021">
        <f t="shared" si="78"/>
        <v>0.66</v>
      </c>
      <c r="U1021" t="str">
        <f t="shared" si="79"/>
        <v>Mar</v>
      </c>
    </row>
    <row r="1022" spans="1:21">
      <c r="A1022" s="2">
        <v>46093</v>
      </c>
      <c r="B1022" t="s">
        <v>6</v>
      </c>
      <c r="C1022" t="s">
        <v>34</v>
      </c>
      <c r="D1022" t="s">
        <v>10</v>
      </c>
      <c r="E1022" t="s">
        <v>38</v>
      </c>
      <c r="F1022" t="s">
        <v>49</v>
      </c>
      <c r="G1022">
        <v>54</v>
      </c>
      <c r="H1022">
        <v>27</v>
      </c>
      <c r="I1022">
        <v>6</v>
      </c>
      <c r="J1022">
        <v>6</v>
      </c>
      <c r="K1022">
        <v>417</v>
      </c>
      <c r="L1022">
        <v>99.41</v>
      </c>
      <c r="M1022">
        <v>2396.37</v>
      </c>
      <c r="N1022">
        <v>71499</v>
      </c>
      <c r="O1022">
        <v>909.93</v>
      </c>
      <c r="P1022" s="1">
        <v>0.54800000000000004</v>
      </c>
      <c r="Q1022">
        <f t="shared" si="75"/>
        <v>81</v>
      </c>
      <c r="R1022">
        <f t="shared" si="76"/>
        <v>33</v>
      </c>
      <c r="S1022" s="1">
        <f t="shared" si="77"/>
        <v>0.92592592592592593</v>
      </c>
      <c r="T1022">
        <f t="shared" si="78"/>
        <v>0.81</v>
      </c>
      <c r="U1022" t="str">
        <f t="shared" si="79"/>
        <v>Mar</v>
      </c>
    </row>
    <row r="1023" spans="1:21">
      <c r="A1023" s="2">
        <v>46068</v>
      </c>
      <c r="B1023" t="s">
        <v>6</v>
      </c>
      <c r="C1023" t="s">
        <v>51</v>
      </c>
      <c r="D1023" t="s">
        <v>7</v>
      </c>
      <c r="E1023" t="s">
        <v>42</v>
      </c>
      <c r="F1023" t="s">
        <v>49</v>
      </c>
      <c r="G1023">
        <v>13</v>
      </c>
      <c r="H1023">
        <v>51</v>
      </c>
      <c r="I1023">
        <v>51</v>
      </c>
      <c r="J1023">
        <v>97</v>
      </c>
      <c r="K1023">
        <v>150</v>
      </c>
      <c r="L1023">
        <v>99.95</v>
      </c>
      <c r="M1023">
        <v>1999.06</v>
      </c>
      <c r="N1023">
        <v>64213</v>
      </c>
      <c r="O1023">
        <v>1122.24</v>
      </c>
      <c r="P1023" s="1">
        <v>0.54800000000000004</v>
      </c>
      <c r="Q1023">
        <f t="shared" si="75"/>
        <v>64</v>
      </c>
      <c r="R1023">
        <f t="shared" si="76"/>
        <v>148</v>
      </c>
      <c r="S1023" s="1">
        <f t="shared" si="77"/>
        <v>0.203125</v>
      </c>
      <c r="T1023">
        <f t="shared" si="78"/>
        <v>0.64</v>
      </c>
      <c r="U1023" t="str">
        <f t="shared" si="79"/>
        <v>Feb</v>
      </c>
    </row>
    <row r="1024" spans="1:21">
      <c r="A1024" s="2">
        <v>46092</v>
      </c>
      <c r="B1024" t="s">
        <v>4</v>
      </c>
      <c r="C1024" t="s">
        <v>48</v>
      </c>
      <c r="D1024" t="s">
        <v>11</v>
      </c>
      <c r="E1024" t="s">
        <v>42</v>
      </c>
      <c r="F1024" t="s">
        <v>45</v>
      </c>
      <c r="G1024">
        <v>70</v>
      </c>
      <c r="H1024">
        <v>2</v>
      </c>
      <c r="I1024">
        <v>49</v>
      </c>
      <c r="J1024">
        <v>2</v>
      </c>
      <c r="K1024">
        <v>57</v>
      </c>
      <c r="L1024">
        <v>122.5</v>
      </c>
      <c r="M1024">
        <v>2174.27</v>
      </c>
      <c r="N1024">
        <v>72976</v>
      </c>
      <c r="O1024">
        <v>1012.7</v>
      </c>
      <c r="P1024" s="1">
        <v>0.16400000000000001</v>
      </c>
      <c r="Q1024">
        <f t="shared" si="75"/>
        <v>72</v>
      </c>
      <c r="R1024">
        <f t="shared" si="76"/>
        <v>4</v>
      </c>
      <c r="S1024" s="1">
        <f t="shared" si="77"/>
        <v>0.31944444444444442</v>
      </c>
      <c r="T1024">
        <f t="shared" si="78"/>
        <v>0.72</v>
      </c>
      <c r="U1024" t="str">
        <f t="shared" si="79"/>
        <v>Mar</v>
      </c>
    </row>
    <row r="1025" spans="1:21">
      <c r="A1025" s="2">
        <v>46100</v>
      </c>
      <c r="B1025" t="s">
        <v>6</v>
      </c>
      <c r="C1025" t="s">
        <v>36</v>
      </c>
      <c r="D1025" t="s">
        <v>5</v>
      </c>
      <c r="E1025" t="s">
        <v>42</v>
      </c>
      <c r="F1025" t="s">
        <v>33</v>
      </c>
      <c r="G1025">
        <v>61</v>
      </c>
      <c r="H1025">
        <v>54</v>
      </c>
      <c r="I1025">
        <v>0</v>
      </c>
      <c r="J1025">
        <v>32</v>
      </c>
      <c r="K1025">
        <v>167</v>
      </c>
      <c r="L1025">
        <v>97.32</v>
      </c>
      <c r="M1025">
        <v>2028.43</v>
      </c>
      <c r="N1025">
        <v>71918</v>
      </c>
      <c r="O1025">
        <v>1232.52</v>
      </c>
      <c r="P1025" s="1">
        <v>-0.99199999999999999</v>
      </c>
      <c r="Q1025">
        <f t="shared" si="75"/>
        <v>115</v>
      </c>
      <c r="R1025">
        <f t="shared" si="76"/>
        <v>86</v>
      </c>
      <c r="S1025" s="1">
        <f t="shared" si="77"/>
        <v>1</v>
      </c>
      <c r="T1025">
        <f t="shared" si="78"/>
        <v>1.1499999999999999</v>
      </c>
      <c r="U1025" t="str">
        <f t="shared" si="79"/>
        <v>Mar</v>
      </c>
    </row>
    <row r="1026" spans="1:21">
      <c r="A1026" s="2">
        <v>46107</v>
      </c>
      <c r="B1026" t="s">
        <v>6</v>
      </c>
      <c r="C1026" t="s">
        <v>48</v>
      </c>
      <c r="D1026" t="s">
        <v>10</v>
      </c>
      <c r="E1026" t="s">
        <v>35</v>
      </c>
      <c r="F1026" t="s">
        <v>49</v>
      </c>
      <c r="G1026">
        <v>35</v>
      </c>
      <c r="H1026">
        <v>57</v>
      </c>
      <c r="I1026">
        <v>39</v>
      </c>
      <c r="J1026">
        <v>108</v>
      </c>
      <c r="K1026">
        <v>299</v>
      </c>
      <c r="L1026">
        <v>85.4</v>
      </c>
      <c r="M1026">
        <v>1991.37</v>
      </c>
      <c r="N1026">
        <v>71206</v>
      </c>
      <c r="O1026">
        <v>987.07</v>
      </c>
      <c r="P1026" s="1">
        <v>0.27900000000000003</v>
      </c>
      <c r="Q1026">
        <f t="shared" si="75"/>
        <v>92</v>
      </c>
      <c r="R1026">
        <f t="shared" si="76"/>
        <v>165</v>
      </c>
      <c r="S1026" s="1">
        <f t="shared" si="77"/>
        <v>0.57608695652173914</v>
      </c>
      <c r="T1026">
        <f t="shared" si="78"/>
        <v>0.92</v>
      </c>
      <c r="U1026" t="str">
        <f t="shared" si="79"/>
        <v>Mar</v>
      </c>
    </row>
    <row r="1027" spans="1:21">
      <c r="A1027" s="2">
        <v>46116</v>
      </c>
      <c r="B1027" t="s">
        <v>6</v>
      </c>
      <c r="C1027" t="s">
        <v>46</v>
      </c>
      <c r="D1027" t="s">
        <v>9</v>
      </c>
      <c r="E1027" t="s">
        <v>37</v>
      </c>
      <c r="F1027" t="s">
        <v>33</v>
      </c>
      <c r="G1027">
        <v>102</v>
      </c>
      <c r="H1027">
        <v>79</v>
      </c>
      <c r="I1027">
        <v>16</v>
      </c>
      <c r="J1027">
        <v>15</v>
      </c>
      <c r="K1027">
        <v>61</v>
      </c>
      <c r="L1027">
        <v>127.87</v>
      </c>
      <c r="M1027">
        <v>2346.63</v>
      </c>
      <c r="N1027">
        <v>73508</v>
      </c>
      <c r="O1027">
        <v>1353.54</v>
      </c>
      <c r="P1027" s="1">
        <v>0.29399999999999998</v>
      </c>
      <c r="Q1027">
        <f t="shared" ref="Q1027:Q1090" si="80">G1027+H1027</f>
        <v>181</v>
      </c>
      <c r="R1027">
        <f t="shared" ref="R1027:R1090" si="81">J1027+H1027</f>
        <v>94</v>
      </c>
      <c r="S1027" s="1">
        <f t="shared" ref="S1027:S1090" si="82">(Q1027-I1027)/(Q1027)</f>
        <v>0.91160220994475138</v>
      </c>
      <c r="T1027">
        <f t="shared" ref="T1027:T1090" si="83">Q1027/100</f>
        <v>1.81</v>
      </c>
      <c r="U1027" t="str">
        <f t="shared" ref="U1027:U1090" si="84">TEXT(A1027,"mmm")</f>
        <v>Apr</v>
      </c>
    </row>
    <row r="1028" spans="1:21">
      <c r="A1028" s="2">
        <v>46082</v>
      </c>
      <c r="B1028" t="s">
        <v>6</v>
      </c>
      <c r="C1028" t="s">
        <v>40</v>
      </c>
      <c r="D1028" t="s">
        <v>5</v>
      </c>
      <c r="E1028" t="s">
        <v>38</v>
      </c>
      <c r="F1028" t="s">
        <v>33</v>
      </c>
      <c r="G1028">
        <v>29</v>
      </c>
      <c r="H1028">
        <v>63</v>
      </c>
      <c r="I1028">
        <v>17</v>
      </c>
      <c r="J1028">
        <v>28</v>
      </c>
      <c r="K1028">
        <v>224</v>
      </c>
      <c r="L1028">
        <v>90.83</v>
      </c>
      <c r="M1028">
        <v>2251.89</v>
      </c>
      <c r="N1028">
        <v>67474</v>
      </c>
      <c r="O1028">
        <v>1242.83</v>
      </c>
      <c r="P1028" s="1">
        <v>-0.60799999999999998</v>
      </c>
      <c r="Q1028">
        <f t="shared" si="80"/>
        <v>92</v>
      </c>
      <c r="R1028">
        <f t="shared" si="81"/>
        <v>91</v>
      </c>
      <c r="S1028" s="1">
        <f t="shared" si="82"/>
        <v>0.81521739130434778</v>
      </c>
      <c r="T1028">
        <f t="shared" si="83"/>
        <v>0.92</v>
      </c>
      <c r="U1028" t="str">
        <f t="shared" si="84"/>
        <v>Mar</v>
      </c>
    </row>
    <row r="1029" spans="1:21">
      <c r="A1029" s="2">
        <v>46105</v>
      </c>
      <c r="B1029" t="s">
        <v>4</v>
      </c>
      <c r="C1029" t="s">
        <v>34</v>
      </c>
      <c r="D1029" t="s">
        <v>10</v>
      </c>
      <c r="E1029" t="s">
        <v>47</v>
      </c>
      <c r="F1029" t="s">
        <v>33</v>
      </c>
      <c r="G1029">
        <v>67</v>
      </c>
      <c r="H1029">
        <v>71</v>
      </c>
      <c r="I1029">
        <v>83</v>
      </c>
      <c r="J1029">
        <v>116</v>
      </c>
      <c r="K1029">
        <v>39</v>
      </c>
      <c r="L1029">
        <v>120.71</v>
      </c>
      <c r="M1029">
        <v>2229.17</v>
      </c>
      <c r="N1029">
        <v>66098</v>
      </c>
      <c r="O1029">
        <v>1312.49</v>
      </c>
      <c r="P1029" s="1">
        <v>0.95899999999999996</v>
      </c>
      <c r="Q1029">
        <f t="shared" si="80"/>
        <v>138</v>
      </c>
      <c r="R1029">
        <f t="shared" si="81"/>
        <v>187</v>
      </c>
      <c r="S1029" s="1">
        <f t="shared" si="82"/>
        <v>0.39855072463768115</v>
      </c>
      <c r="T1029">
        <f t="shared" si="83"/>
        <v>1.38</v>
      </c>
      <c r="U1029" t="str">
        <f t="shared" si="84"/>
        <v>Mar</v>
      </c>
    </row>
    <row r="1030" spans="1:21">
      <c r="A1030" s="2">
        <v>46126</v>
      </c>
      <c r="B1030" t="s">
        <v>6</v>
      </c>
      <c r="C1030" t="s">
        <v>46</v>
      </c>
      <c r="D1030" t="s">
        <v>11</v>
      </c>
      <c r="E1030" t="s">
        <v>35</v>
      </c>
      <c r="F1030" t="s">
        <v>33</v>
      </c>
      <c r="G1030">
        <v>91</v>
      </c>
      <c r="H1030">
        <v>67</v>
      </c>
      <c r="I1030">
        <v>5</v>
      </c>
      <c r="J1030">
        <v>142</v>
      </c>
      <c r="K1030">
        <v>359</v>
      </c>
      <c r="L1030">
        <v>93.31</v>
      </c>
      <c r="M1030">
        <v>1857.3</v>
      </c>
      <c r="N1030">
        <v>75930</v>
      </c>
      <c r="O1030">
        <v>1075.6500000000001</v>
      </c>
      <c r="P1030" s="1">
        <v>-0.505</v>
      </c>
      <c r="Q1030">
        <f t="shared" si="80"/>
        <v>158</v>
      </c>
      <c r="R1030">
        <f t="shared" si="81"/>
        <v>209</v>
      </c>
      <c r="S1030" s="1">
        <f t="shared" si="82"/>
        <v>0.96835443037974689</v>
      </c>
      <c r="T1030">
        <f t="shared" si="83"/>
        <v>1.58</v>
      </c>
      <c r="U1030" t="str">
        <f t="shared" si="84"/>
        <v>Apr</v>
      </c>
    </row>
    <row r="1031" spans="1:21">
      <c r="A1031" s="2">
        <v>46107</v>
      </c>
      <c r="B1031" t="s">
        <v>4</v>
      </c>
      <c r="C1031" t="s">
        <v>51</v>
      </c>
      <c r="D1031" t="s">
        <v>9</v>
      </c>
      <c r="E1031" t="s">
        <v>35</v>
      </c>
      <c r="F1031" t="s">
        <v>45</v>
      </c>
      <c r="G1031">
        <v>57</v>
      </c>
      <c r="H1031">
        <v>6</v>
      </c>
      <c r="I1031">
        <v>69</v>
      </c>
      <c r="J1031">
        <v>126</v>
      </c>
      <c r="K1031">
        <v>114</v>
      </c>
      <c r="L1031">
        <v>80.91</v>
      </c>
      <c r="M1031">
        <v>1906.86</v>
      </c>
      <c r="N1031">
        <v>65411</v>
      </c>
      <c r="O1031">
        <v>1450.3</v>
      </c>
      <c r="P1031" s="1">
        <v>9.0999999999999998E-2</v>
      </c>
      <c r="Q1031">
        <f t="shared" si="80"/>
        <v>63</v>
      </c>
      <c r="R1031">
        <f t="shared" si="81"/>
        <v>132</v>
      </c>
      <c r="S1031" s="1">
        <f t="shared" si="82"/>
        <v>-9.5238095238095233E-2</v>
      </c>
      <c r="T1031">
        <f t="shared" si="83"/>
        <v>0.63</v>
      </c>
      <c r="U1031" t="str">
        <f t="shared" si="84"/>
        <v>Mar</v>
      </c>
    </row>
    <row r="1032" spans="1:21">
      <c r="A1032" s="2">
        <v>46082</v>
      </c>
      <c r="B1032" t="s">
        <v>4</v>
      </c>
      <c r="C1032" t="s">
        <v>51</v>
      </c>
      <c r="D1032" t="s">
        <v>9</v>
      </c>
      <c r="E1032" t="s">
        <v>38</v>
      </c>
      <c r="F1032" t="s">
        <v>49</v>
      </c>
      <c r="G1032">
        <v>79</v>
      </c>
      <c r="H1032">
        <v>29</v>
      </c>
      <c r="I1032">
        <v>74</v>
      </c>
      <c r="J1032">
        <v>103</v>
      </c>
      <c r="K1032">
        <v>448</v>
      </c>
      <c r="L1032">
        <v>134.35</v>
      </c>
      <c r="M1032">
        <v>2434.63</v>
      </c>
      <c r="N1032">
        <v>71242</v>
      </c>
      <c r="O1032">
        <v>1037.19</v>
      </c>
      <c r="P1032" s="1">
        <v>0.68</v>
      </c>
      <c r="Q1032">
        <f t="shared" si="80"/>
        <v>108</v>
      </c>
      <c r="R1032">
        <f t="shared" si="81"/>
        <v>132</v>
      </c>
      <c r="S1032" s="1">
        <f t="shared" si="82"/>
        <v>0.31481481481481483</v>
      </c>
      <c r="T1032">
        <f t="shared" si="83"/>
        <v>1.08</v>
      </c>
      <c r="U1032" t="str">
        <f t="shared" si="84"/>
        <v>Mar</v>
      </c>
    </row>
    <row r="1033" spans="1:21">
      <c r="A1033" s="2">
        <v>46095</v>
      </c>
      <c r="B1033" t="s">
        <v>4</v>
      </c>
      <c r="C1033" t="s">
        <v>44</v>
      </c>
      <c r="D1033" t="s">
        <v>10</v>
      </c>
      <c r="E1033" t="s">
        <v>42</v>
      </c>
      <c r="F1033" t="s">
        <v>45</v>
      </c>
      <c r="G1033">
        <v>84</v>
      </c>
      <c r="H1033">
        <v>75</v>
      </c>
      <c r="I1033">
        <v>35</v>
      </c>
      <c r="J1033">
        <v>133</v>
      </c>
      <c r="K1033">
        <v>152</v>
      </c>
      <c r="L1033">
        <v>123.65</v>
      </c>
      <c r="M1033">
        <v>2134.56</v>
      </c>
      <c r="N1033">
        <v>65532</v>
      </c>
      <c r="O1033">
        <v>1372.44</v>
      </c>
      <c r="P1033" s="1">
        <v>-0.85099999999999998</v>
      </c>
      <c r="Q1033">
        <f t="shared" si="80"/>
        <v>159</v>
      </c>
      <c r="R1033">
        <f t="shared" si="81"/>
        <v>208</v>
      </c>
      <c r="S1033" s="1">
        <f t="shared" si="82"/>
        <v>0.77987421383647804</v>
      </c>
      <c r="T1033">
        <f t="shared" si="83"/>
        <v>1.59</v>
      </c>
      <c r="U1033" t="str">
        <f t="shared" si="84"/>
        <v>Mar</v>
      </c>
    </row>
    <row r="1034" spans="1:21">
      <c r="A1034" s="2">
        <v>46119</v>
      </c>
      <c r="B1034" t="s">
        <v>6</v>
      </c>
      <c r="C1034" t="s">
        <v>36</v>
      </c>
      <c r="D1034" t="s">
        <v>9</v>
      </c>
      <c r="E1034" t="s">
        <v>37</v>
      </c>
      <c r="F1034" t="s">
        <v>49</v>
      </c>
      <c r="G1034">
        <v>118</v>
      </c>
      <c r="H1034">
        <v>67</v>
      </c>
      <c r="I1034">
        <v>51</v>
      </c>
      <c r="J1034">
        <v>133</v>
      </c>
      <c r="K1034">
        <v>126</v>
      </c>
      <c r="L1034">
        <v>99.95</v>
      </c>
      <c r="M1034">
        <v>1982.66</v>
      </c>
      <c r="N1034">
        <v>71590</v>
      </c>
      <c r="O1034">
        <v>1406.54</v>
      </c>
      <c r="P1034" s="1">
        <v>0.6</v>
      </c>
      <c r="Q1034">
        <f t="shared" si="80"/>
        <v>185</v>
      </c>
      <c r="R1034">
        <f t="shared" si="81"/>
        <v>200</v>
      </c>
      <c r="S1034" s="1">
        <f t="shared" si="82"/>
        <v>0.72432432432432436</v>
      </c>
      <c r="T1034">
        <f t="shared" si="83"/>
        <v>1.85</v>
      </c>
      <c r="U1034" t="str">
        <f t="shared" si="84"/>
        <v>Apr</v>
      </c>
    </row>
    <row r="1035" spans="1:21">
      <c r="A1035" s="2">
        <v>46117</v>
      </c>
      <c r="B1035" t="s">
        <v>4</v>
      </c>
      <c r="C1035" t="s">
        <v>46</v>
      </c>
      <c r="D1035" t="s">
        <v>9</v>
      </c>
      <c r="E1035" t="s">
        <v>37</v>
      </c>
      <c r="F1035" t="s">
        <v>39</v>
      </c>
      <c r="G1035">
        <v>99</v>
      </c>
      <c r="H1035">
        <v>65</v>
      </c>
      <c r="I1035">
        <v>25</v>
      </c>
      <c r="J1035">
        <v>52</v>
      </c>
      <c r="K1035">
        <v>161</v>
      </c>
      <c r="L1035">
        <v>97.05</v>
      </c>
      <c r="M1035">
        <v>2045.06</v>
      </c>
      <c r="N1035">
        <v>74492</v>
      </c>
      <c r="O1035">
        <v>911.16</v>
      </c>
      <c r="P1035" s="1">
        <v>-0.56499999999999995</v>
      </c>
      <c r="Q1035">
        <f t="shared" si="80"/>
        <v>164</v>
      </c>
      <c r="R1035">
        <f t="shared" si="81"/>
        <v>117</v>
      </c>
      <c r="S1035" s="1">
        <f t="shared" si="82"/>
        <v>0.84756097560975607</v>
      </c>
      <c r="T1035">
        <f t="shared" si="83"/>
        <v>1.64</v>
      </c>
      <c r="U1035" t="str">
        <f t="shared" si="84"/>
        <v>Apr</v>
      </c>
    </row>
    <row r="1036" spans="1:21">
      <c r="A1036" s="2">
        <v>46116</v>
      </c>
      <c r="B1036" t="s">
        <v>4</v>
      </c>
      <c r="C1036" t="s">
        <v>40</v>
      </c>
      <c r="D1036" t="s">
        <v>11</v>
      </c>
      <c r="E1036" t="s">
        <v>35</v>
      </c>
      <c r="F1036" t="s">
        <v>39</v>
      </c>
      <c r="G1036">
        <v>31</v>
      </c>
      <c r="H1036">
        <v>38</v>
      </c>
      <c r="I1036">
        <v>71</v>
      </c>
      <c r="J1036">
        <v>154</v>
      </c>
      <c r="K1036">
        <v>401</v>
      </c>
      <c r="L1036">
        <v>126.72</v>
      </c>
      <c r="M1036">
        <v>2294.34</v>
      </c>
      <c r="N1036">
        <v>75761</v>
      </c>
      <c r="O1036">
        <v>1123.27</v>
      </c>
      <c r="P1036" s="1">
        <v>-0.32800000000000001</v>
      </c>
      <c r="Q1036">
        <f t="shared" si="80"/>
        <v>69</v>
      </c>
      <c r="R1036">
        <f t="shared" si="81"/>
        <v>192</v>
      </c>
      <c r="S1036" s="1">
        <f t="shared" si="82"/>
        <v>-2.8985507246376812E-2</v>
      </c>
      <c r="T1036">
        <f t="shared" si="83"/>
        <v>0.69</v>
      </c>
      <c r="U1036" t="str">
        <f t="shared" si="84"/>
        <v>Apr</v>
      </c>
    </row>
    <row r="1037" spans="1:21">
      <c r="A1037" s="2">
        <v>46070</v>
      </c>
      <c r="B1037" t="s">
        <v>6</v>
      </c>
      <c r="C1037" t="s">
        <v>46</v>
      </c>
      <c r="D1037" t="s">
        <v>7</v>
      </c>
      <c r="E1037" t="s">
        <v>32</v>
      </c>
      <c r="F1037" t="s">
        <v>39</v>
      </c>
      <c r="G1037">
        <v>58</v>
      </c>
      <c r="H1037">
        <v>77</v>
      </c>
      <c r="I1037">
        <v>43</v>
      </c>
      <c r="J1037">
        <v>122</v>
      </c>
      <c r="K1037">
        <v>317</v>
      </c>
      <c r="L1037">
        <v>83.02</v>
      </c>
      <c r="M1037">
        <v>2264</v>
      </c>
      <c r="N1037">
        <v>71139</v>
      </c>
      <c r="O1037">
        <v>1035.53</v>
      </c>
      <c r="P1037" s="1">
        <v>0.745</v>
      </c>
      <c r="Q1037">
        <f t="shared" si="80"/>
        <v>135</v>
      </c>
      <c r="R1037">
        <f t="shared" si="81"/>
        <v>199</v>
      </c>
      <c r="S1037" s="1">
        <f t="shared" si="82"/>
        <v>0.68148148148148147</v>
      </c>
      <c r="T1037">
        <f t="shared" si="83"/>
        <v>1.35</v>
      </c>
      <c r="U1037" t="str">
        <f t="shared" si="84"/>
        <v>Feb</v>
      </c>
    </row>
    <row r="1038" spans="1:21">
      <c r="A1038" s="2">
        <v>46122</v>
      </c>
      <c r="B1038" t="s">
        <v>4</v>
      </c>
      <c r="C1038" t="s">
        <v>43</v>
      </c>
      <c r="D1038" t="s">
        <v>9</v>
      </c>
      <c r="E1038" t="s">
        <v>42</v>
      </c>
      <c r="F1038" t="s">
        <v>33</v>
      </c>
      <c r="G1038">
        <v>35</v>
      </c>
      <c r="H1038">
        <v>52</v>
      </c>
      <c r="I1038">
        <v>40</v>
      </c>
      <c r="J1038">
        <v>14</v>
      </c>
      <c r="K1038">
        <v>57</v>
      </c>
      <c r="L1038">
        <v>136.77000000000001</v>
      </c>
      <c r="M1038">
        <v>2348.59</v>
      </c>
      <c r="N1038">
        <v>69308</v>
      </c>
      <c r="O1038">
        <v>985.23</v>
      </c>
      <c r="P1038" s="1">
        <v>0.89100000000000001</v>
      </c>
      <c r="Q1038">
        <f t="shared" si="80"/>
        <v>87</v>
      </c>
      <c r="R1038">
        <f t="shared" si="81"/>
        <v>66</v>
      </c>
      <c r="S1038" s="1">
        <f t="shared" si="82"/>
        <v>0.54022988505747127</v>
      </c>
      <c r="T1038">
        <f t="shared" si="83"/>
        <v>0.87</v>
      </c>
      <c r="U1038" t="str">
        <f t="shared" si="84"/>
        <v>Apr</v>
      </c>
    </row>
    <row r="1039" spans="1:21">
      <c r="A1039" s="2">
        <v>46085</v>
      </c>
      <c r="B1039" t="s">
        <v>6</v>
      </c>
      <c r="C1039" t="s">
        <v>51</v>
      </c>
      <c r="D1039" t="s">
        <v>5</v>
      </c>
      <c r="E1039" t="s">
        <v>37</v>
      </c>
      <c r="F1039" t="s">
        <v>33</v>
      </c>
      <c r="G1039">
        <v>108</v>
      </c>
      <c r="H1039">
        <v>12</v>
      </c>
      <c r="I1039">
        <v>22</v>
      </c>
      <c r="J1039">
        <v>112</v>
      </c>
      <c r="K1039">
        <v>182</v>
      </c>
      <c r="L1039">
        <v>128.72999999999999</v>
      </c>
      <c r="M1039">
        <v>2179.0100000000002</v>
      </c>
      <c r="N1039">
        <v>75604</v>
      </c>
      <c r="O1039">
        <v>1255.9000000000001</v>
      </c>
      <c r="P1039" s="1">
        <v>-0.64600000000000002</v>
      </c>
      <c r="Q1039">
        <f t="shared" si="80"/>
        <v>120</v>
      </c>
      <c r="R1039">
        <f t="shared" si="81"/>
        <v>124</v>
      </c>
      <c r="S1039" s="1">
        <f t="shared" si="82"/>
        <v>0.81666666666666665</v>
      </c>
      <c r="T1039">
        <f t="shared" si="83"/>
        <v>1.2</v>
      </c>
      <c r="U1039" t="str">
        <f t="shared" si="84"/>
        <v>Mar</v>
      </c>
    </row>
    <row r="1040" spans="1:21">
      <c r="A1040" s="2">
        <v>46124</v>
      </c>
      <c r="B1040" t="s">
        <v>6</v>
      </c>
      <c r="C1040" t="s">
        <v>34</v>
      </c>
      <c r="D1040" t="s">
        <v>7</v>
      </c>
      <c r="E1040" t="s">
        <v>38</v>
      </c>
      <c r="F1040" t="s">
        <v>39</v>
      </c>
      <c r="G1040">
        <v>104</v>
      </c>
      <c r="H1040">
        <v>72</v>
      </c>
      <c r="I1040">
        <v>67</v>
      </c>
      <c r="J1040">
        <v>143</v>
      </c>
      <c r="K1040">
        <v>157</v>
      </c>
      <c r="L1040">
        <v>95.03</v>
      </c>
      <c r="M1040">
        <v>2475.2199999999998</v>
      </c>
      <c r="N1040">
        <v>66951</v>
      </c>
      <c r="O1040">
        <v>1644.89</v>
      </c>
      <c r="P1040" s="1">
        <v>-0.86099999999999999</v>
      </c>
      <c r="Q1040">
        <f t="shared" si="80"/>
        <v>176</v>
      </c>
      <c r="R1040">
        <f t="shared" si="81"/>
        <v>215</v>
      </c>
      <c r="S1040" s="1">
        <f t="shared" si="82"/>
        <v>0.61931818181818177</v>
      </c>
      <c r="T1040">
        <f t="shared" si="83"/>
        <v>1.76</v>
      </c>
      <c r="U1040" t="str">
        <f t="shared" si="84"/>
        <v>Apr</v>
      </c>
    </row>
    <row r="1041" spans="1:21">
      <c r="A1041" s="2">
        <v>46069</v>
      </c>
      <c r="B1041" t="s">
        <v>6</v>
      </c>
      <c r="C1041" t="s">
        <v>51</v>
      </c>
      <c r="D1041" t="s">
        <v>7</v>
      </c>
      <c r="E1041" t="s">
        <v>41</v>
      </c>
      <c r="F1041" t="s">
        <v>49</v>
      </c>
      <c r="G1041">
        <v>49</v>
      </c>
      <c r="H1041">
        <v>68</v>
      </c>
      <c r="I1041">
        <v>72</v>
      </c>
      <c r="J1041">
        <v>121</v>
      </c>
      <c r="K1041">
        <v>154</v>
      </c>
      <c r="L1041">
        <v>138.85</v>
      </c>
      <c r="M1041">
        <v>1967.19</v>
      </c>
      <c r="N1041">
        <v>69715</v>
      </c>
      <c r="O1041">
        <v>1280.1199999999999</v>
      </c>
      <c r="P1041" s="1">
        <v>-0.25900000000000001</v>
      </c>
      <c r="Q1041">
        <f t="shared" si="80"/>
        <v>117</v>
      </c>
      <c r="R1041">
        <f t="shared" si="81"/>
        <v>189</v>
      </c>
      <c r="S1041" s="1">
        <f t="shared" si="82"/>
        <v>0.38461538461538464</v>
      </c>
      <c r="T1041">
        <f t="shared" si="83"/>
        <v>1.17</v>
      </c>
      <c r="U1041" t="str">
        <f t="shared" si="84"/>
        <v>Feb</v>
      </c>
    </row>
    <row r="1042" spans="1:21">
      <c r="A1042" s="2">
        <v>46114</v>
      </c>
      <c r="B1042" t="s">
        <v>4</v>
      </c>
      <c r="C1042" t="s">
        <v>44</v>
      </c>
      <c r="D1042" t="s">
        <v>10</v>
      </c>
      <c r="E1042" t="s">
        <v>32</v>
      </c>
      <c r="F1042" t="s">
        <v>39</v>
      </c>
      <c r="G1042">
        <v>24</v>
      </c>
      <c r="H1042">
        <v>26</v>
      </c>
      <c r="I1042">
        <v>31</v>
      </c>
      <c r="J1042">
        <v>112</v>
      </c>
      <c r="K1042">
        <v>180</v>
      </c>
      <c r="L1042">
        <v>114.7</v>
      </c>
      <c r="M1042">
        <v>2235.4699999999998</v>
      </c>
      <c r="N1042">
        <v>72071</v>
      </c>
      <c r="O1042">
        <v>1175.93</v>
      </c>
      <c r="P1042" s="1">
        <v>0.56699999999999995</v>
      </c>
      <c r="Q1042">
        <f t="shared" si="80"/>
        <v>50</v>
      </c>
      <c r="R1042">
        <f t="shared" si="81"/>
        <v>138</v>
      </c>
      <c r="S1042" s="1">
        <f t="shared" si="82"/>
        <v>0.38</v>
      </c>
      <c r="T1042">
        <f t="shared" si="83"/>
        <v>0.5</v>
      </c>
      <c r="U1042" t="str">
        <f t="shared" si="84"/>
        <v>Apr</v>
      </c>
    </row>
    <row r="1043" spans="1:21">
      <c r="A1043" s="2">
        <v>46070</v>
      </c>
      <c r="B1043" t="s">
        <v>6</v>
      </c>
      <c r="C1043" t="s">
        <v>48</v>
      </c>
      <c r="D1043" t="s">
        <v>9</v>
      </c>
      <c r="E1043" t="s">
        <v>42</v>
      </c>
      <c r="F1043" t="s">
        <v>33</v>
      </c>
      <c r="G1043">
        <v>115</v>
      </c>
      <c r="H1043">
        <v>8</v>
      </c>
      <c r="I1043">
        <v>53</v>
      </c>
      <c r="J1043">
        <v>83</v>
      </c>
      <c r="K1043">
        <v>102</v>
      </c>
      <c r="L1043">
        <v>105.14</v>
      </c>
      <c r="M1043">
        <v>2019.43</v>
      </c>
      <c r="N1043">
        <v>72026</v>
      </c>
      <c r="O1043">
        <v>1625.97</v>
      </c>
      <c r="P1043" s="1">
        <v>-0.59399999999999997</v>
      </c>
      <c r="Q1043">
        <f t="shared" si="80"/>
        <v>123</v>
      </c>
      <c r="R1043">
        <f t="shared" si="81"/>
        <v>91</v>
      </c>
      <c r="S1043" s="1">
        <f t="shared" si="82"/>
        <v>0.56910569105691056</v>
      </c>
      <c r="T1043">
        <f t="shared" si="83"/>
        <v>1.23</v>
      </c>
      <c r="U1043" t="str">
        <f t="shared" si="84"/>
        <v>Feb</v>
      </c>
    </row>
    <row r="1044" spans="1:21">
      <c r="A1044" s="2">
        <v>46118</v>
      </c>
      <c r="B1044" t="s">
        <v>4</v>
      </c>
      <c r="C1044" t="s">
        <v>34</v>
      </c>
      <c r="D1044" t="s">
        <v>10</v>
      </c>
      <c r="E1044" t="s">
        <v>38</v>
      </c>
      <c r="F1044" t="s">
        <v>33</v>
      </c>
      <c r="G1044">
        <v>67</v>
      </c>
      <c r="H1044">
        <v>26</v>
      </c>
      <c r="I1044">
        <v>21</v>
      </c>
      <c r="J1044">
        <v>62</v>
      </c>
      <c r="K1044">
        <v>341</v>
      </c>
      <c r="L1044">
        <v>91.71</v>
      </c>
      <c r="M1044">
        <v>2247.09</v>
      </c>
      <c r="N1044">
        <v>64844</v>
      </c>
      <c r="O1044">
        <v>1633.74</v>
      </c>
      <c r="P1044" s="1">
        <v>0.82299999999999995</v>
      </c>
      <c r="Q1044">
        <f t="shared" si="80"/>
        <v>93</v>
      </c>
      <c r="R1044">
        <f t="shared" si="81"/>
        <v>88</v>
      </c>
      <c r="S1044" s="1">
        <f t="shared" si="82"/>
        <v>0.77419354838709675</v>
      </c>
      <c r="T1044">
        <f t="shared" si="83"/>
        <v>0.93</v>
      </c>
      <c r="U1044" t="str">
        <f t="shared" si="84"/>
        <v>Apr</v>
      </c>
    </row>
    <row r="1045" spans="1:21">
      <c r="A1045" s="2">
        <v>46115</v>
      </c>
      <c r="B1045" t="s">
        <v>6</v>
      </c>
      <c r="C1045" t="s">
        <v>51</v>
      </c>
      <c r="D1045" t="s">
        <v>7</v>
      </c>
      <c r="E1045" t="s">
        <v>47</v>
      </c>
      <c r="F1045" t="s">
        <v>45</v>
      </c>
      <c r="G1045">
        <v>114</v>
      </c>
      <c r="H1045">
        <v>64</v>
      </c>
      <c r="I1045">
        <v>47</v>
      </c>
      <c r="J1045">
        <v>26</v>
      </c>
      <c r="K1045">
        <v>24</v>
      </c>
      <c r="L1045">
        <v>138.19</v>
      </c>
      <c r="M1045">
        <v>2497.0100000000002</v>
      </c>
      <c r="N1045">
        <v>69244</v>
      </c>
      <c r="O1045">
        <v>1398.66</v>
      </c>
      <c r="P1045" s="1">
        <v>-0.85199999999999998</v>
      </c>
      <c r="Q1045">
        <f t="shared" si="80"/>
        <v>178</v>
      </c>
      <c r="R1045">
        <f t="shared" si="81"/>
        <v>90</v>
      </c>
      <c r="S1045" s="1">
        <f t="shared" si="82"/>
        <v>0.7359550561797753</v>
      </c>
      <c r="T1045">
        <f t="shared" si="83"/>
        <v>1.78</v>
      </c>
      <c r="U1045" t="str">
        <f t="shared" si="84"/>
        <v>Apr</v>
      </c>
    </row>
    <row r="1046" spans="1:21">
      <c r="A1046" s="2">
        <v>46098</v>
      </c>
      <c r="B1046" t="s">
        <v>6</v>
      </c>
      <c r="C1046" t="s">
        <v>50</v>
      </c>
      <c r="D1046" t="s">
        <v>10</v>
      </c>
      <c r="E1046" t="s">
        <v>32</v>
      </c>
      <c r="F1046" t="s">
        <v>45</v>
      </c>
      <c r="G1046">
        <v>51</v>
      </c>
      <c r="H1046">
        <v>36</v>
      </c>
      <c r="I1046">
        <v>3</v>
      </c>
      <c r="J1046">
        <v>137</v>
      </c>
      <c r="K1046">
        <v>286</v>
      </c>
      <c r="L1046">
        <v>85.02</v>
      </c>
      <c r="M1046">
        <v>2418.21</v>
      </c>
      <c r="N1046">
        <v>71425</v>
      </c>
      <c r="O1046">
        <v>1516.58</v>
      </c>
      <c r="P1046" s="1">
        <v>-0.56799999999999995</v>
      </c>
      <c r="Q1046">
        <f t="shared" si="80"/>
        <v>87</v>
      </c>
      <c r="R1046">
        <f t="shared" si="81"/>
        <v>173</v>
      </c>
      <c r="S1046" s="1">
        <f t="shared" si="82"/>
        <v>0.96551724137931039</v>
      </c>
      <c r="T1046">
        <f t="shared" si="83"/>
        <v>0.87</v>
      </c>
      <c r="U1046" t="str">
        <f t="shared" si="84"/>
        <v>Mar</v>
      </c>
    </row>
    <row r="1047" spans="1:21">
      <c r="A1047" s="2">
        <v>46077</v>
      </c>
      <c r="B1047" t="s">
        <v>6</v>
      </c>
      <c r="C1047" t="s">
        <v>36</v>
      </c>
      <c r="D1047" t="s">
        <v>10</v>
      </c>
      <c r="E1047" t="s">
        <v>38</v>
      </c>
      <c r="F1047" t="s">
        <v>45</v>
      </c>
      <c r="G1047">
        <v>24</v>
      </c>
      <c r="H1047">
        <v>78</v>
      </c>
      <c r="I1047">
        <v>17</v>
      </c>
      <c r="J1047">
        <v>50</v>
      </c>
      <c r="K1047">
        <v>378</v>
      </c>
      <c r="L1047">
        <v>126.13</v>
      </c>
      <c r="M1047">
        <v>1869.33</v>
      </c>
      <c r="N1047">
        <v>75007</v>
      </c>
      <c r="O1047">
        <v>1113.45</v>
      </c>
      <c r="P1047" s="1">
        <v>-0.90800000000000003</v>
      </c>
      <c r="Q1047">
        <f t="shared" si="80"/>
        <v>102</v>
      </c>
      <c r="R1047">
        <f t="shared" si="81"/>
        <v>128</v>
      </c>
      <c r="S1047" s="1">
        <f t="shared" si="82"/>
        <v>0.83333333333333337</v>
      </c>
      <c r="T1047">
        <f t="shared" si="83"/>
        <v>1.02</v>
      </c>
      <c r="U1047" t="str">
        <f t="shared" si="84"/>
        <v>Feb</v>
      </c>
    </row>
    <row r="1048" spans="1:21">
      <c r="A1048" s="2">
        <v>46091</v>
      </c>
      <c r="B1048" t="s">
        <v>4</v>
      </c>
      <c r="C1048" t="s">
        <v>34</v>
      </c>
      <c r="D1048" t="s">
        <v>7</v>
      </c>
      <c r="E1048" t="s">
        <v>35</v>
      </c>
      <c r="F1048" t="s">
        <v>49</v>
      </c>
      <c r="G1048">
        <v>97</v>
      </c>
      <c r="H1048">
        <v>18</v>
      </c>
      <c r="I1048">
        <v>37</v>
      </c>
      <c r="J1048">
        <v>90</v>
      </c>
      <c r="K1048">
        <v>283</v>
      </c>
      <c r="L1048">
        <v>127.44</v>
      </c>
      <c r="M1048">
        <v>2193.15</v>
      </c>
      <c r="N1048">
        <v>73840</v>
      </c>
      <c r="O1048">
        <v>1744.47</v>
      </c>
      <c r="P1048" s="1">
        <v>0.21099999999999999</v>
      </c>
      <c r="Q1048">
        <f t="shared" si="80"/>
        <v>115</v>
      </c>
      <c r="R1048">
        <f t="shared" si="81"/>
        <v>108</v>
      </c>
      <c r="S1048" s="1">
        <f t="shared" si="82"/>
        <v>0.67826086956521736</v>
      </c>
      <c r="T1048">
        <f t="shared" si="83"/>
        <v>1.1499999999999999</v>
      </c>
      <c r="U1048" t="str">
        <f t="shared" si="84"/>
        <v>Mar</v>
      </c>
    </row>
    <row r="1049" spans="1:21">
      <c r="A1049" s="2">
        <v>46116</v>
      </c>
      <c r="B1049" t="s">
        <v>4</v>
      </c>
      <c r="C1049" t="s">
        <v>40</v>
      </c>
      <c r="D1049" t="s">
        <v>11</v>
      </c>
      <c r="E1049" t="s">
        <v>38</v>
      </c>
      <c r="F1049" t="s">
        <v>39</v>
      </c>
      <c r="G1049">
        <v>34</v>
      </c>
      <c r="H1049">
        <v>16</v>
      </c>
      <c r="I1049">
        <v>70</v>
      </c>
      <c r="J1049">
        <v>132</v>
      </c>
      <c r="K1049">
        <v>77</v>
      </c>
      <c r="L1049">
        <v>86.11</v>
      </c>
      <c r="M1049">
        <v>1856.2</v>
      </c>
      <c r="N1049">
        <v>70635</v>
      </c>
      <c r="O1049">
        <v>1486.47</v>
      </c>
      <c r="P1049" s="1">
        <v>-1.9E-2</v>
      </c>
      <c r="Q1049">
        <f t="shared" si="80"/>
        <v>50</v>
      </c>
      <c r="R1049">
        <f t="shared" si="81"/>
        <v>148</v>
      </c>
      <c r="S1049" s="1">
        <f t="shared" si="82"/>
        <v>-0.4</v>
      </c>
      <c r="T1049">
        <f t="shared" si="83"/>
        <v>0.5</v>
      </c>
      <c r="U1049" t="str">
        <f t="shared" si="84"/>
        <v>Apr</v>
      </c>
    </row>
    <row r="1050" spans="1:21">
      <c r="A1050" s="2">
        <v>46072</v>
      </c>
      <c r="B1050" t="s">
        <v>4</v>
      </c>
      <c r="C1050" t="s">
        <v>51</v>
      </c>
      <c r="D1050" t="s">
        <v>10</v>
      </c>
      <c r="E1050" t="s">
        <v>47</v>
      </c>
      <c r="F1050" t="s">
        <v>45</v>
      </c>
      <c r="G1050">
        <v>97</v>
      </c>
      <c r="H1050">
        <v>11</v>
      </c>
      <c r="I1050">
        <v>55</v>
      </c>
      <c r="J1050">
        <v>113</v>
      </c>
      <c r="K1050">
        <v>132</v>
      </c>
      <c r="L1050">
        <v>86.48</v>
      </c>
      <c r="M1050">
        <v>1802.53</v>
      </c>
      <c r="N1050">
        <v>67527</v>
      </c>
      <c r="O1050">
        <v>1536.9</v>
      </c>
      <c r="P1050" s="1">
        <v>-0.80400000000000005</v>
      </c>
      <c r="Q1050">
        <f t="shared" si="80"/>
        <v>108</v>
      </c>
      <c r="R1050">
        <f t="shared" si="81"/>
        <v>124</v>
      </c>
      <c r="S1050" s="1">
        <f t="shared" si="82"/>
        <v>0.49074074074074076</v>
      </c>
      <c r="T1050">
        <f t="shared" si="83"/>
        <v>1.08</v>
      </c>
      <c r="U1050" t="str">
        <f t="shared" si="84"/>
        <v>Feb</v>
      </c>
    </row>
    <row r="1051" spans="1:21">
      <c r="A1051" s="2">
        <v>46113</v>
      </c>
      <c r="B1051" t="s">
        <v>4</v>
      </c>
      <c r="C1051" t="s">
        <v>36</v>
      </c>
      <c r="D1051" t="s">
        <v>11</v>
      </c>
      <c r="E1051" t="s">
        <v>32</v>
      </c>
      <c r="F1051" t="s">
        <v>39</v>
      </c>
      <c r="G1051">
        <v>79</v>
      </c>
      <c r="H1051">
        <v>42</v>
      </c>
      <c r="I1051">
        <v>69</v>
      </c>
      <c r="J1051">
        <v>140</v>
      </c>
      <c r="K1051">
        <v>272</v>
      </c>
      <c r="L1051">
        <v>128.58000000000001</v>
      </c>
      <c r="M1051">
        <v>2025.81</v>
      </c>
      <c r="N1051">
        <v>73263</v>
      </c>
      <c r="O1051">
        <v>1738.01</v>
      </c>
      <c r="P1051" s="1">
        <v>3.7999999999999999E-2</v>
      </c>
      <c r="Q1051">
        <f t="shared" si="80"/>
        <v>121</v>
      </c>
      <c r="R1051">
        <f t="shared" si="81"/>
        <v>182</v>
      </c>
      <c r="S1051" s="1">
        <f t="shared" si="82"/>
        <v>0.42975206611570249</v>
      </c>
      <c r="T1051">
        <f t="shared" si="83"/>
        <v>1.21</v>
      </c>
      <c r="U1051" t="str">
        <f t="shared" si="84"/>
        <v>Apr</v>
      </c>
    </row>
    <row r="1052" spans="1:21">
      <c r="A1052" s="2">
        <v>46112</v>
      </c>
      <c r="B1052" t="s">
        <v>6</v>
      </c>
      <c r="C1052" t="s">
        <v>44</v>
      </c>
      <c r="D1052" t="s">
        <v>10</v>
      </c>
      <c r="E1052" t="s">
        <v>42</v>
      </c>
      <c r="F1052" t="s">
        <v>33</v>
      </c>
      <c r="G1052">
        <v>68</v>
      </c>
      <c r="H1052">
        <v>59</v>
      </c>
      <c r="I1052">
        <v>47</v>
      </c>
      <c r="J1052">
        <v>41</v>
      </c>
      <c r="K1052">
        <v>266</v>
      </c>
      <c r="L1052">
        <v>136.66</v>
      </c>
      <c r="M1052">
        <v>2397.9</v>
      </c>
      <c r="N1052">
        <v>66807</v>
      </c>
      <c r="O1052">
        <v>1330.01</v>
      </c>
      <c r="P1052" s="1">
        <v>-0.90900000000000003</v>
      </c>
      <c r="Q1052">
        <f t="shared" si="80"/>
        <v>127</v>
      </c>
      <c r="R1052">
        <f t="shared" si="81"/>
        <v>100</v>
      </c>
      <c r="S1052" s="1">
        <f t="shared" si="82"/>
        <v>0.62992125984251968</v>
      </c>
      <c r="T1052">
        <f t="shared" si="83"/>
        <v>1.27</v>
      </c>
      <c r="U1052" t="str">
        <f t="shared" si="84"/>
        <v>Mar</v>
      </c>
    </row>
    <row r="1053" spans="1:21">
      <c r="A1053" s="2">
        <v>46104</v>
      </c>
      <c r="B1053" t="s">
        <v>6</v>
      </c>
      <c r="C1053" t="s">
        <v>31</v>
      </c>
      <c r="D1053" t="s">
        <v>11</v>
      </c>
      <c r="E1053" t="s">
        <v>47</v>
      </c>
      <c r="F1053" t="s">
        <v>49</v>
      </c>
      <c r="G1053">
        <v>51</v>
      </c>
      <c r="H1053">
        <v>13</v>
      </c>
      <c r="I1053">
        <v>31</v>
      </c>
      <c r="J1053">
        <v>28</v>
      </c>
      <c r="K1053">
        <v>440</v>
      </c>
      <c r="L1053">
        <v>86.38</v>
      </c>
      <c r="M1053">
        <v>2154.86</v>
      </c>
      <c r="N1053">
        <v>66643</v>
      </c>
      <c r="O1053">
        <v>1401.24</v>
      </c>
      <c r="P1053" s="1">
        <v>-0.17699999999999999</v>
      </c>
      <c r="Q1053">
        <f t="shared" si="80"/>
        <v>64</v>
      </c>
      <c r="R1053">
        <f t="shared" si="81"/>
        <v>41</v>
      </c>
      <c r="S1053" s="1">
        <f t="shared" si="82"/>
        <v>0.515625</v>
      </c>
      <c r="T1053">
        <f t="shared" si="83"/>
        <v>0.64</v>
      </c>
      <c r="U1053" t="str">
        <f t="shared" si="84"/>
        <v>Mar</v>
      </c>
    </row>
    <row r="1054" spans="1:21">
      <c r="A1054" s="2">
        <v>46098</v>
      </c>
      <c r="B1054" t="s">
        <v>6</v>
      </c>
      <c r="C1054" t="s">
        <v>46</v>
      </c>
      <c r="D1054" t="s">
        <v>7</v>
      </c>
      <c r="E1054" t="s">
        <v>32</v>
      </c>
      <c r="F1054" t="s">
        <v>49</v>
      </c>
      <c r="G1054">
        <v>98</v>
      </c>
      <c r="H1054">
        <v>7</v>
      </c>
      <c r="I1054">
        <v>23</v>
      </c>
      <c r="J1054">
        <v>93</v>
      </c>
      <c r="K1054">
        <v>205</v>
      </c>
      <c r="L1054">
        <v>83.46</v>
      </c>
      <c r="M1054">
        <v>1997.65</v>
      </c>
      <c r="N1054">
        <v>64597</v>
      </c>
      <c r="O1054">
        <v>1097.9000000000001</v>
      </c>
      <c r="P1054" s="1">
        <v>0.877</v>
      </c>
      <c r="Q1054">
        <f t="shared" si="80"/>
        <v>105</v>
      </c>
      <c r="R1054">
        <f t="shared" si="81"/>
        <v>100</v>
      </c>
      <c r="S1054" s="1">
        <f t="shared" si="82"/>
        <v>0.78095238095238095</v>
      </c>
      <c r="T1054">
        <f t="shared" si="83"/>
        <v>1.05</v>
      </c>
      <c r="U1054" t="str">
        <f t="shared" si="84"/>
        <v>Mar</v>
      </c>
    </row>
    <row r="1055" spans="1:21">
      <c r="A1055" s="2">
        <v>46084</v>
      </c>
      <c r="B1055" t="s">
        <v>6</v>
      </c>
      <c r="C1055" t="s">
        <v>51</v>
      </c>
      <c r="D1055" t="s">
        <v>5</v>
      </c>
      <c r="E1055" t="s">
        <v>42</v>
      </c>
      <c r="F1055" t="s">
        <v>45</v>
      </c>
      <c r="G1055">
        <v>62</v>
      </c>
      <c r="H1055">
        <v>61</v>
      </c>
      <c r="I1055">
        <v>27</v>
      </c>
      <c r="J1055">
        <v>117</v>
      </c>
      <c r="K1055">
        <v>262</v>
      </c>
      <c r="L1055">
        <v>89.47</v>
      </c>
      <c r="M1055">
        <v>1990.55</v>
      </c>
      <c r="N1055">
        <v>74718</v>
      </c>
      <c r="O1055">
        <v>1431.58</v>
      </c>
      <c r="P1055" s="1">
        <v>-0.92800000000000005</v>
      </c>
      <c r="Q1055">
        <f t="shared" si="80"/>
        <v>123</v>
      </c>
      <c r="R1055">
        <f t="shared" si="81"/>
        <v>178</v>
      </c>
      <c r="S1055" s="1">
        <f t="shared" si="82"/>
        <v>0.78048780487804881</v>
      </c>
      <c r="T1055">
        <f t="shared" si="83"/>
        <v>1.23</v>
      </c>
      <c r="U1055" t="str">
        <f t="shared" si="84"/>
        <v>Mar</v>
      </c>
    </row>
    <row r="1056" spans="1:21">
      <c r="A1056" s="2">
        <v>46073</v>
      </c>
      <c r="B1056" t="s">
        <v>6</v>
      </c>
      <c r="C1056" t="s">
        <v>44</v>
      </c>
      <c r="D1056" t="s">
        <v>5</v>
      </c>
      <c r="E1056" t="s">
        <v>42</v>
      </c>
      <c r="F1056" t="s">
        <v>45</v>
      </c>
      <c r="G1056">
        <v>108</v>
      </c>
      <c r="H1056">
        <v>62</v>
      </c>
      <c r="I1056">
        <v>42</v>
      </c>
      <c r="J1056">
        <v>52</v>
      </c>
      <c r="K1056">
        <v>242</v>
      </c>
      <c r="L1056">
        <v>97.05</v>
      </c>
      <c r="M1056">
        <v>2065.9699999999998</v>
      </c>
      <c r="N1056">
        <v>70348</v>
      </c>
      <c r="O1056">
        <v>1020.42</v>
      </c>
      <c r="P1056" s="1">
        <v>0.442</v>
      </c>
      <c r="Q1056">
        <f t="shared" si="80"/>
        <v>170</v>
      </c>
      <c r="R1056">
        <f t="shared" si="81"/>
        <v>114</v>
      </c>
      <c r="S1056" s="1">
        <f t="shared" si="82"/>
        <v>0.75294117647058822</v>
      </c>
      <c r="T1056">
        <f t="shared" si="83"/>
        <v>1.7</v>
      </c>
      <c r="U1056" t="str">
        <f t="shared" si="84"/>
        <v>Feb</v>
      </c>
    </row>
    <row r="1057" spans="1:21">
      <c r="A1057" s="2">
        <v>46120</v>
      </c>
      <c r="B1057" t="s">
        <v>4</v>
      </c>
      <c r="C1057" t="s">
        <v>46</v>
      </c>
      <c r="D1057" t="s">
        <v>10</v>
      </c>
      <c r="E1057" t="s">
        <v>42</v>
      </c>
      <c r="F1057" t="s">
        <v>49</v>
      </c>
      <c r="G1057">
        <v>40</v>
      </c>
      <c r="H1057">
        <v>76</v>
      </c>
      <c r="I1057">
        <v>55</v>
      </c>
      <c r="J1057">
        <v>40</v>
      </c>
      <c r="K1057">
        <v>444</v>
      </c>
      <c r="L1057">
        <v>92.26</v>
      </c>
      <c r="M1057">
        <v>2457.85</v>
      </c>
      <c r="N1057">
        <v>72959</v>
      </c>
      <c r="O1057">
        <v>1079.2</v>
      </c>
      <c r="P1057" s="1">
        <v>-0.89200000000000002</v>
      </c>
      <c r="Q1057">
        <f t="shared" si="80"/>
        <v>116</v>
      </c>
      <c r="R1057">
        <f t="shared" si="81"/>
        <v>116</v>
      </c>
      <c r="S1057" s="1">
        <f t="shared" si="82"/>
        <v>0.52586206896551724</v>
      </c>
      <c r="T1057">
        <f t="shared" si="83"/>
        <v>1.1599999999999999</v>
      </c>
      <c r="U1057" t="str">
        <f t="shared" si="84"/>
        <v>Apr</v>
      </c>
    </row>
    <row r="1058" spans="1:21">
      <c r="A1058" s="2">
        <v>46107</v>
      </c>
      <c r="B1058" t="s">
        <v>4</v>
      </c>
      <c r="C1058" t="s">
        <v>31</v>
      </c>
      <c r="D1058" t="s">
        <v>11</v>
      </c>
      <c r="E1058" t="s">
        <v>35</v>
      </c>
      <c r="F1058" t="s">
        <v>49</v>
      </c>
      <c r="G1058">
        <v>97</v>
      </c>
      <c r="H1058">
        <v>39</v>
      </c>
      <c r="I1058">
        <v>71</v>
      </c>
      <c r="J1058">
        <v>140</v>
      </c>
      <c r="K1058">
        <v>347</v>
      </c>
      <c r="L1058">
        <v>136</v>
      </c>
      <c r="M1058">
        <v>2353.71</v>
      </c>
      <c r="N1058">
        <v>74509</v>
      </c>
      <c r="O1058">
        <v>969.97</v>
      </c>
      <c r="P1058" s="1">
        <v>4.2000000000000003E-2</v>
      </c>
      <c r="Q1058">
        <f t="shared" si="80"/>
        <v>136</v>
      </c>
      <c r="R1058">
        <f t="shared" si="81"/>
        <v>179</v>
      </c>
      <c r="S1058" s="1">
        <f t="shared" si="82"/>
        <v>0.47794117647058826</v>
      </c>
      <c r="T1058">
        <f t="shared" si="83"/>
        <v>1.36</v>
      </c>
      <c r="U1058" t="str">
        <f t="shared" si="84"/>
        <v>Mar</v>
      </c>
    </row>
    <row r="1059" spans="1:21">
      <c r="A1059" s="2">
        <v>46113</v>
      </c>
      <c r="B1059" t="s">
        <v>6</v>
      </c>
      <c r="C1059" t="s">
        <v>50</v>
      </c>
      <c r="D1059" t="s">
        <v>9</v>
      </c>
      <c r="E1059" t="s">
        <v>32</v>
      </c>
      <c r="F1059" t="s">
        <v>39</v>
      </c>
      <c r="G1059">
        <v>44</v>
      </c>
      <c r="H1059">
        <v>75</v>
      </c>
      <c r="I1059">
        <v>33</v>
      </c>
      <c r="J1059">
        <v>55</v>
      </c>
      <c r="K1059">
        <v>81</v>
      </c>
      <c r="L1059">
        <v>92.62</v>
      </c>
      <c r="M1059">
        <v>1920.91</v>
      </c>
      <c r="N1059">
        <v>65629</v>
      </c>
      <c r="O1059">
        <v>939.51</v>
      </c>
      <c r="P1059" s="1">
        <v>-0.32500000000000001</v>
      </c>
      <c r="Q1059">
        <f t="shared" si="80"/>
        <v>119</v>
      </c>
      <c r="R1059">
        <f t="shared" si="81"/>
        <v>130</v>
      </c>
      <c r="S1059" s="1">
        <f t="shared" si="82"/>
        <v>0.72268907563025209</v>
      </c>
      <c r="T1059">
        <f t="shared" si="83"/>
        <v>1.19</v>
      </c>
      <c r="U1059" t="str">
        <f t="shared" si="84"/>
        <v>Apr</v>
      </c>
    </row>
    <row r="1060" spans="1:21">
      <c r="A1060" s="2">
        <v>46069</v>
      </c>
      <c r="B1060" t="s">
        <v>4</v>
      </c>
      <c r="C1060" t="s">
        <v>46</v>
      </c>
      <c r="D1060" t="s">
        <v>10</v>
      </c>
      <c r="E1060" t="s">
        <v>32</v>
      </c>
      <c r="F1060" t="s">
        <v>45</v>
      </c>
      <c r="G1060">
        <v>60</v>
      </c>
      <c r="H1060">
        <v>17</v>
      </c>
      <c r="I1060">
        <v>70</v>
      </c>
      <c r="J1060">
        <v>130</v>
      </c>
      <c r="K1060">
        <v>197</v>
      </c>
      <c r="L1060">
        <v>113.72</v>
      </c>
      <c r="M1060">
        <v>2203.2399999999998</v>
      </c>
      <c r="N1060">
        <v>72088</v>
      </c>
      <c r="O1060">
        <v>1322.17</v>
      </c>
      <c r="P1060" s="1">
        <v>0.65100000000000002</v>
      </c>
      <c r="Q1060">
        <f t="shared" si="80"/>
        <v>77</v>
      </c>
      <c r="R1060">
        <f t="shared" si="81"/>
        <v>147</v>
      </c>
      <c r="S1060" s="1">
        <f t="shared" si="82"/>
        <v>9.0909090909090912E-2</v>
      </c>
      <c r="T1060">
        <f t="shared" si="83"/>
        <v>0.77</v>
      </c>
      <c r="U1060" t="str">
        <f t="shared" si="84"/>
        <v>Feb</v>
      </c>
    </row>
    <row r="1061" spans="1:21">
      <c r="A1061" s="2">
        <v>46094</v>
      </c>
      <c r="B1061" t="s">
        <v>4</v>
      </c>
      <c r="C1061" t="s">
        <v>51</v>
      </c>
      <c r="D1061" t="s">
        <v>7</v>
      </c>
      <c r="E1061" t="s">
        <v>47</v>
      </c>
      <c r="F1061" t="s">
        <v>45</v>
      </c>
      <c r="G1061">
        <v>111</v>
      </c>
      <c r="H1061">
        <v>28</v>
      </c>
      <c r="I1061">
        <v>82</v>
      </c>
      <c r="J1061">
        <v>142</v>
      </c>
      <c r="K1061">
        <v>19</v>
      </c>
      <c r="L1061">
        <v>93.06</v>
      </c>
      <c r="M1061">
        <v>1814.97</v>
      </c>
      <c r="N1061">
        <v>66810</v>
      </c>
      <c r="O1061">
        <v>1607.69</v>
      </c>
      <c r="P1061" s="1">
        <v>-0.73299999999999998</v>
      </c>
      <c r="Q1061">
        <f t="shared" si="80"/>
        <v>139</v>
      </c>
      <c r="R1061">
        <f t="shared" si="81"/>
        <v>170</v>
      </c>
      <c r="S1061" s="1">
        <f t="shared" si="82"/>
        <v>0.41007194244604317</v>
      </c>
      <c r="T1061">
        <f t="shared" si="83"/>
        <v>1.39</v>
      </c>
      <c r="U1061" t="str">
        <f t="shared" si="84"/>
        <v>Mar</v>
      </c>
    </row>
    <row r="1062" spans="1:21">
      <c r="A1062" s="2">
        <v>46100</v>
      </c>
      <c r="B1062" t="s">
        <v>4</v>
      </c>
      <c r="C1062" t="s">
        <v>46</v>
      </c>
      <c r="D1062" t="s">
        <v>9</v>
      </c>
      <c r="E1062" t="s">
        <v>32</v>
      </c>
      <c r="F1062" t="s">
        <v>49</v>
      </c>
      <c r="G1062">
        <v>11</v>
      </c>
      <c r="H1062">
        <v>32</v>
      </c>
      <c r="I1062">
        <v>66</v>
      </c>
      <c r="J1062">
        <v>95</v>
      </c>
      <c r="K1062">
        <v>330</v>
      </c>
      <c r="L1062">
        <v>120.08</v>
      </c>
      <c r="M1062">
        <v>1923.5</v>
      </c>
      <c r="N1062">
        <v>64686</v>
      </c>
      <c r="O1062">
        <v>1566.73</v>
      </c>
      <c r="P1062" s="1">
        <v>0.48199999999999998</v>
      </c>
      <c r="Q1062">
        <f t="shared" si="80"/>
        <v>43</v>
      </c>
      <c r="R1062">
        <f t="shared" si="81"/>
        <v>127</v>
      </c>
      <c r="S1062" s="1">
        <f t="shared" si="82"/>
        <v>-0.53488372093023251</v>
      </c>
      <c r="T1062">
        <f t="shared" si="83"/>
        <v>0.43</v>
      </c>
      <c r="U1062" t="str">
        <f t="shared" si="84"/>
        <v>Mar</v>
      </c>
    </row>
    <row r="1063" spans="1:21">
      <c r="A1063" s="2">
        <v>46115</v>
      </c>
      <c r="B1063" t="s">
        <v>6</v>
      </c>
      <c r="C1063" t="s">
        <v>48</v>
      </c>
      <c r="D1063" t="s">
        <v>10</v>
      </c>
      <c r="E1063" t="s">
        <v>35</v>
      </c>
      <c r="F1063" t="s">
        <v>33</v>
      </c>
      <c r="G1063">
        <v>55</v>
      </c>
      <c r="H1063">
        <v>76</v>
      </c>
      <c r="I1063">
        <v>7</v>
      </c>
      <c r="J1063">
        <v>80</v>
      </c>
      <c r="K1063">
        <v>321</v>
      </c>
      <c r="L1063">
        <v>93.38</v>
      </c>
      <c r="M1063">
        <v>2039.56</v>
      </c>
      <c r="N1063">
        <v>72511</v>
      </c>
      <c r="O1063">
        <v>1280.8599999999999</v>
      </c>
      <c r="P1063" s="1">
        <v>0.23400000000000001</v>
      </c>
      <c r="Q1063">
        <f t="shared" si="80"/>
        <v>131</v>
      </c>
      <c r="R1063">
        <f t="shared" si="81"/>
        <v>156</v>
      </c>
      <c r="S1063" s="1">
        <f t="shared" si="82"/>
        <v>0.94656488549618323</v>
      </c>
      <c r="T1063">
        <f t="shared" si="83"/>
        <v>1.31</v>
      </c>
      <c r="U1063" t="str">
        <f t="shared" si="84"/>
        <v>Apr</v>
      </c>
    </row>
    <row r="1064" spans="1:21">
      <c r="A1064" s="2">
        <v>46126</v>
      </c>
      <c r="B1064" t="s">
        <v>6</v>
      </c>
      <c r="C1064" t="s">
        <v>50</v>
      </c>
      <c r="D1064" t="s">
        <v>7</v>
      </c>
      <c r="E1064" t="s">
        <v>38</v>
      </c>
      <c r="F1064" t="s">
        <v>39</v>
      </c>
      <c r="G1064">
        <v>12</v>
      </c>
      <c r="H1064">
        <v>58</v>
      </c>
      <c r="I1064">
        <v>50</v>
      </c>
      <c r="J1064">
        <v>134</v>
      </c>
      <c r="K1064">
        <v>77</v>
      </c>
      <c r="L1064">
        <v>127.73</v>
      </c>
      <c r="M1064">
        <v>1898.78</v>
      </c>
      <c r="N1064">
        <v>72390</v>
      </c>
      <c r="O1064">
        <v>1518.74</v>
      </c>
      <c r="P1064" s="1">
        <v>0.75</v>
      </c>
      <c r="Q1064">
        <f t="shared" si="80"/>
        <v>70</v>
      </c>
      <c r="R1064">
        <f t="shared" si="81"/>
        <v>192</v>
      </c>
      <c r="S1064" s="1">
        <f t="shared" si="82"/>
        <v>0.2857142857142857</v>
      </c>
      <c r="T1064">
        <f t="shared" si="83"/>
        <v>0.7</v>
      </c>
      <c r="U1064" t="str">
        <f t="shared" si="84"/>
        <v>Apr</v>
      </c>
    </row>
    <row r="1065" spans="1:21">
      <c r="A1065" s="2">
        <v>46081</v>
      </c>
      <c r="B1065" t="s">
        <v>4</v>
      </c>
      <c r="C1065" t="s">
        <v>50</v>
      </c>
      <c r="D1065" t="s">
        <v>11</v>
      </c>
      <c r="E1065" t="s">
        <v>32</v>
      </c>
      <c r="F1065" t="s">
        <v>39</v>
      </c>
      <c r="G1065">
        <v>32</v>
      </c>
      <c r="H1065">
        <v>9</v>
      </c>
      <c r="I1065">
        <v>26</v>
      </c>
      <c r="J1065">
        <v>13</v>
      </c>
      <c r="K1065">
        <v>68</v>
      </c>
      <c r="L1065">
        <v>107.95</v>
      </c>
      <c r="M1065">
        <v>2105.7199999999998</v>
      </c>
      <c r="N1065">
        <v>75794</v>
      </c>
      <c r="O1065">
        <v>1754.49</v>
      </c>
      <c r="P1065" s="1">
        <v>0.308</v>
      </c>
      <c r="Q1065">
        <f t="shared" si="80"/>
        <v>41</v>
      </c>
      <c r="R1065">
        <f t="shared" si="81"/>
        <v>22</v>
      </c>
      <c r="S1065" s="1">
        <f t="shared" si="82"/>
        <v>0.36585365853658536</v>
      </c>
      <c r="T1065">
        <f t="shared" si="83"/>
        <v>0.41</v>
      </c>
      <c r="U1065" t="str">
        <f t="shared" si="84"/>
        <v>Feb</v>
      </c>
    </row>
    <row r="1066" spans="1:21">
      <c r="A1066" s="2">
        <v>46079</v>
      </c>
      <c r="B1066" t="s">
        <v>4</v>
      </c>
      <c r="C1066" t="s">
        <v>43</v>
      </c>
      <c r="D1066" t="s">
        <v>9</v>
      </c>
      <c r="E1066" t="s">
        <v>32</v>
      </c>
      <c r="F1066" t="s">
        <v>45</v>
      </c>
      <c r="G1066">
        <v>65</v>
      </c>
      <c r="H1066">
        <v>34</v>
      </c>
      <c r="I1066">
        <v>81</v>
      </c>
      <c r="J1066">
        <v>147</v>
      </c>
      <c r="K1066">
        <v>17</v>
      </c>
      <c r="L1066">
        <v>128.13</v>
      </c>
      <c r="M1066">
        <v>2051.7800000000002</v>
      </c>
      <c r="N1066">
        <v>72225</v>
      </c>
      <c r="O1066">
        <v>1797.16</v>
      </c>
      <c r="P1066" s="1">
        <v>-0.72199999999999998</v>
      </c>
      <c r="Q1066">
        <f t="shared" si="80"/>
        <v>99</v>
      </c>
      <c r="R1066">
        <f t="shared" si="81"/>
        <v>181</v>
      </c>
      <c r="S1066" s="1">
        <f t="shared" si="82"/>
        <v>0.18181818181818182</v>
      </c>
      <c r="T1066">
        <f t="shared" si="83"/>
        <v>0.99</v>
      </c>
      <c r="U1066" t="str">
        <f t="shared" si="84"/>
        <v>Feb</v>
      </c>
    </row>
    <row r="1067" spans="1:21">
      <c r="A1067" s="2">
        <v>46107</v>
      </c>
      <c r="B1067" t="s">
        <v>6</v>
      </c>
      <c r="C1067" t="s">
        <v>50</v>
      </c>
      <c r="D1067" t="s">
        <v>10</v>
      </c>
      <c r="E1067" t="s">
        <v>41</v>
      </c>
      <c r="F1067" t="s">
        <v>49</v>
      </c>
      <c r="G1067">
        <v>49</v>
      </c>
      <c r="H1067">
        <v>79</v>
      </c>
      <c r="I1067">
        <v>12</v>
      </c>
      <c r="J1067">
        <v>94</v>
      </c>
      <c r="K1067">
        <v>176</v>
      </c>
      <c r="L1067">
        <v>129.37</v>
      </c>
      <c r="M1067">
        <v>2455.89</v>
      </c>
      <c r="N1067">
        <v>65001</v>
      </c>
      <c r="O1067">
        <v>1517.06</v>
      </c>
      <c r="P1067" s="1">
        <v>0.23799999999999999</v>
      </c>
      <c r="Q1067">
        <f t="shared" si="80"/>
        <v>128</v>
      </c>
      <c r="R1067">
        <f t="shared" si="81"/>
        <v>173</v>
      </c>
      <c r="S1067" s="1">
        <f t="shared" si="82"/>
        <v>0.90625</v>
      </c>
      <c r="T1067">
        <f t="shared" si="83"/>
        <v>1.28</v>
      </c>
      <c r="U1067" t="str">
        <f t="shared" si="84"/>
        <v>Mar</v>
      </c>
    </row>
    <row r="1068" spans="1:21">
      <c r="A1068" s="2">
        <v>46079</v>
      </c>
      <c r="B1068" t="s">
        <v>6</v>
      </c>
      <c r="C1068" t="s">
        <v>40</v>
      </c>
      <c r="D1068" t="s">
        <v>5</v>
      </c>
      <c r="E1068" t="s">
        <v>38</v>
      </c>
      <c r="F1068" t="s">
        <v>45</v>
      </c>
      <c r="G1068">
        <v>54</v>
      </c>
      <c r="H1068">
        <v>10</v>
      </c>
      <c r="I1068">
        <v>1</v>
      </c>
      <c r="J1068">
        <v>131</v>
      </c>
      <c r="K1068">
        <v>16</v>
      </c>
      <c r="L1068">
        <v>127.89</v>
      </c>
      <c r="M1068">
        <v>1894.76</v>
      </c>
      <c r="N1068">
        <v>66393</v>
      </c>
      <c r="O1068">
        <v>982.21</v>
      </c>
      <c r="P1068" s="1">
        <v>-0.123</v>
      </c>
      <c r="Q1068">
        <f t="shared" si="80"/>
        <v>64</v>
      </c>
      <c r="R1068">
        <f t="shared" si="81"/>
        <v>141</v>
      </c>
      <c r="S1068" s="1">
        <f t="shared" si="82"/>
        <v>0.984375</v>
      </c>
      <c r="T1068">
        <f t="shared" si="83"/>
        <v>0.64</v>
      </c>
      <c r="U1068" t="str">
        <f t="shared" si="84"/>
        <v>Feb</v>
      </c>
    </row>
    <row r="1069" spans="1:21">
      <c r="A1069" s="2">
        <v>46101</v>
      </c>
      <c r="B1069" t="s">
        <v>4</v>
      </c>
      <c r="C1069" t="s">
        <v>44</v>
      </c>
      <c r="D1069" t="s">
        <v>7</v>
      </c>
      <c r="E1069" t="s">
        <v>47</v>
      </c>
      <c r="F1069" t="s">
        <v>33</v>
      </c>
      <c r="G1069">
        <v>51</v>
      </c>
      <c r="H1069">
        <v>9</v>
      </c>
      <c r="I1069">
        <v>58</v>
      </c>
      <c r="J1069">
        <v>83</v>
      </c>
      <c r="K1069">
        <v>7</v>
      </c>
      <c r="L1069">
        <v>119.05</v>
      </c>
      <c r="M1069">
        <v>2483.0100000000002</v>
      </c>
      <c r="N1069">
        <v>71763</v>
      </c>
      <c r="O1069">
        <v>1305.95</v>
      </c>
      <c r="P1069" s="1">
        <v>-0.54700000000000004</v>
      </c>
      <c r="Q1069">
        <f t="shared" si="80"/>
        <v>60</v>
      </c>
      <c r="R1069">
        <f t="shared" si="81"/>
        <v>92</v>
      </c>
      <c r="S1069" s="1">
        <f t="shared" si="82"/>
        <v>3.3333333333333333E-2</v>
      </c>
      <c r="T1069">
        <f t="shared" si="83"/>
        <v>0.6</v>
      </c>
      <c r="U1069" t="str">
        <f t="shared" si="84"/>
        <v>Mar</v>
      </c>
    </row>
    <row r="1070" spans="1:21">
      <c r="A1070" s="2">
        <v>46105</v>
      </c>
      <c r="B1070" t="s">
        <v>4</v>
      </c>
      <c r="C1070" t="s">
        <v>34</v>
      </c>
      <c r="D1070" t="s">
        <v>5</v>
      </c>
      <c r="E1070" t="s">
        <v>47</v>
      </c>
      <c r="F1070" t="s">
        <v>39</v>
      </c>
      <c r="G1070">
        <v>96</v>
      </c>
      <c r="H1070">
        <v>23</v>
      </c>
      <c r="I1070">
        <v>45</v>
      </c>
      <c r="J1070">
        <v>61</v>
      </c>
      <c r="K1070">
        <v>109</v>
      </c>
      <c r="L1070">
        <v>94.23</v>
      </c>
      <c r="M1070">
        <v>2300.5500000000002</v>
      </c>
      <c r="N1070">
        <v>64243</v>
      </c>
      <c r="O1070">
        <v>1643.36</v>
      </c>
      <c r="P1070" s="1">
        <v>0.58299999999999996</v>
      </c>
      <c r="Q1070">
        <f t="shared" si="80"/>
        <v>119</v>
      </c>
      <c r="R1070">
        <f t="shared" si="81"/>
        <v>84</v>
      </c>
      <c r="S1070" s="1">
        <f t="shared" si="82"/>
        <v>0.62184873949579833</v>
      </c>
      <c r="T1070">
        <f t="shared" si="83"/>
        <v>1.19</v>
      </c>
      <c r="U1070" t="str">
        <f t="shared" si="84"/>
        <v>Mar</v>
      </c>
    </row>
    <row r="1071" spans="1:21">
      <c r="A1071" s="2">
        <v>46122</v>
      </c>
      <c r="B1071" t="s">
        <v>6</v>
      </c>
      <c r="C1071" t="s">
        <v>50</v>
      </c>
      <c r="D1071" t="s">
        <v>9</v>
      </c>
      <c r="E1071" t="s">
        <v>47</v>
      </c>
      <c r="F1071" t="s">
        <v>49</v>
      </c>
      <c r="G1071">
        <v>53</v>
      </c>
      <c r="H1071">
        <v>56</v>
      </c>
      <c r="I1071">
        <v>38</v>
      </c>
      <c r="J1071">
        <v>106</v>
      </c>
      <c r="K1071">
        <v>355</v>
      </c>
      <c r="L1071">
        <v>109.62</v>
      </c>
      <c r="M1071">
        <v>2400.0700000000002</v>
      </c>
      <c r="N1071">
        <v>66793</v>
      </c>
      <c r="O1071">
        <v>1245.58</v>
      </c>
      <c r="P1071" s="1">
        <v>0.94099999999999995</v>
      </c>
      <c r="Q1071">
        <f t="shared" si="80"/>
        <v>109</v>
      </c>
      <c r="R1071">
        <f t="shared" si="81"/>
        <v>162</v>
      </c>
      <c r="S1071" s="1">
        <f t="shared" si="82"/>
        <v>0.65137614678899081</v>
      </c>
      <c r="T1071">
        <f t="shared" si="83"/>
        <v>1.0900000000000001</v>
      </c>
      <c r="U1071" t="str">
        <f t="shared" si="84"/>
        <v>Apr</v>
      </c>
    </row>
    <row r="1072" spans="1:21">
      <c r="A1072" s="2">
        <v>46092</v>
      </c>
      <c r="B1072" t="s">
        <v>4</v>
      </c>
      <c r="C1072" t="s">
        <v>40</v>
      </c>
      <c r="D1072" t="s">
        <v>5</v>
      </c>
      <c r="E1072" t="s">
        <v>32</v>
      </c>
      <c r="F1072" t="s">
        <v>39</v>
      </c>
      <c r="G1072">
        <v>12</v>
      </c>
      <c r="H1072">
        <v>24</v>
      </c>
      <c r="I1072">
        <v>49</v>
      </c>
      <c r="J1072">
        <v>96</v>
      </c>
      <c r="K1072">
        <v>58</v>
      </c>
      <c r="L1072">
        <v>111.76</v>
      </c>
      <c r="M1072">
        <v>1959.11</v>
      </c>
      <c r="N1072">
        <v>73850</v>
      </c>
      <c r="O1072">
        <v>1440.9</v>
      </c>
      <c r="P1072" s="1">
        <v>0.92700000000000005</v>
      </c>
      <c r="Q1072">
        <f t="shared" si="80"/>
        <v>36</v>
      </c>
      <c r="R1072">
        <f t="shared" si="81"/>
        <v>120</v>
      </c>
      <c r="S1072" s="1">
        <f t="shared" si="82"/>
        <v>-0.3611111111111111</v>
      </c>
      <c r="T1072">
        <f t="shared" si="83"/>
        <v>0.36</v>
      </c>
      <c r="U1072" t="str">
        <f t="shared" si="84"/>
        <v>Mar</v>
      </c>
    </row>
    <row r="1073" spans="1:21">
      <c r="A1073" s="2">
        <v>46094</v>
      </c>
      <c r="B1073" t="s">
        <v>4</v>
      </c>
      <c r="C1073" t="s">
        <v>50</v>
      </c>
      <c r="D1073" t="s">
        <v>5</v>
      </c>
      <c r="E1073" t="s">
        <v>38</v>
      </c>
      <c r="F1073" t="s">
        <v>33</v>
      </c>
      <c r="G1073">
        <v>79</v>
      </c>
      <c r="H1073">
        <v>1</v>
      </c>
      <c r="I1073">
        <v>43</v>
      </c>
      <c r="J1073">
        <v>137</v>
      </c>
      <c r="K1073">
        <v>256</v>
      </c>
      <c r="L1073">
        <v>118.4</v>
      </c>
      <c r="M1073">
        <v>2080.06</v>
      </c>
      <c r="N1073">
        <v>75396</v>
      </c>
      <c r="O1073">
        <v>1114</v>
      </c>
      <c r="P1073" s="1">
        <v>0.501</v>
      </c>
      <c r="Q1073">
        <f t="shared" si="80"/>
        <v>80</v>
      </c>
      <c r="R1073">
        <f t="shared" si="81"/>
        <v>138</v>
      </c>
      <c r="S1073" s="1">
        <f t="shared" si="82"/>
        <v>0.46250000000000002</v>
      </c>
      <c r="T1073">
        <f t="shared" si="83"/>
        <v>0.8</v>
      </c>
      <c r="U1073" t="str">
        <f t="shared" si="84"/>
        <v>Mar</v>
      </c>
    </row>
    <row r="1074" spans="1:21">
      <c r="A1074" s="2">
        <v>46088</v>
      </c>
      <c r="B1074" t="s">
        <v>6</v>
      </c>
      <c r="C1074" t="s">
        <v>48</v>
      </c>
      <c r="D1074" t="s">
        <v>7</v>
      </c>
      <c r="E1074" t="s">
        <v>37</v>
      </c>
      <c r="F1074" t="s">
        <v>45</v>
      </c>
      <c r="G1074">
        <v>102</v>
      </c>
      <c r="H1074">
        <v>76</v>
      </c>
      <c r="I1074">
        <v>70</v>
      </c>
      <c r="J1074">
        <v>147</v>
      </c>
      <c r="K1074">
        <v>178</v>
      </c>
      <c r="L1074">
        <v>86.91</v>
      </c>
      <c r="M1074">
        <v>2434.87</v>
      </c>
      <c r="N1074">
        <v>73528</v>
      </c>
      <c r="O1074">
        <v>1242.83</v>
      </c>
      <c r="P1074" s="1">
        <v>6.2E-2</v>
      </c>
      <c r="Q1074">
        <f t="shared" si="80"/>
        <v>178</v>
      </c>
      <c r="R1074">
        <f t="shared" si="81"/>
        <v>223</v>
      </c>
      <c r="S1074" s="1">
        <f t="shared" si="82"/>
        <v>0.6067415730337079</v>
      </c>
      <c r="T1074">
        <f t="shared" si="83"/>
        <v>1.78</v>
      </c>
      <c r="U1074" t="str">
        <f t="shared" si="84"/>
        <v>Mar</v>
      </c>
    </row>
    <row r="1075" spans="1:21">
      <c r="A1075" s="2">
        <v>46100</v>
      </c>
      <c r="B1075" t="s">
        <v>4</v>
      </c>
      <c r="C1075" t="s">
        <v>48</v>
      </c>
      <c r="D1075" t="s">
        <v>11</v>
      </c>
      <c r="E1075" t="s">
        <v>41</v>
      </c>
      <c r="F1075" t="s">
        <v>39</v>
      </c>
      <c r="G1075">
        <v>114</v>
      </c>
      <c r="H1075">
        <v>29</v>
      </c>
      <c r="I1075">
        <v>27</v>
      </c>
      <c r="J1075">
        <v>22</v>
      </c>
      <c r="K1075">
        <v>412</v>
      </c>
      <c r="L1075">
        <v>114.67</v>
      </c>
      <c r="M1075">
        <v>1892.15</v>
      </c>
      <c r="N1075">
        <v>69326</v>
      </c>
      <c r="O1075">
        <v>1781.1</v>
      </c>
      <c r="P1075" s="1">
        <v>0.44900000000000001</v>
      </c>
      <c r="Q1075">
        <f t="shared" si="80"/>
        <v>143</v>
      </c>
      <c r="R1075">
        <f t="shared" si="81"/>
        <v>51</v>
      </c>
      <c r="S1075" s="1">
        <f t="shared" si="82"/>
        <v>0.81118881118881114</v>
      </c>
      <c r="T1075">
        <f t="shared" si="83"/>
        <v>1.43</v>
      </c>
      <c r="U1075" t="str">
        <f t="shared" si="84"/>
        <v>Mar</v>
      </c>
    </row>
    <row r="1076" spans="1:21">
      <c r="A1076" s="2">
        <v>46106</v>
      </c>
      <c r="B1076" t="s">
        <v>6</v>
      </c>
      <c r="C1076" t="s">
        <v>51</v>
      </c>
      <c r="D1076" t="s">
        <v>9</v>
      </c>
      <c r="E1076" t="s">
        <v>41</v>
      </c>
      <c r="F1076" t="s">
        <v>39</v>
      </c>
      <c r="G1076">
        <v>50</v>
      </c>
      <c r="H1076">
        <v>78</v>
      </c>
      <c r="I1076">
        <v>70</v>
      </c>
      <c r="J1076">
        <v>3</v>
      </c>
      <c r="K1076">
        <v>232</v>
      </c>
      <c r="L1076">
        <v>80.069999999999993</v>
      </c>
      <c r="M1076">
        <v>2137.31</v>
      </c>
      <c r="N1076">
        <v>64677</v>
      </c>
      <c r="O1076">
        <v>1083.19</v>
      </c>
      <c r="P1076" s="1">
        <v>-0.75600000000000001</v>
      </c>
      <c r="Q1076">
        <f t="shared" si="80"/>
        <v>128</v>
      </c>
      <c r="R1076">
        <f t="shared" si="81"/>
        <v>81</v>
      </c>
      <c r="S1076" s="1">
        <f t="shared" si="82"/>
        <v>0.453125</v>
      </c>
      <c r="T1076">
        <f t="shared" si="83"/>
        <v>1.28</v>
      </c>
      <c r="U1076" t="str">
        <f t="shared" si="84"/>
        <v>Mar</v>
      </c>
    </row>
    <row r="1077" spans="1:21">
      <c r="A1077" s="2">
        <v>46125</v>
      </c>
      <c r="B1077" t="s">
        <v>4</v>
      </c>
      <c r="C1077" t="s">
        <v>36</v>
      </c>
      <c r="D1077" t="s">
        <v>7</v>
      </c>
      <c r="E1077" t="s">
        <v>37</v>
      </c>
      <c r="F1077" t="s">
        <v>39</v>
      </c>
      <c r="G1077">
        <v>108</v>
      </c>
      <c r="H1077">
        <v>56</v>
      </c>
      <c r="I1077">
        <v>81</v>
      </c>
      <c r="J1077">
        <v>142</v>
      </c>
      <c r="K1077">
        <v>405</v>
      </c>
      <c r="L1077">
        <v>113.67</v>
      </c>
      <c r="M1077">
        <v>2438.63</v>
      </c>
      <c r="N1077">
        <v>68473</v>
      </c>
      <c r="O1077">
        <v>1644.75</v>
      </c>
      <c r="P1077" s="1">
        <v>-0.441</v>
      </c>
      <c r="Q1077">
        <f t="shared" si="80"/>
        <v>164</v>
      </c>
      <c r="R1077">
        <f t="shared" si="81"/>
        <v>198</v>
      </c>
      <c r="S1077" s="1">
        <f t="shared" si="82"/>
        <v>0.50609756097560976</v>
      </c>
      <c r="T1077">
        <f t="shared" si="83"/>
        <v>1.64</v>
      </c>
      <c r="U1077" t="str">
        <f t="shared" si="84"/>
        <v>Apr</v>
      </c>
    </row>
    <row r="1078" spans="1:21">
      <c r="A1078" s="2">
        <v>46119</v>
      </c>
      <c r="B1078" t="s">
        <v>6</v>
      </c>
      <c r="C1078" t="s">
        <v>36</v>
      </c>
      <c r="D1078" t="s">
        <v>5</v>
      </c>
      <c r="E1078" t="s">
        <v>37</v>
      </c>
      <c r="F1078" t="s">
        <v>39</v>
      </c>
      <c r="G1078">
        <v>5</v>
      </c>
      <c r="H1078">
        <v>23</v>
      </c>
      <c r="I1078">
        <v>56</v>
      </c>
      <c r="J1078">
        <v>146</v>
      </c>
      <c r="K1078">
        <v>284</v>
      </c>
      <c r="L1078">
        <v>107.01</v>
      </c>
      <c r="M1078">
        <v>2444.14</v>
      </c>
      <c r="N1078">
        <v>74645</v>
      </c>
      <c r="O1078">
        <v>1374.37</v>
      </c>
      <c r="P1078" s="1">
        <v>-5.8000000000000003E-2</v>
      </c>
      <c r="Q1078">
        <f t="shared" si="80"/>
        <v>28</v>
      </c>
      <c r="R1078">
        <f t="shared" si="81"/>
        <v>169</v>
      </c>
      <c r="S1078" s="1">
        <f t="shared" si="82"/>
        <v>-1</v>
      </c>
      <c r="T1078">
        <f t="shared" si="83"/>
        <v>0.28000000000000003</v>
      </c>
      <c r="U1078" t="str">
        <f t="shared" si="84"/>
        <v>Apr</v>
      </c>
    </row>
    <row r="1079" spans="1:21">
      <c r="A1079" s="2">
        <v>46096</v>
      </c>
      <c r="B1079" t="s">
        <v>6</v>
      </c>
      <c r="C1079" t="s">
        <v>51</v>
      </c>
      <c r="D1079" t="s">
        <v>5</v>
      </c>
      <c r="E1079" t="s">
        <v>35</v>
      </c>
      <c r="F1079" t="s">
        <v>45</v>
      </c>
      <c r="G1079">
        <v>19</v>
      </c>
      <c r="H1079">
        <v>16</v>
      </c>
      <c r="I1079">
        <v>77</v>
      </c>
      <c r="J1079">
        <v>64</v>
      </c>
      <c r="K1079">
        <v>68</v>
      </c>
      <c r="L1079">
        <v>132.31</v>
      </c>
      <c r="M1079">
        <v>1932.28</v>
      </c>
      <c r="N1079">
        <v>73798</v>
      </c>
      <c r="O1079">
        <v>1704.6</v>
      </c>
      <c r="P1079" s="1">
        <v>0.23499999999999999</v>
      </c>
      <c r="Q1079">
        <f t="shared" si="80"/>
        <v>35</v>
      </c>
      <c r="R1079">
        <f t="shared" si="81"/>
        <v>80</v>
      </c>
      <c r="S1079" s="1">
        <f t="shared" si="82"/>
        <v>-1.2</v>
      </c>
      <c r="T1079">
        <f t="shared" si="83"/>
        <v>0.35</v>
      </c>
      <c r="U1079" t="str">
        <f t="shared" si="84"/>
        <v>Mar</v>
      </c>
    </row>
    <row r="1080" spans="1:21">
      <c r="A1080" s="2">
        <v>46086</v>
      </c>
      <c r="B1080" t="s">
        <v>4</v>
      </c>
      <c r="C1080" t="s">
        <v>36</v>
      </c>
      <c r="D1080" t="s">
        <v>10</v>
      </c>
      <c r="E1080" t="s">
        <v>42</v>
      </c>
      <c r="F1080" t="s">
        <v>39</v>
      </c>
      <c r="G1080">
        <v>75</v>
      </c>
      <c r="H1080">
        <v>25</v>
      </c>
      <c r="I1080">
        <v>86</v>
      </c>
      <c r="J1080">
        <v>151</v>
      </c>
      <c r="K1080">
        <v>182</v>
      </c>
      <c r="L1080">
        <v>126.54</v>
      </c>
      <c r="M1080">
        <v>2381.46</v>
      </c>
      <c r="N1080">
        <v>70569</v>
      </c>
      <c r="O1080">
        <v>1602.29</v>
      </c>
      <c r="P1080" s="1">
        <v>-0.34799999999999998</v>
      </c>
      <c r="Q1080">
        <f t="shared" si="80"/>
        <v>100</v>
      </c>
      <c r="R1080">
        <f t="shared" si="81"/>
        <v>176</v>
      </c>
      <c r="S1080" s="1">
        <f t="shared" si="82"/>
        <v>0.14000000000000001</v>
      </c>
      <c r="T1080">
        <f t="shared" si="83"/>
        <v>1</v>
      </c>
      <c r="U1080" t="str">
        <f t="shared" si="84"/>
        <v>Mar</v>
      </c>
    </row>
    <row r="1081" spans="1:21">
      <c r="A1081" s="2">
        <v>46116</v>
      </c>
      <c r="B1081" t="s">
        <v>6</v>
      </c>
      <c r="C1081" t="s">
        <v>46</v>
      </c>
      <c r="D1081" t="s">
        <v>10</v>
      </c>
      <c r="E1081" t="s">
        <v>41</v>
      </c>
      <c r="F1081" t="s">
        <v>33</v>
      </c>
      <c r="G1081">
        <v>42</v>
      </c>
      <c r="H1081">
        <v>67</v>
      </c>
      <c r="I1081">
        <v>37</v>
      </c>
      <c r="J1081">
        <v>9</v>
      </c>
      <c r="K1081">
        <v>261</v>
      </c>
      <c r="L1081">
        <v>101.68</v>
      </c>
      <c r="M1081">
        <v>2295.77</v>
      </c>
      <c r="N1081">
        <v>66726</v>
      </c>
      <c r="O1081">
        <v>1362.49</v>
      </c>
      <c r="P1081" s="1">
        <v>-0.45300000000000001</v>
      </c>
      <c r="Q1081">
        <f t="shared" si="80"/>
        <v>109</v>
      </c>
      <c r="R1081">
        <f t="shared" si="81"/>
        <v>76</v>
      </c>
      <c r="S1081" s="1">
        <f t="shared" si="82"/>
        <v>0.66055045871559637</v>
      </c>
      <c r="T1081">
        <f t="shared" si="83"/>
        <v>1.0900000000000001</v>
      </c>
      <c r="U1081" t="str">
        <f t="shared" si="84"/>
        <v>Apr</v>
      </c>
    </row>
    <row r="1082" spans="1:21">
      <c r="A1082" s="2">
        <v>46069</v>
      </c>
      <c r="B1082" t="s">
        <v>4</v>
      </c>
      <c r="C1082" t="s">
        <v>34</v>
      </c>
      <c r="D1082" t="s">
        <v>7</v>
      </c>
      <c r="E1082" t="s">
        <v>38</v>
      </c>
      <c r="F1082" t="s">
        <v>45</v>
      </c>
      <c r="G1082">
        <v>23</v>
      </c>
      <c r="H1082">
        <v>50</v>
      </c>
      <c r="I1082">
        <v>61</v>
      </c>
      <c r="J1082">
        <v>92</v>
      </c>
      <c r="K1082">
        <v>395</v>
      </c>
      <c r="L1082">
        <v>98.33</v>
      </c>
      <c r="M1082">
        <v>2010.14</v>
      </c>
      <c r="N1082">
        <v>68793</v>
      </c>
      <c r="O1082">
        <v>1517.63</v>
      </c>
      <c r="P1082" s="1">
        <v>-0.55400000000000005</v>
      </c>
      <c r="Q1082">
        <f t="shared" si="80"/>
        <v>73</v>
      </c>
      <c r="R1082">
        <f t="shared" si="81"/>
        <v>142</v>
      </c>
      <c r="S1082" s="1">
        <f t="shared" si="82"/>
        <v>0.16438356164383561</v>
      </c>
      <c r="T1082">
        <f t="shared" si="83"/>
        <v>0.73</v>
      </c>
      <c r="U1082" t="str">
        <f t="shared" si="84"/>
        <v>Feb</v>
      </c>
    </row>
    <row r="1083" spans="1:21">
      <c r="A1083" s="2">
        <v>46112</v>
      </c>
      <c r="B1083" t="s">
        <v>4</v>
      </c>
      <c r="C1083" t="s">
        <v>51</v>
      </c>
      <c r="D1083" t="s">
        <v>7</v>
      </c>
      <c r="E1083" t="s">
        <v>42</v>
      </c>
      <c r="F1083" t="s">
        <v>33</v>
      </c>
      <c r="G1083">
        <v>75</v>
      </c>
      <c r="H1083">
        <v>27</v>
      </c>
      <c r="I1083">
        <v>55</v>
      </c>
      <c r="J1083">
        <v>46</v>
      </c>
      <c r="K1083">
        <v>314</v>
      </c>
      <c r="L1083">
        <v>126.05</v>
      </c>
      <c r="M1083">
        <v>2298.34</v>
      </c>
      <c r="N1083">
        <v>66391</v>
      </c>
      <c r="O1083">
        <v>913.77</v>
      </c>
      <c r="P1083" s="1">
        <v>-0.32</v>
      </c>
      <c r="Q1083">
        <f t="shared" si="80"/>
        <v>102</v>
      </c>
      <c r="R1083">
        <f t="shared" si="81"/>
        <v>73</v>
      </c>
      <c r="S1083" s="1">
        <f t="shared" si="82"/>
        <v>0.46078431372549017</v>
      </c>
      <c r="T1083">
        <f t="shared" si="83"/>
        <v>1.02</v>
      </c>
      <c r="U1083" t="str">
        <f t="shared" si="84"/>
        <v>Mar</v>
      </c>
    </row>
    <row r="1084" spans="1:21">
      <c r="A1084" s="2">
        <v>46078</v>
      </c>
      <c r="B1084" t="s">
        <v>4</v>
      </c>
      <c r="C1084" t="s">
        <v>46</v>
      </c>
      <c r="D1084" t="s">
        <v>10</v>
      </c>
      <c r="E1084" t="s">
        <v>38</v>
      </c>
      <c r="F1084" t="s">
        <v>39</v>
      </c>
      <c r="G1084">
        <v>32</v>
      </c>
      <c r="H1084">
        <v>53</v>
      </c>
      <c r="I1084">
        <v>18</v>
      </c>
      <c r="J1084">
        <v>69</v>
      </c>
      <c r="K1084">
        <v>375</v>
      </c>
      <c r="L1084">
        <v>97.78</v>
      </c>
      <c r="M1084">
        <v>1968.02</v>
      </c>
      <c r="N1084">
        <v>72739</v>
      </c>
      <c r="O1084">
        <v>1253.9000000000001</v>
      </c>
      <c r="P1084" s="1">
        <v>-0.70799999999999996</v>
      </c>
      <c r="Q1084">
        <f t="shared" si="80"/>
        <v>85</v>
      </c>
      <c r="R1084">
        <f t="shared" si="81"/>
        <v>122</v>
      </c>
      <c r="S1084" s="1">
        <f t="shared" si="82"/>
        <v>0.78823529411764703</v>
      </c>
      <c r="T1084">
        <f t="shared" si="83"/>
        <v>0.85</v>
      </c>
      <c r="U1084" t="str">
        <f t="shared" si="84"/>
        <v>Feb</v>
      </c>
    </row>
    <row r="1085" spans="1:21">
      <c r="A1085" s="2">
        <v>46078</v>
      </c>
      <c r="B1085" t="s">
        <v>6</v>
      </c>
      <c r="C1085" t="s">
        <v>44</v>
      </c>
      <c r="D1085" t="s">
        <v>10</v>
      </c>
      <c r="E1085" t="s">
        <v>47</v>
      </c>
      <c r="F1085" t="s">
        <v>39</v>
      </c>
      <c r="G1085">
        <v>33</v>
      </c>
      <c r="H1085">
        <v>36</v>
      </c>
      <c r="I1085">
        <v>21</v>
      </c>
      <c r="J1085">
        <v>136</v>
      </c>
      <c r="K1085">
        <v>234</v>
      </c>
      <c r="L1085">
        <v>120.59</v>
      </c>
      <c r="M1085">
        <v>2328.08</v>
      </c>
      <c r="N1085">
        <v>70205</v>
      </c>
      <c r="O1085">
        <v>1479.13</v>
      </c>
      <c r="P1085" s="1">
        <v>-0.68</v>
      </c>
      <c r="Q1085">
        <f t="shared" si="80"/>
        <v>69</v>
      </c>
      <c r="R1085">
        <f t="shared" si="81"/>
        <v>172</v>
      </c>
      <c r="S1085" s="1">
        <f t="shared" si="82"/>
        <v>0.69565217391304346</v>
      </c>
      <c r="T1085">
        <f t="shared" si="83"/>
        <v>0.69</v>
      </c>
      <c r="U1085" t="str">
        <f t="shared" si="84"/>
        <v>Feb</v>
      </c>
    </row>
    <row r="1086" spans="1:21">
      <c r="A1086" s="2">
        <v>46116</v>
      </c>
      <c r="B1086" t="s">
        <v>6</v>
      </c>
      <c r="C1086" t="s">
        <v>50</v>
      </c>
      <c r="D1086" t="s">
        <v>7</v>
      </c>
      <c r="E1086" t="s">
        <v>32</v>
      </c>
      <c r="F1086" t="s">
        <v>39</v>
      </c>
      <c r="G1086">
        <v>66</v>
      </c>
      <c r="H1086">
        <v>58</v>
      </c>
      <c r="I1086">
        <v>24</v>
      </c>
      <c r="J1086">
        <v>139</v>
      </c>
      <c r="K1086">
        <v>215</v>
      </c>
      <c r="L1086">
        <v>104.63</v>
      </c>
      <c r="M1086">
        <v>2181.4899999999998</v>
      </c>
      <c r="N1086">
        <v>66674</v>
      </c>
      <c r="O1086">
        <v>1546.57</v>
      </c>
      <c r="P1086" s="1">
        <v>-0.182</v>
      </c>
      <c r="Q1086">
        <f t="shared" si="80"/>
        <v>124</v>
      </c>
      <c r="R1086">
        <f t="shared" si="81"/>
        <v>197</v>
      </c>
      <c r="S1086" s="1">
        <f t="shared" si="82"/>
        <v>0.80645161290322576</v>
      </c>
      <c r="T1086">
        <f t="shared" si="83"/>
        <v>1.24</v>
      </c>
      <c r="U1086" t="str">
        <f t="shared" si="84"/>
        <v>Apr</v>
      </c>
    </row>
    <row r="1087" spans="1:21">
      <c r="A1087" s="2">
        <v>46108</v>
      </c>
      <c r="B1087" t="s">
        <v>4</v>
      </c>
      <c r="C1087" t="s">
        <v>44</v>
      </c>
      <c r="D1087" t="s">
        <v>11</v>
      </c>
      <c r="E1087" t="s">
        <v>32</v>
      </c>
      <c r="F1087" t="s">
        <v>39</v>
      </c>
      <c r="G1087">
        <v>29</v>
      </c>
      <c r="H1087">
        <v>28</v>
      </c>
      <c r="I1087">
        <v>56</v>
      </c>
      <c r="J1087">
        <v>126</v>
      </c>
      <c r="K1087">
        <v>36</v>
      </c>
      <c r="L1087">
        <v>123.45</v>
      </c>
      <c r="M1087">
        <v>1900.1</v>
      </c>
      <c r="N1087">
        <v>73752</v>
      </c>
      <c r="O1087">
        <v>1346.49</v>
      </c>
      <c r="P1087" s="1">
        <v>-5.0000000000000001E-3</v>
      </c>
      <c r="Q1087">
        <f t="shared" si="80"/>
        <v>57</v>
      </c>
      <c r="R1087">
        <f t="shared" si="81"/>
        <v>154</v>
      </c>
      <c r="S1087" s="1">
        <f t="shared" si="82"/>
        <v>1.7543859649122806E-2</v>
      </c>
      <c r="T1087">
        <f t="shared" si="83"/>
        <v>0.56999999999999995</v>
      </c>
      <c r="U1087" t="str">
        <f t="shared" si="84"/>
        <v>Mar</v>
      </c>
    </row>
    <row r="1088" spans="1:21">
      <c r="A1088" s="2">
        <v>46070</v>
      </c>
      <c r="B1088" t="s">
        <v>4</v>
      </c>
      <c r="C1088" t="s">
        <v>31</v>
      </c>
      <c r="D1088" t="s">
        <v>10</v>
      </c>
      <c r="E1088" t="s">
        <v>38</v>
      </c>
      <c r="F1088" t="s">
        <v>39</v>
      </c>
      <c r="G1088">
        <v>96</v>
      </c>
      <c r="H1088">
        <v>20</v>
      </c>
      <c r="I1088">
        <v>15</v>
      </c>
      <c r="J1088">
        <v>37</v>
      </c>
      <c r="K1088">
        <v>193</v>
      </c>
      <c r="L1088">
        <v>131.37</v>
      </c>
      <c r="M1088">
        <v>2465.69</v>
      </c>
      <c r="N1088">
        <v>70742</v>
      </c>
      <c r="O1088">
        <v>1712.85</v>
      </c>
      <c r="P1088" s="1">
        <v>-0.42</v>
      </c>
      <c r="Q1088">
        <f t="shared" si="80"/>
        <v>116</v>
      </c>
      <c r="R1088">
        <f t="shared" si="81"/>
        <v>57</v>
      </c>
      <c r="S1088" s="1">
        <f t="shared" si="82"/>
        <v>0.87068965517241381</v>
      </c>
      <c r="T1088">
        <f t="shared" si="83"/>
        <v>1.1599999999999999</v>
      </c>
      <c r="U1088" t="str">
        <f t="shared" si="84"/>
        <v>Feb</v>
      </c>
    </row>
    <row r="1089" spans="1:21">
      <c r="A1089" s="2">
        <v>46099</v>
      </c>
      <c r="B1089" t="s">
        <v>4</v>
      </c>
      <c r="C1089" t="s">
        <v>51</v>
      </c>
      <c r="D1089" t="s">
        <v>10</v>
      </c>
      <c r="E1089" t="s">
        <v>37</v>
      </c>
      <c r="F1089" t="s">
        <v>45</v>
      </c>
      <c r="G1089">
        <v>40</v>
      </c>
      <c r="H1089">
        <v>76</v>
      </c>
      <c r="I1089">
        <v>43</v>
      </c>
      <c r="J1089">
        <v>99</v>
      </c>
      <c r="K1089">
        <v>212</v>
      </c>
      <c r="L1089">
        <v>109.25</v>
      </c>
      <c r="M1089">
        <v>2062.25</v>
      </c>
      <c r="N1089">
        <v>72441</v>
      </c>
      <c r="O1089">
        <v>1655.48</v>
      </c>
      <c r="P1089" s="1">
        <v>-0.29699999999999999</v>
      </c>
      <c r="Q1089">
        <f t="shared" si="80"/>
        <v>116</v>
      </c>
      <c r="R1089">
        <f t="shared" si="81"/>
        <v>175</v>
      </c>
      <c r="S1089" s="1">
        <f t="shared" si="82"/>
        <v>0.62931034482758619</v>
      </c>
      <c r="T1089">
        <f t="shared" si="83"/>
        <v>1.1599999999999999</v>
      </c>
      <c r="U1089" t="str">
        <f t="shared" si="84"/>
        <v>Mar</v>
      </c>
    </row>
    <row r="1090" spans="1:21">
      <c r="A1090" s="2">
        <v>46107</v>
      </c>
      <c r="B1090" t="s">
        <v>6</v>
      </c>
      <c r="C1090" t="s">
        <v>48</v>
      </c>
      <c r="D1090" t="s">
        <v>9</v>
      </c>
      <c r="E1090" t="s">
        <v>37</v>
      </c>
      <c r="F1090" t="s">
        <v>33</v>
      </c>
      <c r="G1090">
        <v>52</v>
      </c>
      <c r="H1090">
        <v>49</v>
      </c>
      <c r="I1090">
        <v>21</v>
      </c>
      <c r="J1090">
        <v>136</v>
      </c>
      <c r="K1090">
        <v>220</v>
      </c>
      <c r="L1090">
        <v>130.69</v>
      </c>
      <c r="M1090">
        <v>2021.05</v>
      </c>
      <c r="N1090">
        <v>69334</v>
      </c>
      <c r="O1090">
        <v>1455.02</v>
      </c>
      <c r="P1090" s="1">
        <v>-0.83399999999999996</v>
      </c>
      <c r="Q1090">
        <f t="shared" si="80"/>
        <v>101</v>
      </c>
      <c r="R1090">
        <f t="shared" si="81"/>
        <v>185</v>
      </c>
      <c r="S1090" s="1">
        <f t="shared" si="82"/>
        <v>0.79207920792079212</v>
      </c>
      <c r="T1090">
        <f t="shared" si="83"/>
        <v>1.01</v>
      </c>
      <c r="U1090" t="str">
        <f t="shared" si="84"/>
        <v>Mar</v>
      </c>
    </row>
    <row r="1091" spans="1:21">
      <c r="A1091" s="2">
        <v>46099</v>
      </c>
      <c r="B1091" t="s">
        <v>4</v>
      </c>
      <c r="C1091" t="s">
        <v>50</v>
      </c>
      <c r="D1091" t="s">
        <v>11</v>
      </c>
      <c r="E1091" t="s">
        <v>42</v>
      </c>
      <c r="F1091" t="s">
        <v>33</v>
      </c>
      <c r="G1091">
        <v>97</v>
      </c>
      <c r="H1091">
        <v>25</v>
      </c>
      <c r="I1091">
        <v>20</v>
      </c>
      <c r="J1091">
        <v>105</v>
      </c>
      <c r="K1091">
        <v>47</v>
      </c>
      <c r="L1091">
        <v>133.44</v>
      </c>
      <c r="M1091">
        <v>1887.23</v>
      </c>
      <c r="N1091">
        <v>67031</v>
      </c>
      <c r="O1091">
        <v>1205.94</v>
      </c>
      <c r="P1091" s="1">
        <v>-0.93100000000000005</v>
      </c>
      <c r="Q1091">
        <f t="shared" ref="Q1091:Q1154" si="85">G1091+H1091</f>
        <v>122</v>
      </c>
      <c r="R1091">
        <f t="shared" ref="R1091:R1154" si="86">J1091+H1091</f>
        <v>130</v>
      </c>
      <c r="S1091" s="1">
        <f t="shared" ref="S1091:S1154" si="87">(Q1091-I1091)/(Q1091)</f>
        <v>0.83606557377049184</v>
      </c>
      <c r="T1091">
        <f t="shared" ref="T1091:T1154" si="88">Q1091/100</f>
        <v>1.22</v>
      </c>
      <c r="U1091" t="str">
        <f t="shared" ref="U1091:U1154" si="89">TEXT(A1091,"mmm")</f>
        <v>Mar</v>
      </c>
    </row>
    <row r="1092" spans="1:21">
      <c r="A1092" s="2">
        <v>46117</v>
      </c>
      <c r="B1092" t="s">
        <v>6</v>
      </c>
      <c r="C1092" t="s">
        <v>36</v>
      </c>
      <c r="D1092" t="s">
        <v>7</v>
      </c>
      <c r="E1092" t="s">
        <v>42</v>
      </c>
      <c r="F1092" t="s">
        <v>39</v>
      </c>
      <c r="G1092">
        <v>72</v>
      </c>
      <c r="H1092">
        <v>51</v>
      </c>
      <c r="I1092">
        <v>19</v>
      </c>
      <c r="J1092">
        <v>147</v>
      </c>
      <c r="K1092">
        <v>112</v>
      </c>
      <c r="L1092">
        <v>120.08</v>
      </c>
      <c r="M1092">
        <v>1957.72</v>
      </c>
      <c r="N1092">
        <v>72937</v>
      </c>
      <c r="O1092">
        <v>1201.5999999999999</v>
      </c>
      <c r="P1092" s="1">
        <v>0.32200000000000001</v>
      </c>
      <c r="Q1092">
        <f t="shared" si="85"/>
        <v>123</v>
      </c>
      <c r="R1092">
        <f t="shared" si="86"/>
        <v>198</v>
      </c>
      <c r="S1092" s="1">
        <f t="shared" si="87"/>
        <v>0.84552845528455289</v>
      </c>
      <c r="T1092">
        <f t="shared" si="88"/>
        <v>1.23</v>
      </c>
      <c r="U1092" t="str">
        <f t="shared" si="89"/>
        <v>Apr</v>
      </c>
    </row>
    <row r="1093" spans="1:21">
      <c r="A1093" s="2">
        <v>46083</v>
      </c>
      <c r="B1093" t="s">
        <v>4</v>
      </c>
      <c r="C1093" t="s">
        <v>44</v>
      </c>
      <c r="D1093" t="s">
        <v>7</v>
      </c>
      <c r="E1093" t="s">
        <v>41</v>
      </c>
      <c r="F1093" t="s">
        <v>45</v>
      </c>
      <c r="G1093">
        <v>109</v>
      </c>
      <c r="H1093">
        <v>30</v>
      </c>
      <c r="I1093">
        <v>56</v>
      </c>
      <c r="J1093">
        <v>89</v>
      </c>
      <c r="K1093">
        <v>395</v>
      </c>
      <c r="L1093">
        <v>107.71</v>
      </c>
      <c r="M1093">
        <v>1845.51</v>
      </c>
      <c r="N1093">
        <v>72058</v>
      </c>
      <c r="O1093">
        <v>1488.78</v>
      </c>
      <c r="P1093" s="1">
        <v>-0.81399999999999995</v>
      </c>
      <c r="Q1093">
        <f t="shared" si="85"/>
        <v>139</v>
      </c>
      <c r="R1093">
        <f t="shared" si="86"/>
        <v>119</v>
      </c>
      <c r="S1093" s="1">
        <f t="shared" si="87"/>
        <v>0.59712230215827333</v>
      </c>
      <c r="T1093">
        <f t="shared" si="88"/>
        <v>1.39</v>
      </c>
      <c r="U1093" t="str">
        <f t="shared" si="89"/>
        <v>Mar</v>
      </c>
    </row>
    <row r="1094" spans="1:21">
      <c r="A1094" s="2">
        <v>46113</v>
      </c>
      <c r="B1094" t="s">
        <v>6</v>
      </c>
      <c r="C1094" t="s">
        <v>48</v>
      </c>
      <c r="D1094" t="s">
        <v>5</v>
      </c>
      <c r="E1094" t="s">
        <v>32</v>
      </c>
      <c r="F1094" t="s">
        <v>49</v>
      </c>
      <c r="G1094">
        <v>106</v>
      </c>
      <c r="H1094">
        <v>12</v>
      </c>
      <c r="I1094">
        <v>25</v>
      </c>
      <c r="J1094">
        <v>133</v>
      </c>
      <c r="K1094">
        <v>167</v>
      </c>
      <c r="L1094">
        <v>110.94</v>
      </c>
      <c r="M1094">
        <v>2269.19</v>
      </c>
      <c r="N1094">
        <v>67241</v>
      </c>
      <c r="O1094">
        <v>1793.35</v>
      </c>
      <c r="P1094" s="1">
        <v>-0.20799999999999999</v>
      </c>
      <c r="Q1094">
        <f t="shared" si="85"/>
        <v>118</v>
      </c>
      <c r="R1094">
        <f t="shared" si="86"/>
        <v>145</v>
      </c>
      <c r="S1094" s="1">
        <f t="shared" si="87"/>
        <v>0.78813559322033899</v>
      </c>
      <c r="T1094">
        <f t="shared" si="88"/>
        <v>1.18</v>
      </c>
      <c r="U1094" t="str">
        <f t="shared" si="89"/>
        <v>Apr</v>
      </c>
    </row>
    <row r="1095" spans="1:21">
      <c r="A1095" s="2">
        <v>46125</v>
      </c>
      <c r="B1095" t="s">
        <v>4</v>
      </c>
      <c r="C1095" t="s">
        <v>36</v>
      </c>
      <c r="D1095" t="s">
        <v>9</v>
      </c>
      <c r="E1095" t="s">
        <v>41</v>
      </c>
      <c r="F1095" t="s">
        <v>39</v>
      </c>
      <c r="G1095">
        <v>46</v>
      </c>
      <c r="H1095">
        <v>21</v>
      </c>
      <c r="I1095">
        <v>81</v>
      </c>
      <c r="J1095">
        <v>144</v>
      </c>
      <c r="K1095">
        <v>101</v>
      </c>
      <c r="L1095">
        <v>95.5</v>
      </c>
      <c r="M1095">
        <v>2333.4899999999998</v>
      </c>
      <c r="N1095">
        <v>75411</v>
      </c>
      <c r="O1095">
        <v>1104.33</v>
      </c>
      <c r="P1095" s="1">
        <v>-0.5</v>
      </c>
      <c r="Q1095">
        <f t="shared" si="85"/>
        <v>67</v>
      </c>
      <c r="R1095">
        <f t="shared" si="86"/>
        <v>165</v>
      </c>
      <c r="S1095" s="1">
        <f t="shared" si="87"/>
        <v>-0.20895522388059701</v>
      </c>
      <c r="T1095">
        <f t="shared" si="88"/>
        <v>0.67</v>
      </c>
      <c r="U1095" t="str">
        <f t="shared" si="89"/>
        <v>Apr</v>
      </c>
    </row>
    <row r="1096" spans="1:21">
      <c r="A1096" s="2">
        <v>46074</v>
      </c>
      <c r="B1096" t="s">
        <v>4</v>
      </c>
      <c r="C1096" t="s">
        <v>31</v>
      </c>
      <c r="D1096" t="s">
        <v>7</v>
      </c>
      <c r="E1096" t="s">
        <v>42</v>
      </c>
      <c r="F1096" t="s">
        <v>49</v>
      </c>
      <c r="G1096">
        <v>18</v>
      </c>
      <c r="H1096">
        <v>60</v>
      </c>
      <c r="I1096">
        <v>24</v>
      </c>
      <c r="J1096">
        <v>138</v>
      </c>
      <c r="K1096">
        <v>157</v>
      </c>
      <c r="L1096">
        <v>131.66</v>
      </c>
      <c r="M1096">
        <v>2422.21</v>
      </c>
      <c r="N1096">
        <v>73637</v>
      </c>
      <c r="O1096">
        <v>1633.46</v>
      </c>
      <c r="P1096" s="1">
        <v>-0.221</v>
      </c>
      <c r="Q1096">
        <f t="shared" si="85"/>
        <v>78</v>
      </c>
      <c r="R1096">
        <f t="shared" si="86"/>
        <v>198</v>
      </c>
      <c r="S1096" s="1">
        <f t="shared" si="87"/>
        <v>0.69230769230769229</v>
      </c>
      <c r="T1096">
        <f t="shared" si="88"/>
        <v>0.78</v>
      </c>
      <c r="U1096" t="str">
        <f t="shared" si="89"/>
        <v>Feb</v>
      </c>
    </row>
    <row r="1097" spans="1:21">
      <c r="A1097" s="2">
        <v>46125</v>
      </c>
      <c r="B1097" t="s">
        <v>4</v>
      </c>
      <c r="C1097" t="s">
        <v>36</v>
      </c>
      <c r="D1097" t="s">
        <v>5</v>
      </c>
      <c r="E1097" t="s">
        <v>37</v>
      </c>
      <c r="F1097" t="s">
        <v>49</v>
      </c>
      <c r="G1097">
        <v>107</v>
      </c>
      <c r="H1097">
        <v>63</v>
      </c>
      <c r="I1097">
        <v>62</v>
      </c>
      <c r="J1097">
        <v>41</v>
      </c>
      <c r="K1097">
        <v>70</v>
      </c>
      <c r="L1097">
        <v>126.32</v>
      </c>
      <c r="M1097">
        <v>1843.84</v>
      </c>
      <c r="N1097">
        <v>71129</v>
      </c>
      <c r="O1097">
        <v>1008.98</v>
      </c>
      <c r="P1097" s="1">
        <v>0.73099999999999998</v>
      </c>
      <c r="Q1097">
        <f t="shared" si="85"/>
        <v>170</v>
      </c>
      <c r="R1097">
        <f t="shared" si="86"/>
        <v>104</v>
      </c>
      <c r="S1097" s="1">
        <f t="shared" si="87"/>
        <v>0.63529411764705879</v>
      </c>
      <c r="T1097">
        <f t="shared" si="88"/>
        <v>1.7</v>
      </c>
      <c r="U1097" t="str">
        <f t="shared" si="89"/>
        <v>Apr</v>
      </c>
    </row>
    <row r="1098" spans="1:21">
      <c r="A1098" s="2">
        <v>46088</v>
      </c>
      <c r="B1098" t="s">
        <v>4</v>
      </c>
      <c r="C1098" t="s">
        <v>36</v>
      </c>
      <c r="D1098" t="s">
        <v>11</v>
      </c>
      <c r="E1098" t="s">
        <v>37</v>
      </c>
      <c r="F1098" t="s">
        <v>45</v>
      </c>
      <c r="G1098">
        <v>77</v>
      </c>
      <c r="H1098">
        <v>61</v>
      </c>
      <c r="I1098">
        <v>2</v>
      </c>
      <c r="J1098">
        <v>153</v>
      </c>
      <c r="K1098">
        <v>216</v>
      </c>
      <c r="L1098">
        <v>102.35</v>
      </c>
      <c r="M1098">
        <v>1824.86</v>
      </c>
      <c r="N1098">
        <v>65090</v>
      </c>
      <c r="O1098">
        <v>1614.8</v>
      </c>
      <c r="P1098" s="1">
        <v>-0.93</v>
      </c>
      <c r="Q1098">
        <f t="shared" si="85"/>
        <v>138</v>
      </c>
      <c r="R1098">
        <f t="shared" si="86"/>
        <v>214</v>
      </c>
      <c r="S1098" s="1">
        <f t="shared" si="87"/>
        <v>0.98550724637681164</v>
      </c>
      <c r="T1098">
        <f t="shared" si="88"/>
        <v>1.38</v>
      </c>
      <c r="U1098" t="str">
        <f t="shared" si="89"/>
        <v>Mar</v>
      </c>
    </row>
    <row r="1099" spans="1:21">
      <c r="A1099" s="2">
        <v>46090</v>
      </c>
      <c r="B1099" t="s">
        <v>4</v>
      </c>
      <c r="C1099" t="s">
        <v>48</v>
      </c>
      <c r="D1099" t="s">
        <v>11</v>
      </c>
      <c r="E1099" t="s">
        <v>41</v>
      </c>
      <c r="F1099" t="s">
        <v>33</v>
      </c>
      <c r="G1099">
        <v>64</v>
      </c>
      <c r="H1099">
        <v>7</v>
      </c>
      <c r="I1099">
        <v>79</v>
      </c>
      <c r="J1099">
        <v>92</v>
      </c>
      <c r="K1099">
        <v>91</v>
      </c>
      <c r="L1099">
        <v>129.84</v>
      </c>
      <c r="M1099">
        <v>2239.62</v>
      </c>
      <c r="N1099">
        <v>73541</v>
      </c>
      <c r="O1099">
        <v>1534</v>
      </c>
      <c r="P1099" s="1">
        <v>-0.59</v>
      </c>
      <c r="Q1099">
        <f t="shared" si="85"/>
        <v>71</v>
      </c>
      <c r="R1099">
        <f t="shared" si="86"/>
        <v>99</v>
      </c>
      <c r="S1099" s="1">
        <f t="shared" si="87"/>
        <v>-0.11267605633802817</v>
      </c>
      <c r="T1099">
        <f t="shared" si="88"/>
        <v>0.71</v>
      </c>
      <c r="U1099" t="str">
        <f t="shared" si="89"/>
        <v>Mar</v>
      </c>
    </row>
    <row r="1100" spans="1:21">
      <c r="A1100" s="2">
        <v>46076</v>
      </c>
      <c r="B1100" t="s">
        <v>6</v>
      </c>
      <c r="C1100" t="s">
        <v>40</v>
      </c>
      <c r="D1100" t="s">
        <v>10</v>
      </c>
      <c r="E1100" t="s">
        <v>32</v>
      </c>
      <c r="F1100" t="s">
        <v>45</v>
      </c>
      <c r="G1100">
        <v>105</v>
      </c>
      <c r="H1100">
        <v>61</v>
      </c>
      <c r="I1100">
        <v>48</v>
      </c>
      <c r="J1100">
        <v>139</v>
      </c>
      <c r="K1100">
        <v>301</v>
      </c>
      <c r="L1100">
        <v>102.99</v>
      </c>
      <c r="M1100">
        <v>2403</v>
      </c>
      <c r="N1100">
        <v>65521</v>
      </c>
      <c r="O1100">
        <v>1393.25</v>
      </c>
      <c r="P1100" s="1">
        <v>0.52</v>
      </c>
      <c r="Q1100">
        <f t="shared" si="85"/>
        <v>166</v>
      </c>
      <c r="R1100">
        <f t="shared" si="86"/>
        <v>200</v>
      </c>
      <c r="S1100" s="1">
        <f t="shared" si="87"/>
        <v>0.71084337349397586</v>
      </c>
      <c r="T1100">
        <f t="shared" si="88"/>
        <v>1.66</v>
      </c>
      <c r="U1100" t="str">
        <f t="shared" si="89"/>
        <v>Feb</v>
      </c>
    </row>
    <row r="1101" spans="1:21">
      <c r="A1101" s="2">
        <v>46085</v>
      </c>
      <c r="B1101" t="s">
        <v>4</v>
      </c>
      <c r="C1101" t="s">
        <v>46</v>
      </c>
      <c r="D1101" t="s">
        <v>9</v>
      </c>
      <c r="E1101" t="s">
        <v>42</v>
      </c>
      <c r="F1101" t="s">
        <v>45</v>
      </c>
      <c r="G1101">
        <v>56</v>
      </c>
      <c r="H1101">
        <v>23</v>
      </c>
      <c r="I1101">
        <v>75</v>
      </c>
      <c r="J1101">
        <v>67</v>
      </c>
      <c r="K1101">
        <v>337</v>
      </c>
      <c r="L1101">
        <v>88.86</v>
      </c>
      <c r="M1101">
        <v>1875.76</v>
      </c>
      <c r="N1101">
        <v>67480</v>
      </c>
      <c r="O1101">
        <v>1705.29</v>
      </c>
      <c r="P1101" s="1">
        <v>-0.217</v>
      </c>
      <c r="Q1101">
        <f t="shared" si="85"/>
        <v>79</v>
      </c>
      <c r="R1101">
        <f t="shared" si="86"/>
        <v>90</v>
      </c>
      <c r="S1101" s="1">
        <f t="shared" si="87"/>
        <v>5.0632911392405063E-2</v>
      </c>
      <c r="T1101">
        <f t="shared" si="88"/>
        <v>0.79</v>
      </c>
      <c r="U1101" t="str">
        <f t="shared" si="89"/>
        <v>Mar</v>
      </c>
    </row>
    <row r="1102" spans="1:21">
      <c r="A1102" s="2">
        <v>46099</v>
      </c>
      <c r="B1102" t="s">
        <v>4</v>
      </c>
      <c r="C1102" t="s">
        <v>51</v>
      </c>
      <c r="D1102" t="s">
        <v>5</v>
      </c>
      <c r="E1102" t="s">
        <v>35</v>
      </c>
      <c r="F1102" t="s">
        <v>33</v>
      </c>
      <c r="G1102">
        <v>82</v>
      </c>
      <c r="H1102">
        <v>23</v>
      </c>
      <c r="I1102">
        <v>22</v>
      </c>
      <c r="J1102">
        <v>87</v>
      </c>
      <c r="K1102">
        <v>304</v>
      </c>
      <c r="L1102">
        <v>113.66</v>
      </c>
      <c r="M1102">
        <v>1955.49</v>
      </c>
      <c r="N1102">
        <v>67626</v>
      </c>
      <c r="O1102">
        <v>1478.45</v>
      </c>
      <c r="P1102" s="1">
        <v>-0.08</v>
      </c>
      <c r="Q1102">
        <f t="shared" si="85"/>
        <v>105</v>
      </c>
      <c r="R1102">
        <f t="shared" si="86"/>
        <v>110</v>
      </c>
      <c r="S1102" s="1">
        <f t="shared" si="87"/>
        <v>0.79047619047619044</v>
      </c>
      <c r="T1102">
        <f t="shared" si="88"/>
        <v>1.05</v>
      </c>
      <c r="U1102" t="str">
        <f t="shared" si="89"/>
        <v>Mar</v>
      </c>
    </row>
    <row r="1103" spans="1:21">
      <c r="A1103" s="2">
        <v>46075</v>
      </c>
      <c r="B1103" t="s">
        <v>4</v>
      </c>
      <c r="C1103" t="s">
        <v>40</v>
      </c>
      <c r="D1103" t="s">
        <v>7</v>
      </c>
      <c r="E1103" t="s">
        <v>38</v>
      </c>
      <c r="F1103" t="s">
        <v>49</v>
      </c>
      <c r="G1103">
        <v>67</v>
      </c>
      <c r="H1103">
        <v>76</v>
      </c>
      <c r="I1103">
        <v>17</v>
      </c>
      <c r="J1103">
        <v>37</v>
      </c>
      <c r="K1103">
        <v>70</v>
      </c>
      <c r="L1103">
        <v>128.08000000000001</v>
      </c>
      <c r="M1103">
        <v>2273.94</v>
      </c>
      <c r="N1103">
        <v>64708</v>
      </c>
      <c r="O1103">
        <v>1071.78</v>
      </c>
      <c r="P1103" s="1">
        <v>-7.8E-2</v>
      </c>
      <c r="Q1103">
        <f t="shared" si="85"/>
        <v>143</v>
      </c>
      <c r="R1103">
        <f t="shared" si="86"/>
        <v>113</v>
      </c>
      <c r="S1103" s="1">
        <f t="shared" si="87"/>
        <v>0.88111888111888115</v>
      </c>
      <c r="T1103">
        <f t="shared" si="88"/>
        <v>1.43</v>
      </c>
      <c r="U1103" t="str">
        <f t="shared" si="89"/>
        <v>Feb</v>
      </c>
    </row>
    <row r="1104" spans="1:21">
      <c r="A1104" s="2">
        <v>46110</v>
      </c>
      <c r="B1104" t="s">
        <v>6</v>
      </c>
      <c r="C1104" t="s">
        <v>34</v>
      </c>
      <c r="D1104" t="s">
        <v>11</v>
      </c>
      <c r="E1104" t="s">
        <v>38</v>
      </c>
      <c r="F1104" t="s">
        <v>49</v>
      </c>
      <c r="G1104">
        <v>69</v>
      </c>
      <c r="H1104">
        <v>55</v>
      </c>
      <c r="I1104">
        <v>81</v>
      </c>
      <c r="J1104">
        <v>73</v>
      </c>
      <c r="K1104">
        <v>96</v>
      </c>
      <c r="L1104">
        <v>113.17</v>
      </c>
      <c r="M1104">
        <v>2377.2399999999998</v>
      </c>
      <c r="N1104">
        <v>67140</v>
      </c>
      <c r="O1104">
        <v>1703.87</v>
      </c>
      <c r="P1104" s="1">
        <v>-0.25900000000000001</v>
      </c>
      <c r="Q1104">
        <f t="shared" si="85"/>
        <v>124</v>
      </c>
      <c r="R1104">
        <f t="shared" si="86"/>
        <v>128</v>
      </c>
      <c r="S1104" s="1">
        <f t="shared" si="87"/>
        <v>0.34677419354838712</v>
      </c>
      <c r="T1104">
        <f t="shared" si="88"/>
        <v>1.24</v>
      </c>
      <c r="U1104" t="str">
        <f t="shared" si="89"/>
        <v>Mar</v>
      </c>
    </row>
    <row r="1105" spans="1:21">
      <c r="A1105" s="2">
        <v>46077</v>
      </c>
      <c r="B1105" t="s">
        <v>6</v>
      </c>
      <c r="C1105" t="s">
        <v>48</v>
      </c>
      <c r="D1105" t="s">
        <v>5</v>
      </c>
      <c r="E1105" t="s">
        <v>38</v>
      </c>
      <c r="F1105" t="s">
        <v>49</v>
      </c>
      <c r="G1105">
        <v>46</v>
      </c>
      <c r="H1105">
        <v>35</v>
      </c>
      <c r="I1105">
        <v>35</v>
      </c>
      <c r="J1105">
        <v>7</v>
      </c>
      <c r="K1105">
        <v>438</v>
      </c>
      <c r="L1105">
        <v>115.22</v>
      </c>
      <c r="M1105">
        <v>2121.92</v>
      </c>
      <c r="N1105">
        <v>64224</v>
      </c>
      <c r="O1105">
        <v>1726.81</v>
      </c>
      <c r="P1105" s="1">
        <v>0.47099999999999997</v>
      </c>
      <c r="Q1105">
        <f t="shared" si="85"/>
        <v>81</v>
      </c>
      <c r="R1105">
        <f t="shared" si="86"/>
        <v>42</v>
      </c>
      <c r="S1105" s="1">
        <f t="shared" si="87"/>
        <v>0.5679012345679012</v>
      </c>
      <c r="T1105">
        <f t="shared" si="88"/>
        <v>0.81</v>
      </c>
      <c r="U1105" t="str">
        <f t="shared" si="89"/>
        <v>Feb</v>
      </c>
    </row>
    <row r="1106" spans="1:21">
      <c r="A1106" s="2">
        <v>46095</v>
      </c>
      <c r="B1106" t="s">
        <v>6</v>
      </c>
      <c r="C1106" t="s">
        <v>36</v>
      </c>
      <c r="D1106" t="s">
        <v>9</v>
      </c>
      <c r="E1106" t="s">
        <v>38</v>
      </c>
      <c r="F1106" t="s">
        <v>39</v>
      </c>
      <c r="G1106">
        <v>6</v>
      </c>
      <c r="H1106">
        <v>2</v>
      </c>
      <c r="I1106">
        <v>53</v>
      </c>
      <c r="J1106">
        <v>147</v>
      </c>
      <c r="K1106">
        <v>94</v>
      </c>
      <c r="L1106">
        <v>88.5</v>
      </c>
      <c r="M1106">
        <v>1871.58</v>
      </c>
      <c r="N1106">
        <v>64153</v>
      </c>
      <c r="O1106">
        <v>1288.8</v>
      </c>
      <c r="P1106" s="1">
        <v>-0.66900000000000004</v>
      </c>
      <c r="Q1106">
        <f t="shared" si="85"/>
        <v>8</v>
      </c>
      <c r="R1106">
        <f t="shared" si="86"/>
        <v>149</v>
      </c>
      <c r="S1106" s="1">
        <f t="shared" si="87"/>
        <v>-5.625</v>
      </c>
      <c r="T1106">
        <f t="shared" si="88"/>
        <v>0.08</v>
      </c>
      <c r="U1106" t="str">
        <f t="shared" si="89"/>
        <v>Mar</v>
      </c>
    </row>
    <row r="1107" spans="1:21">
      <c r="A1107" s="2">
        <v>46105</v>
      </c>
      <c r="B1107" t="s">
        <v>6</v>
      </c>
      <c r="C1107" t="s">
        <v>40</v>
      </c>
      <c r="D1107" t="s">
        <v>7</v>
      </c>
      <c r="E1107" t="s">
        <v>41</v>
      </c>
      <c r="F1107" t="s">
        <v>39</v>
      </c>
      <c r="G1107">
        <v>106</v>
      </c>
      <c r="H1107">
        <v>16</v>
      </c>
      <c r="I1107">
        <v>31</v>
      </c>
      <c r="J1107">
        <v>146</v>
      </c>
      <c r="K1107">
        <v>164</v>
      </c>
      <c r="L1107">
        <v>111.4</v>
      </c>
      <c r="M1107">
        <v>2496.7399999999998</v>
      </c>
      <c r="N1107">
        <v>69131</v>
      </c>
      <c r="O1107">
        <v>1696.28</v>
      </c>
      <c r="P1107" s="1">
        <v>-3.7999999999999999E-2</v>
      </c>
      <c r="Q1107">
        <f t="shared" si="85"/>
        <v>122</v>
      </c>
      <c r="R1107">
        <f t="shared" si="86"/>
        <v>162</v>
      </c>
      <c r="S1107" s="1">
        <f t="shared" si="87"/>
        <v>0.74590163934426235</v>
      </c>
      <c r="T1107">
        <f t="shared" si="88"/>
        <v>1.22</v>
      </c>
      <c r="U1107" t="str">
        <f t="shared" si="89"/>
        <v>Mar</v>
      </c>
    </row>
    <row r="1108" spans="1:21">
      <c r="A1108" s="2">
        <v>46099</v>
      </c>
      <c r="B1108" t="s">
        <v>6</v>
      </c>
      <c r="C1108" t="s">
        <v>36</v>
      </c>
      <c r="D1108" t="s">
        <v>7</v>
      </c>
      <c r="E1108" t="s">
        <v>35</v>
      </c>
      <c r="F1108" t="s">
        <v>33</v>
      </c>
      <c r="G1108">
        <v>34</v>
      </c>
      <c r="H1108">
        <v>1</v>
      </c>
      <c r="I1108">
        <v>3</v>
      </c>
      <c r="J1108">
        <v>141</v>
      </c>
      <c r="K1108">
        <v>286</v>
      </c>
      <c r="L1108">
        <v>130.9</v>
      </c>
      <c r="M1108">
        <v>2469.63</v>
      </c>
      <c r="N1108">
        <v>65804</v>
      </c>
      <c r="O1108">
        <v>1525.5</v>
      </c>
      <c r="P1108" s="1">
        <v>0.48099999999999998</v>
      </c>
      <c r="Q1108">
        <f t="shared" si="85"/>
        <v>35</v>
      </c>
      <c r="R1108">
        <f t="shared" si="86"/>
        <v>142</v>
      </c>
      <c r="S1108" s="1">
        <f t="shared" si="87"/>
        <v>0.91428571428571426</v>
      </c>
      <c r="T1108">
        <f t="shared" si="88"/>
        <v>0.35</v>
      </c>
      <c r="U1108" t="str">
        <f t="shared" si="89"/>
        <v>Mar</v>
      </c>
    </row>
    <row r="1109" spans="1:21">
      <c r="A1109" s="2">
        <v>46126</v>
      </c>
      <c r="B1109" t="s">
        <v>4</v>
      </c>
      <c r="C1109" t="s">
        <v>43</v>
      </c>
      <c r="D1109" t="s">
        <v>9</v>
      </c>
      <c r="E1109" t="s">
        <v>32</v>
      </c>
      <c r="F1109" t="s">
        <v>49</v>
      </c>
      <c r="G1109">
        <v>98</v>
      </c>
      <c r="H1109">
        <v>53</v>
      </c>
      <c r="I1109">
        <v>51</v>
      </c>
      <c r="J1109">
        <v>122</v>
      </c>
      <c r="K1109">
        <v>61</v>
      </c>
      <c r="L1109">
        <v>117.01</v>
      </c>
      <c r="M1109">
        <v>2333.2800000000002</v>
      </c>
      <c r="N1109">
        <v>75226</v>
      </c>
      <c r="O1109">
        <v>1464.05</v>
      </c>
      <c r="P1109" s="1">
        <v>-0.27500000000000002</v>
      </c>
      <c r="Q1109">
        <f t="shared" si="85"/>
        <v>151</v>
      </c>
      <c r="R1109">
        <f t="shared" si="86"/>
        <v>175</v>
      </c>
      <c r="S1109" s="1">
        <f t="shared" si="87"/>
        <v>0.66225165562913912</v>
      </c>
      <c r="T1109">
        <f t="shared" si="88"/>
        <v>1.51</v>
      </c>
      <c r="U1109" t="str">
        <f t="shared" si="89"/>
        <v>Apr</v>
      </c>
    </row>
    <row r="1110" spans="1:21">
      <c r="A1110" s="2">
        <v>46076</v>
      </c>
      <c r="B1110" t="s">
        <v>4</v>
      </c>
      <c r="C1110" t="s">
        <v>36</v>
      </c>
      <c r="D1110" t="s">
        <v>10</v>
      </c>
      <c r="E1110" t="s">
        <v>42</v>
      </c>
      <c r="F1110" t="s">
        <v>39</v>
      </c>
      <c r="G1110">
        <v>82</v>
      </c>
      <c r="H1110">
        <v>9</v>
      </c>
      <c r="I1110">
        <v>67</v>
      </c>
      <c r="J1110">
        <v>97</v>
      </c>
      <c r="K1110">
        <v>154</v>
      </c>
      <c r="L1110">
        <v>97.53</v>
      </c>
      <c r="M1110">
        <v>2211.9499999999998</v>
      </c>
      <c r="N1110">
        <v>66461</v>
      </c>
      <c r="O1110">
        <v>1788.55</v>
      </c>
      <c r="P1110" s="1">
        <v>0.98399999999999999</v>
      </c>
      <c r="Q1110">
        <f t="shared" si="85"/>
        <v>91</v>
      </c>
      <c r="R1110">
        <f t="shared" si="86"/>
        <v>106</v>
      </c>
      <c r="S1110" s="1">
        <f t="shared" si="87"/>
        <v>0.26373626373626374</v>
      </c>
      <c r="T1110">
        <f t="shared" si="88"/>
        <v>0.91</v>
      </c>
      <c r="U1110" t="str">
        <f t="shared" si="89"/>
        <v>Feb</v>
      </c>
    </row>
    <row r="1111" spans="1:21">
      <c r="A1111" s="2">
        <v>46106</v>
      </c>
      <c r="B1111" t="s">
        <v>4</v>
      </c>
      <c r="C1111" t="s">
        <v>50</v>
      </c>
      <c r="D1111" t="s">
        <v>9</v>
      </c>
      <c r="E1111" t="s">
        <v>38</v>
      </c>
      <c r="F1111" t="s">
        <v>33</v>
      </c>
      <c r="G1111">
        <v>7</v>
      </c>
      <c r="H1111">
        <v>7</v>
      </c>
      <c r="I1111">
        <v>41</v>
      </c>
      <c r="J1111">
        <v>121</v>
      </c>
      <c r="K1111">
        <v>228</v>
      </c>
      <c r="L1111">
        <v>96.24</v>
      </c>
      <c r="M1111">
        <v>1947.02</v>
      </c>
      <c r="N1111">
        <v>64472</v>
      </c>
      <c r="O1111">
        <v>1438.68</v>
      </c>
      <c r="P1111" s="1">
        <v>-0.13400000000000001</v>
      </c>
      <c r="Q1111">
        <f t="shared" si="85"/>
        <v>14</v>
      </c>
      <c r="R1111">
        <f t="shared" si="86"/>
        <v>128</v>
      </c>
      <c r="S1111" s="1">
        <f t="shared" si="87"/>
        <v>-1.9285714285714286</v>
      </c>
      <c r="T1111">
        <f t="shared" si="88"/>
        <v>0.14000000000000001</v>
      </c>
      <c r="U1111" t="str">
        <f t="shared" si="89"/>
        <v>Mar</v>
      </c>
    </row>
    <row r="1112" spans="1:21">
      <c r="A1112" s="2">
        <v>46117</v>
      </c>
      <c r="B1112" t="s">
        <v>6</v>
      </c>
      <c r="C1112" t="s">
        <v>40</v>
      </c>
      <c r="D1112" t="s">
        <v>5</v>
      </c>
      <c r="E1112" t="s">
        <v>42</v>
      </c>
      <c r="F1112" t="s">
        <v>33</v>
      </c>
      <c r="G1112">
        <v>107</v>
      </c>
      <c r="H1112">
        <v>57</v>
      </c>
      <c r="I1112">
        <v>51</v>
      </c>
      <c r="J1112">
        <v>134</v>
      </c>
      <c r="K1112">
        <v>331</v>
      </c>
      <c r="L1112">
        <v>139.22</v>
      </c>
      <c r="M1112">
        <v>2170.54</v>
      </c>
      <c r="N1112">
        <v>70431</v>
      </c>
      <c r="O1112">
        <v>1623.83</v>
      </c>
      <c r="P1112" s="1">
        <v>0.115</v>
      </c>
      <c r="Q1112">
        <f t="shared" si="85"/>
        <v>164</v>
      </c>
      <c r="R1112">
        <f t="shared" si="86"/>
        <v>191</v>
      </c>
      <c r="S1112" s="1">
        <f t="shared" si="87"/>
        <v>0.68902439024390238</v>
      </c>
      <c r="T1112">
        <f t="shared" si="88"/>
        <v>1.64</v>
      </c>
      <c r="U1112" t="str">
        <f t="shared" si="89"/>
        <v>Apr</v>
      </c>
    </row>
    <row r="1113" spans="1:21">
      <c r="A1113" s="2">
        <v>46114</v>
      </c>
      <c r="B1113" t="s">
        <v>4</v>
      </c>
      <c r="C1113" t="s">
        <v>51</v>
      </c>
      <c r="D1113" t="s">
        <v>5</v>
      </c>
      <c r="E1113" t="s">
        <v>35</v>
      </c>
      <c r="F1113" t="s">
        <v>45</v>
      </c>
      <c r="G1113">
        <v>2</v>
      </c>
      <c r="H1113">
        <v>78</v>
      </c>
      <c r="I1113">
        <v>61</v>
      </c>
      <c r="J1113">
        <v>134</v>
      </c>
      <c r="K1113">
        <v>190</v>
      </c>
      <c r="L1113">
        <v>116.46</v>
      </c>
      <c r="M1113">
        <v>1976.44</v>
      </c>
      <c r="N1113">
        <v>74145</v>
      </c>
      <c r="O1113">
        <v>1600.08</v>
      </c>
      <c r="P1113" s="1">
        <v>-0.70299999999999996</v>
      </c>
      <c r="Q1113">
        <f t="shared" si="85"/>
        <v>80</v>
      </c>
      <c r="R1113">
        <f t="shared" si="86"/>
        <v>212</v>
      </c>
      <c r="S1113" s="1">
        <f t="shared" si="87"/>
        <v>0.23749999999999999</v>
      </c>
      <c r="T1113">
        <f t="shared" si="88"/>
        <v>0.8</v>
      </c>
      <c r="U1113" t="str">
        <f t="shared" si="89"/>
        <v>Apr</v>
      </c>
    </row>
    <row r="1114" spans="1:21">
      <c r="A1114" s="2">
        <v>46068</v>
      </c>
      <c r="B1114" t="s">
        <v>6</v>
      </c>
      <c r="C1114" t="s">
        <v>43</v>
      </c>
      <c r="D1114" t="s">
        <v>11</v>
      </c>
      <c r="E1114" t="s">
        <v>38</v>
      </c>
      <c r="F1114" t="s">
        <v>45</v>
      </c>
      <c r="G1114">
        <v>60</v>
      </c>
      <c r="H1114">
        <v>19</v>
      </c>
      <c r="I1114">
        <v>58</v>
      </c>
      <c r="J1114">
        <v>137</v>
      </c>
      <c r="K1114">
        <v>388</v>
      </c>
      <c r="L1114">
        <v>119.75</v>
      </c>
      <c r="M1114">
        <v>2348.38</v>
      </c>
      <c r="N1114">
        <v>66860</v>
      </c>
      <c r="O1114">
        <v>1247.29</v>
      </c>
      <c r="P1114" s="1">
        <v>-0.72899999999999998</v>
      </c>
      <c r="Q1114">
        <f t="shared" si="85"/>
        <v>79</v>
      </c>
      <c r="R1114">
        <f t="shared" si="86"/>
        <v>156</v>
      </c>
      <c r="S1114" s="1">
        <f t="shared" si="87"/>
        <v>0.26582278481012656</v>
      </c>
      <c r="T1114">
        <f t="shared" si="88"/>
        <v>0.79</v>
      </c>
      <c r="U1114" t="str">
        <f t="shared" si="89"/>
        <v>Feb</v>
      </c>
    </row>
    <row r="1115" spans="1:21">
      <c r="A1115" s="2">
        <v>46099</v>
      </c>
      <c r="B1115" t="s">
        <v>4</v>
      </c>
      <c r="C1115" t="s">
        <v>36</v>
      </c>
      <c r="D1115" t="s">
        <v>7</v>
      </c>
      <c r="E1115" t="s">
        <v>47</v>
      </c>
      <c r="F1115" t="s">
        <v>49</v>
      </c>
      <c r="G1115">
        <v>100</v>
      </c>
      <c r="H1115">
        <v>39</v>
      </c>
      <c r="I1115">
        <v>41</v>
      </c>
      <c r="J1115">
        <v>73</v>
      </c>
      <c r="K1115">
        <v>155</v>
      </c>
      <c r="L1115">
        <v>86.76</v>
      </c>
      <c r="M1115">
        <v>2206.4699999999998</v>
      </c>
      <c r="N1115">
        <v>73330</v>
      </c>
      <c r="O1115">
        <v>1690.02</v>
      </c>
      <c r="P1115" s="1">
        <v>0.77800000000000002</v>
      </c>
      <c r="Q1115">
        <f t="shared" si="85"/>
        <v>139</v>
      </c>
      <c r="R1115">
        <f t="shared" si="86"/>
        <v>112</v>
      </c>
      <c r="S1115" s="1">
        <f t="shared" si="87"/>
        <v>0.70503597122302153</v>
      </c>
      <c r="T1115">
        <f t="shared" si="88"/>
        <v>1.39</v>
      </c>
      <c r="U1115" t="str">
        <f t="shared" si="89"/>
        <v>Mar</v>
      </c>
    </row>
    <row r="1116" spans="1:21">
      <c r="A1116" s="2">
        <v>46091</v>
      </c>
      <c r="B1116" t="s">
        <v>4</v>
      </c>
      <c r="C1116" t="s">
        <v>48</v>
      </c>
      <c r="D1116" t="s">
        <v>5</v>
      </c>
      <c r="E1116" t="s">
        <v>42</v>
      </c>
      <c r="F1116" t="s">
        <v>33</v>
      </c>
      <c r="G1116">
        <v>48</v>
      </c>
      <c r="H1116">
        <v>45</v>
      </c>
      <c r="I1116">
        <v>32</v>
      </c>
      <c r="J1116">
        <v>49</v>
      </c>
      <c r="K1116">
        <v>119</v>
      </c>
      <c r="L1116">
        <v>122.17</v>
      </c>
      <c r="M1116">
        <v>1958.77</v>
      </c>
      <c r="N1116">
        <v>71566</v>
      </c>
      <c r="O1116">
        <v>1424.31</v>
      </c>
      <c r="P1116" s="1">
        <v>-0.78300000000000003</v>
      </c>
      <c r="Q1116">
        <f t="shared" si="85"/>
        <v>93</v>
      </c>
      <c r="R1116">
        <f t="shared" si="86"/>
        <v>94</v>
      </c>
      <c r="S1116" s="1">
        <f t="shared" si="87"/>
        <v>0.65591397849462363</v>
      </c>
      <c r="T1116">
        <f t="shared" si="88"/>
        <v>0.93</v>
      </c>
      <c r="U1116" t="str">
        <f t="shared" si="89"/>
        <v>Mar</v>
      </c>
    </row>
    <row r="1117" spans="1:21">
      <c r="A1117" s="2">
        <v>46100</v>
      </c>
      <c r="B1117" t="s">
        <v>4</v>
      </c>
      <c r="C1117" t="s">
        <v>44</v>
      </c>
      <c r="D1117" t="s">
        <v>9</v>
      </c>
      <c r="E1117" t="s">
        <v>47</v>
      </c>
      <c r="F1117" t="s">
        <v>49</v>
      </c>
      <c r="G1117">
        <v>102</v>
      </c>
      <c r="H1117">
        <v>70</v>
      </c>
      <c r="I1117">
        <v>81</v>
      </c>
      <c r="J1117">
        <v>132</v>
      </c>
      <c r="K1117">
        <v>30</v>
      </c>
      <c r="L1117">
        <v>131.9</v>
      </c>
      <c r="M1117">
        <v>2191.13</v>
      </c>
      <c r="N1117">
        <v>73455</v>
      </c>
      <c r="O1117">
        <v>1720.89</v>
      </c>
      <c r="P1117" s="1">
        <v>-0.504</v>
      </c>
      <c r="Q1117">
        <f t="shared" si="85"/>
        <v>172</v>
      </c>
      <c r="R1117">
        <f t="shared" si="86"/>
        <v>202</v>
      </c>
      <c r="S1117" s="1">
        <f t="shared" si="87"/>
        <v>0.52906976744186052</v>
      </c>
      <c r="T1117">
        <f t="shared" si="88"/>
        <v>1.72</v>
      </c>
      <c r="U1117" t="str">
        <f t="shared" si="89"/>
        <v>Mar</v>
      </c>
    </row>
    <row r="1118" spans="1:21">
      <c r="A1118" s="2">
        <v>46075</v>
      </c>
      <c r="B1118" t="s">
        <v>4</v>
      </c>
      <c r="C1118" t="s">
        <v>50</v>
      </c>
      <c r="D1118" t="s">
        <v>7</v>
      </c>
      <c r="E1118" t="s">
        <v>42</v>
      </c>
      <c r="F1118" t="s">
        <v>33</v>
      </c>
      <c r="G1118">
        <v>78</v>
      </c>
      <c r="H1118">
        <v>71</v>
      </c>
      <c r="I1118">
        <v>57</v>
      </c>
      <c r="J1118">
        <v>74</v>
      </c>
      <c r="K1118">
        <v>66</v>
      </c>
      <c r="L1118">
        <v>98.22</v>
      </c>
      <c r="M1118">
        <v>1997.1</v>
      </c>
      <c r="N1118">
        <v>65992</v>
      </c>
      <c r="O1118">
        <v>1267.67</v>
      </c>
      <c r="P1118" s="1">
        <v>0.08</v>
      </c>
      <c r="Q1118">
        <f t="shared" si="85"/>
        <v>149</v>
      </c>
      <c r="R1118">
        <f t="shared" si="86"/>
        <v>145</v>
      </c>
      <c r="S1118" s="1">
        <f t="shared" si="87"/>
        <v>0.6174496644295302</v>
      </c>
      <c r="T1118">
        <f t="shared" si="88"/>
        <v>1.49</v>
      </c>
      <c r="U1118" t="str">
        <f t="shared" si="89"/>
        <v>Feb</v>
      </c>
    </row>
    <row r="1119" spans="1:21">
      <c r="A1119" s="2">
        <v>46068</v>
      </c>
      <c r="B1119" t="s">
        <v>4</v>
      </c>
      <c r="C1119" t="s">
        <v>50</v>
      </c>
      <c r="D1119" t="s">
        <v>7</v>
      </c>
      <c r="E1119" t="s">
        <v>37</v>
      </c>
      <c r="F1119" t="s">
        <v>33</v>
      </c>
      <c r="G1119">
        <v>105</v>
      </c>
      <c r="H1119">
        <v>30</v>
      </c>
      <c r="I1119">
        <v>24</v>
      </c>
      <c r="J1119">
        <v>17</v>
      </c>
      <c r="K1119">
        <v>307</v>
      </c>
      <c r="L1119">
        <v>137.19</v>
      </c>
      <c r="M1119">
        <v>1826.4</v>
      </c>
      <c r="N1119">
        <v>71998</v>
      </c>
      <c r="O1119">
        <v>1396.47</v>
      </c>
      <c r="P1119" s="1">
        <v>-0.45500000000000002</v>
      </c>
      <c r="Q1119">
        <f t="shared" si="85"/>
        <v>135</v>
      </c>
      <c r="R1119">
        <f t="shared" si="86"/>
        <v>47</v>
      </c>
      <c r="S1119" s="1">
        <f t="shared" si="87"/>
        <v>0.82222222222222219</v>
      </c>
      <c r="T1119">
        <f t="shared" si="88"/>
        <v>1.35</v>
      </c>
      <c r="U1119" t="str">
        <f t="shared" si="89"/>
        <v>Feb</v>
      </c>
    </row>
    <row r="1120" spans="1:21">
      <c r="A1120" s="2">
        <v>46127</v>
      </c>
      <c r="B1120" t="s">
        <v>6</v>
      </c>
      <c r="C1120" t="s">
        <v>36</v>
      </c>
      <c r="D1120" t="s">
        <v>9</v>
      </c>
      <c r="E1120" t="s">
        <v>41</v>
      </c>
      <c r="F1120" t="s">
        <v>33</v>
      </c>
      <c r="G1120">
        <v>46</v>
      </c>
      <c r="H1120">
        <v>17</v>
      </c>
      <c r="I1120">
        <v>87</v>
      </c>
      <c r="J1120">
        <v>0</v>
      </c>
      <c r="K1120">
        <v>263</v>
      </c>
      <c r="L1120">
        <v>81.88</v>
      </c>
      <c r="M1120">
        <v>1875.79</v>
      </c>
      <c r="N1120">
        <v>66482</v>
      </c>
      <c r="O1120">
        <v>1069.3800000000001</v>
      </c>
      <c r="P1120" s="1">
        <v>1.7999999999999999E-2</v>
      </c>
      <c r="Q1120">
        <f t="shared" si="85"/>
        <v>63</v>
      </c>
      <c r="R1120">
        <f t="shared" si="86"/>
        <v>17</v>
      </c>
      <c r="S1120" s="1">
        <f t="shared" si="87"/>
        <v>-0.38095238095238093</v>
      </c>
      <c r="T1120">
        <f t="shared" si="88"/>
        <v>0.63</v>
      </c>
      <c r="U1120" t="str">
        <f t="shared" si="89"/>
        <v>Apr</v>
      </c>
    </row>
    <row r="1121" spans="1:21">
      <c r="A1121" s="2">
        <v>46098</v>
      </c>
      <c r="B1121" t="s">
        <v>4</v>
      </c>
      <c r="C1121" t="s">
        <v>31</v>
      </c>
      <c r="D1121" t="s">
        <v>7</v>
      </c>
      <c r="E1121" t="s">
        <v>37</v>
      </c>
      <c r="F1121" t="s">
        <v>49</v>
      </c>
      <c r="G1121">
        <v>94</v>
      </c>
      <c r="H1121">
        <v>60</v>
      </c>
      <c r="I1121">
        <v>23</v>
      </c>
      <c r="J1121">
        <v>148</v>
      </c>
      <c r="K1121">
        <v>111</v>
      </c>
      <c r="L1121">
        <v>136.84</v>
      </c>
      <c r="M1121">
        <v>2428.4499999999998</v>
      </c>
      <c r="N1121">
        <v>68514</v>
      </c>
      <c r="O1121">
        <v>1767.98</v>
      </c>
      <c r="P1121" s="1">
        <v>-0.63200000000000001</v>
      </c>
      <c r="Q1121">
        <f t="shared" si="85"/>
        <v>154</v>
      </c>
      <c r="R1121">
        <f t="shared" si="86"/>
        <v>208</v>
      </c>
      <c r="S1121" s="1">
        <f t="shared" si="87"/>
        <v>0.85064935064935066</v>
      </c>
      <c r="T1121">
        <f t="shared" si="88"/>
        <v>1.54</v>
      </c>
      <c r="U1121" t="str">
        <f t="shared" si="89"/>
        <v>Mar</v>
      </c>
    </row>
    <row r="1122" spans="1:21">
      <c r="A1122" s="2">
        <v>46095</v>
      </c>
      <c r="B1122" t="s">
        <v>4</v>
      </c>
      <c r="C1122" t="s">
        <v>40</v>
      </c>
      <c r="D1122" t="s">
        <v>7</v>
      </c>
      <c r="E1122" t="s">
        <v>35</v>
      </c>
      <c r="F1122" t="s">
        <v>49</v>
      </c>
      <c r="G1122">
        <v>60</v>
      </c>
      <c r="H1122">
        <v>55</v>
      </c>
      <c r="I1122">
        <v>1</v>
      </c>
      <c r="J1122">
        <v>13</v>
      </c>
      <c r="K1122">
        <v>145</v>
      </c>
      <c r="L1122">
        <v>107.01</v>
      </c>
      <c r="M1122">
        <v>2139.83</v>
      </c>
      <c r="N1122">
        <v>74120</v>
      </c>
      <c r="O1122">
        <v>1403.06</v>
      </c>
      <c r="P1122" s="1">
        <v>-0.99399999999999999</v>
      </c>
      <c r="Q1122">
        <f t="shared" si="85"/>
        <v>115</v>
      </c>
      <c r="R1122">
        <f t="shared" si="86"/>
        <v>68</v>
      </c>
      <c r="S1122" s="1">
        <f t="shared" si="87"/>
        <v>0.99130434782608701</v>
      </c>
      <c r="T1122">
        <f t="shared" si="88"/>
        <v>1.1499999999999999</v>
      </c>
      <c r="U1122" t="str">
        <f t="shared" si="89"/>
        <v>Mar</v>
      </c>
    </row>
    <row r="1123" spans="1:21">
      <c r="A1123" s="2">
        <v>46103</v>
      </c>
      <c r="B1123" t="s">
        <v>4</v>
      </c>
      <c r="C1123" t="s">
        <v>36</v>
      </c>
      <c r="D1123" t="s">
        <v>9</v>
      </c>
      <c r="E1123" t="s">
        <v>38</v>
      </c>
      <c r="F1123" t="s">
        <v>33</v>
      </c>
      <c r="G1123">
        <v>41</v>
      </c>
      <c r="H1123">
        <v>61</v>
      </c>
      <c r="I1123">
        <v>15</v>
      </c>
      <c r="J1123">
        <v>153</v>
      </c>
      <c r="K1123">
        <v>279</v>
      </c>
      <c r="L1123">
        <v>81.569999999999993</v>
      </c>
      <c r="M1123">
        <v>2031.82</v>
      </c>
      <c r="N1123">
        <v>72644</v>
      </c>
      <c r="O1123">
        <v>1339.19</v>
      </c>
      <c r="P1123" s="1">
        <v>0.752</v>
      </c>
      <c r="Q1123">
        <f t="shared" si="85"/>
        <v>102</v>
      </c>
      <c r="R1123">
        <f t="shared" si="86"/>
        <v>214</v>
      </c>
      <c r="S1123" s="1">
        <f t="shared" si="87"/>
        <v>0.8529411764705882</v>
      </c>
      <c r="T1123">
        <f t="shared" si="88"/>
        <v>1.02</v>
      </c>
      <c r="U1123" t="str">
        <f t="shared" si="89"/>
        <v>Mar</v>
      </c>
    </row>
    <row r="1124" spans="1:21">
      <c r="A1124" s="2">
        <v>46126</v>
      </c>
      <c r="B1124" t="s">
        <v>6</v>
      </c>
      <c r="C1124" t="s">
        <v>50</v>
      </c>
      <c r="D1124" t="s">
        <v>9</v>
      </c>
      <c r="E1124" t="s">
        <v>37</v>
      </c>
      <c r="F1124" t="s">
        <v>49</v>
      </c>
      <c r="G1124">
        <v>91</v>
      </c>
      <c r="H1124">
        <v>39</v>
      </c>
      <c r="I1124">
        <v>8</v>
      </c>
      <c r="J1124">
        <v>101</v>
      </c>
      <c r="K1124">
        <v>438</v>
      </c>
      <c r="L1124">
        <v>110.37</v>
      </c>
      <c r="M1124">
        <v>2416.06</v>
      </c>
      <c r="N1124">
        <v>65351</v>
      </c>
      <c r="O1124">
        <v>1245.33</v>
      </c>
      <c r="P1124" s="1">
        <v>0.247</v>
      </c>
      <c r="Q1124">
        <f t="shared" si="85"/>
        <v>130</v>
      </c>
      <c r="R1124">
        <f t="shared" si="86"/>
        <v>140</v>
      </c>
      <c r="S1124" s="1">
        <f t="shared" si="87"/>
        <v>0.93846153846153846</v>
      </c>
      <c r="T1124">
        <f t="shared" si="88"/>
        <v>1.3</v>
      </c>
      <c r="U1124" t="str">
        <f t="shared" si="89"/>
        <v>Apr</v>
      </c>
    </row>
    <row r="1125" spans="1:21">
      <c r="A1125" s="2">
        <v>46116</v>
      </c>
      <c r="B1125" t="s">
        <v>4</v>
      </c>
      <c r="C1125" t="s">
        <v>51</v>
      </c>
      <c r="D1125" t="s">
        <v>5</v>
      </c>
      <c r="E1125" t="s">
        <v>38</v>
      </c>
      <c r="F1125" t="s">
        <v>39</v>
      </c>
      <c r="G1125">
        <v>68</v>
      </c>
      <c r="H1125">
        <v>34</v>
      </c>
      <c r="I1125">
        <v>33</v>
      </c>
      <c r="J1125">
        <v>6</v>
      </c>
      <c r="K1125">
        <v>145</v>
      </c>
      <c r="L1125">
        <v>102.05</v>
      </c>
      <c r="M1125">
        <v>2158.4699999999998</v>
      </c>
      <c r="N1125">
        <v>71094</v>
      </c>
      <c r="O1125">
        <v>1539.61</v>
      </c>
      <c r="P1125" s="1">
        <v>0.505</v>
      </c>
      <c r="Q1125">
        <f t="shared" si="85"/>
        <v>102</v>
      </c>
      <c r="R1125">
        <f t="shared" si="86"/>
        <v>40</v>
      </c>
      <c r="S1125" s="1">
        <f t="shared" si="87"/>
        <v>0.67647058823529416</v>
      </c>
      <c r="T1125">
        <f t="shared" si="88"/>
        <v>1.02</v>
      </c>
      <c r="U1125" t="str">
        <f t="shared" si="89"/>
        <v>Apr</v>
      </c>
    </row>
    <row r="1126" spans="1:21">
      <c r="A1126" s="2">
        <v>46088</v>
      </c>
      <c r="B1126" t="s">
        <v>6</v>
      </c>
      <c r="C1126" t="s">
        <v>50</v>
      </c>
      <c r="D1126" t="s">
        <v>11</v>
      </c>
      <c r="E1126" t="s">
        <v>42</v>
      </c>
      <c r="F1126" t="s">
        <v>49</v>
      </c>
      <c r="G1126">
        <v>35</v>
      </c>
      <c r="H1126">
        <v>3</v>
      </c>
      <c r="I1126">
        <v>29</v>
      </c>
      <c r="J1126">
        <v>40</v>
      </c>
      <c r="K1126">
        <v>58</v>
      </c>
      <c r="L1126">
        <v>118.59</v>
      </c>
      <c r="M1126">
        <v>1998.9</v>
      </c>
      <c r="N1126">
        <v>71145</v>
      </c>
      <c r="O1126">
        <v>1590.22</v>
      </c>
      <c r="P1126" s="1">
        <v>-0.70499999999999996</v>
      </c>
      <c r="Q1126">
        <f t="shared" si="85"/>
        <v>38</v>
      </c>
      <c r="R1126">
        <f t="shared" si="86"/>
        <v>43</v>
      </c>
      <c r="S1126" s="1">
        <f t="shared" si="87"/>
        <v>0.23684210526315788</v>
      </c>
      <c r="T1126">
        <f t="shared" si="88"/>
        <v>0.38</v>
      </c>
      <c r="U1126" t="str">
        <f t="shared" si="89"/>
        <v>Mar</v>
      </c>
    </row>
    <row r="1127" spans="1:21">
      <c r="A1127" s="2">
        <v>46068</v>
      </c>
      <c r="B1127" t="s">
        <v>6</v>
      </c>
      <c r="C1127" t="s">
        <v>43</v>
      </c>
      <c r="D1127" t="s">
        <v>7</v>
      </c>
      <c r="E1127" t="s">
        <v>41</v>
      </c>
      <c r="F1127" t="s">
        <v>45</v>
      </c>
      <c r="G1127">
        <v>74</v>
      </c>
      <c r="H1127">
        <v>25</v>
      </c>
      <c r="I1127">
        <v>16</v>
      </c>
      <c r="J1127">
        <v>5</v>
      </c>
      <c r="K1127">
        <v>133</v>
      </c>
      <c r="L1127">
        <v>103.8</v>
      </c>
      <c r="M1127">
        <v>2005.12</v>
      </c>
      <c r="N1127">
        <v>74088</v>
      </c>
      <c r="O1127">
        <v>1707.74</v>
      </c>
      <c r="P1127" s="1">
        <v>0.64400000000000002</v>
      </c>
      <c r="Q1127">
        <f t="shared" si="85"/>
        <v>99</v>
      </c>
      <c r="R1127">
        <f t="shared" si="86"/>
        <v>30</v>
      </c>
      <c r="S1127" s="1">
        <f t="shared" si="87"/>
        <v>0.83838383838383834</v>
      </c>
      <c r="T1127">
        <f t="shared" si="88"/>
        <v>0.99</v>
      </c>
      <c r="U1127" t="str">
        <f t="shared" si="89"/>
        <v>Feb</v>
      </c>
    </row>
    <row r="1128" spans="1:21">
      <c r="A1128" s="2">
        <v>46127</v>
      </c>
      <c r="B1128" t="s">
        <v>6</v>
      </c>
      <c r="C1128" t="s">
        <v>50</v>
      </c>
      <c r="D1128" t="s">
        <v>11</v>
      </c>
      <c r="E1128" t="s">
        <v>38</v>
      </c>
      <c r="F1128" t="s">
        <v>39</v>
      </c>
      <c r="G1128">
        <v>32</v>
      </c>
      <c r="H1128">
        <v>70</v>
      </c>
      <c r="I1128">
        <v>17</v>
      </c>
      <c r="J1128">
        <v>109</v>
      </c>
      <c r="K1128">
        <v>22</v>
      </c>
      <c r="L1128">
        <v>91.99</v>
      </c>
      <c r="M1128">
        <v>2260.81</v>
      </c>
      <c r="N1128">
        <v>65298</v>
      </c>
      <c r="O1128">
        <v>1135.52</v>
      </c>
      <c r="P1128" s="1">
        <v>-0.495</v>
      </c>
      <c r="Q1128">
        <f t="shared" si="85"/>
        <v>102</v>
      </c>
      <c r="R1128">
        <f t="shared" si="86"/>
        <v>179</v>
      </c>
      <c r="S1128" s="1">
        <f t="shared" si="87"/>
        <v>0.83333333333333337</v>
      </c>
      <c r="T1128">
        <f t="shared" si="88"/>
        <v>1.02</v>
      </c>
      <c r="U1128" t="str">
        <f t="shared" si="89"/>
        <v>Apr</v>
      </c>
    </row>
    <row r="1129" spans="1:21">
      <c r="A1129" s="2">
        <v>46108</v>
      </c>
      <c r="B1129" t="s">
        <v>4</v>
      </c>
      <c r="C1129" t="s">
        <v>31</v>
      </c>
      <c r="D1129" t="s">
        <v>10</v>
      </c>
      <c r="E1129" t="s">
        <v>32</v>
      </c>
      <c r="F1129" t="s">
        <v>49</v>
      </c>
      <c r="G1129">
        <v>7</v>
      </c>
      <c r="H1129">
        <v>6</v>
      </c>
      <c r="I1129">
        <v>75</v>
      </c>
      <c r="J1129">
        <v>86</v>
      </c>
      <c r="K1129">
        <v>339</v>
      </c>
      <c r="L1129">
        <v>105.73</v>
      </c>
      <c r="M1129">
        <v>1894.49</v>
      </c>
      <c r="N1129">
        <v>72127</v>
      </c>
      <c r="O1129">
        <v>1540.43</v>
      </c>
      <c r="P1129" s="1">
        <v>-0.64300000000000002</v>
      </c>
      <c r="Q1129">
        <f t="shared" si="85"/>
        <v>13</v>
      </c>
      <c r="R1129">
        <f t="shared" si="86"/>
        <v>92</v>
      </c>
      <c r="S1129" s="1">
        <f t="shared" si="87"/>
        <v>-4.7692307692307692</v>
      </c>
      <c r="T1129">
        <f t="shared" si="88"/>
        <v>0.13</v>
      </c>
      <c r="U1129" t="str">
        <f t="shared" si="89"/>
        <v>Mar</v>
      </c>
    </row>
    <row r="1130" spans="1:21">
      <c r="A1130" s="2">
        <v>46122</v>
      </c>
      <c r="B1130" t="s">
        <v>6</v>
      </c>
      <c r="C1130" t="s">
        <v>36</v>
      </c>
      <c r="D1130" t="s">
        <v>10</v>
      </c>
      <c r="E1130" t="s">
        <v>47</v>
      </c>
      <c r="F1130" t="s">
        <v>33</v>
      </c>
      <c r="G1130">
        <v>61</v>
      </c>
      <c r="H1130">
        <v>11</v>
      </c>
      <c r="I1130">
        <v>33</v>
      </c>
      <c r="J1130">
        <v>131</v>
      </c>
      <c r="K1130">
        <v>147</v>
      </c>
      <c r="L1130">
        <v>125.48</v>
      </c>
      <c r="M1130">
        <v>2135.5700000000002</v>
      </c>
      <c r="N1130">
        <v>74362</v>
      </c>
      <c r="O1130">
        <v>1031.74</v>
      </c>
      <c r="P1130" s="1">
        <v>-4.9000000000000002E-2</v>
      </c>
      <c r="Q1130">
        <f t="shared" si="85"/>
        <v>72</v>
      </c>
      <c r="R1130">
        <f t="shared" si="86"/>
        <v>142</v>
      </c>
      <c r="S1130" s="1">
        <f t="shared" si="87"/>
        <v>0.54166666666666663</v>
      </c>
      <c r="T1130">
        <f t="shared" si="88"/>
        <v>0.72</v>
      </c>
      <c r="U1130" t="str">
        <f t="shared" si="89"/>
        <v>Apr</v>
      </c>
    </row>
    <row r="1131" spans="1:21">
      <c r="A1131" s="2">
        <v>46070</v>
      </c>
      <c r="B1131" t="s">
        <v>4</v>
      </c>
      <c r="C1131" t="s">
        <v>50</v>
      </c>
      <c r="D1131" t="s">
        <v>5</v>
      </c>
      <c r="E1131" t="s">
        <v>35</v>
      </c>
      <c r="F1131" t="s">
        <v>45</v>
      </c>
      <c r="G1131">
        <v>45</v>
      </c>
      <c r="H1131">
        <v>48</v>
      </c>
      <c r="I1131">
        <v>80</v>
      </c>
      <c r="J1131">
        <v>23</v>
      </c>
      <c r="K1131">
        <v>91</v>
      </c>
      <c r="L1131">
        <v>107.16</v>
      </c>
      <c r="M1131">
        <v>2424.19</v>
      </c>
      <c r="N1131">
        <v>74040</v>
      </c>
      <c r="O1131">
        <v>1797.81</v>
      </c>
      <c r="P1131" s="1">
        <v>0.44500000000000001</v>
      </c>
      <c r="Q1131">
        <f t="shared" si="85"/>
        <v>93</v>
      </c>
      <c r="R1131">
        <f t="shared" si="86"/>
        <v>71</v>
      </c>
      <c r="S1131" s="1">
        <f t="shared" si="87"/>
        <v>0.13978494623655913</v>
      </c>
      <c r="T1131">
        <f t="shared" si="88"/>
        <v>0.93</v>
      </c>
      <c r="U1131" t="str">
        <f t="shared" si="89"/>
        <v>Feb</v>
      </c>
    </row>
    <row r="1132" spans="1:21">
      <c r="A1132" s="2">
        <v>46074</v>
      </c>
      <c r="B1132" t="s">
        <v>4</v>
      </c>
      <c r="C1132" t="s">
        <v>48</v>
      </c>
      <c r="D1132" t="s">
        <v>11</v>
      </c>
      <c r="E1132" t="s">
        <v>42</v>
      </c>
      <c r="F1132" t="s">
        <v>33</v>
      </c>
      <c r="G1132">
        <v>52</v>
      </c>
      <c r="H1132">
        <v>38</v>
      </c>
      <c r="I1132">
        <v>20</v>
      </c>
      <c r="J1132">
        <v>17</v>
      </c>
      <c r="K1132">
        <v>75</v>
      </c>
      <c r="L1132">
        <v>115.12</v>
      </c>
      <c r="M1132">
        <v>1853.04</v>
      </c>
      <c r="N1132">
        <v>70870</v>
      </c>
      <c r="O1132">
        <v>1782.92</v>
      </c>
      <c r="P1132" s="1">
        <v>-0.40899999999999997</v>
      </c>
      <c r="Q1132">
        <f t="shared" si="85"/>
        <v>90</v>
      </c>
      <c r="R1132">
        <f t="shared" si="86"/>
        <v>55</v>
      </c>
      <c r="S1132" s="1">
        <f t="shared" si="87"/>
        <v>0.77777777777777779</v>
      </c>
      <c r="T1132">
        <f t="shared" si="88"/>
        <v>0.9</v>
      </c>
      <c r="U1132" t="str">
        <f t="shared" si="89"/>
        <v>Feb</v>
      </c>
    </row>
    <row r="1133" spans="1:21">
      <c r="A1133" s="2">
        <v>46102</v>
      </c>
      <c r="B1133" t="s">
        <v>6</v>
      </c>
      <c r="C1133" t="s">
        <v>44</v>
      </c>
      <c r="D1133" t="s">
        <v>7</v>
      </c>
      <c r="E1133" t="s">
        <v>47</v>
      </c>
      <c r="F1133" t="s">
        <v>45</v>
      </c>
      <c r="G1133">
        <v>9</v>
      </c>
      <c r="H1133">
        <v>5</v>
      </c>
      <c r="I1133">
        <v>32</v>
      </c>
      <c r="J1133">
        <v>143</v>
      </c>
      <c r="K1133">
        <v>433</v>
      </c>
      <c r="L1133">
        <v>80.709999999999994</v>
      </c>
      <c r="M1133">
        <v>1862.15</v>
      </c>
      <c r="N1133">
        <v>75675</v>
      </c>
      <c r="O1133">
        <v>932.77</v>
      </c>
      <c r="P1133" s="1">
        <v>4.4999999999999998E-2</v>
      </c>
      <c r="Q1133">
        <f t="shared" si="85"/>
        <v>14</v>
      </c>
      <c r="R1133">
        <f t="shared" si="86"/>
        <v>148</v>
      </c>
      <c r="S1133" s="1">
        <f t="shared" si="87"/>
        <v>-1.2857142857142858</v>
      </c>
      <c r="T1133">
        <f t="shared" si="88"/>
        <v>0.14000000000000001</v>
      </c>
      <c r="U1133" t="str">
        <f t="shared" si="89"/>
        <v>Mar</v>
      </c>
    </row>
    <row r="1134" spans="1:21">
      <c r="A1134" s="2">
        <v>46116</v>
      </c>
      <c r="B1134" t="s">
        <v>4</v>
      </c>
      <c r="C1134" t="s">
        <v>51</v>
      </c>
      <c r="D1134" t="s">
        <v>9</v>
      </c>
      <c r="E1134" t="s">
        <v>41</v>
      </c>
      <c r="F1134" t="s">
        <v>45</v>
      </c>
      <c r="G1134">
        <v>95</v>
      </c>
      <c r="H1134">
        <v>13</v>
      </c>
      <c r="I1134">
        <v>73</v>
      </c>
      <c r="J1134">
        <v>104</v>
      </c>
      <c r="K1134">
        <v>344</v>
      </c>
      <c r="L1134">
        <v>138.16999999999999</v>
      </c>
      <c r="M1134">
        <v>2490.25</v>
      </c>
      <c r="N1134">
        <v>68720</v>
      </c>
      <c r="O1134">
        <v>900.95</v>
      </c>
      <c r="P1134" s="1">
        <v>0.747</v>
      </c>
      <c r="Q1134">
        <f t="shared" si="85"/>
        <v>108</v>
      </c>
      <c r="R1134">
        <f t="shared" si="86"/>
        <v>117</v>
      </c>
      <c r="S1134" s="1">
        <f t="shared" si="87"/>
        <v>0.32407407407407407</v>
      </c>
      <c r="T1134">
        <f t="shared" si="88"/>
        <v>1.08</v>
      </c>
      <c r="U1134" t="str">
        <f t="shared" si="89"/>
        <v>Apr</v>
      </c>
    </row>
    <row r="1135" spans="1:21">
      <c r="A1135" s="2">
        <v>46117</v>
      </c>
      <c r="B1135" t="s">
        <v>4</v>
      </c>
      <c r="C1135" t="s">
        <v>31</v>
      </c>
      <c r="D1135" t="s">
        <v>9</v>
      </c>
      <c r="E1135" t="s">
        <v>37</v>
      </c>
      <c r="F1135" t="s">
        <v>39</v>
      </c>
      <c r="G1135">
        <v>60</v>
      </c>
      <c r="H1135">
        <v>23</v>
      </c>
      <c r="I1135">
        <v>62</v>
      </c>
      <c r="J1135">
        <v>139</v>
      </c>
      <c r="K1135">
        <v>283</v>
      </c>
      <c r="L1135">
        <v>118.86</v>
      </c>
      <c r="M1135">
        <v>2380.0300000000002</v>
      </c>
      <c r="N1135">
        <v>73996</v>
      </c>
      <c r="O1135">
        <v>1662.86</v>
      </c>
      <c r="P1135" s="1">
        <v>-0.92700000000000005</v>
      </c>
      <c r="Q1135">
        <f t="shared" si="85"/>
        <v>83</v>
      </c>
      <c r="R1135">
        <f t="shared" si="86"/>
        <v>162</v>
      </c>
      <c r="S1135" s="1">
        <f t="shared" si="87"/>
        <v>0.25301204819277107</v>
      </c>
      <c r="T1135">
        <f t="shared" si="88"/>
        <v>0.83</v>
      </c>
      <c r="U1135" t="str">
        <f t="shared" si="89"/>
        <v>Apr</v>
      </c>
    </row>
    <row r="1136" spans="1:21">
      <c r="A1136" s="2">
        <v>46081</v>
      </c>
      <c r="B1136" t="s">
        <v>4</v>
      </c>
      <c r="C1136" t="s">
        <v>51</v>
      </c>
      <c r="D1136" t="s">
        <v>10</v>
      </c>
      <c r="E1136" t="s">
        <v>37</v>
      </c>
      <c r="F1136" t="s">
        <v>49</v>
      </c>
      <c r="G1136">
        <v>0</v>
      </c>
      <c r="H1136">
        <v>78</v>
      </c>
      <c r="I1136">
        <v>70</v>
      </c>
      <c r="J1136">
        <v>61</v>
      </c>
      <c r="K1136">
        <v>242</v>
      </c>
      <c r="L1136">
        <v>116.22</v>
      </c>
      <c r="M1136">
        <v>1976.92</v>
      </c>
      <c r="N1136">
        <v>64008</v>
      </c>
      <c r="O1136">
        <v>1252.47</v>
      </c>
      <c r="P1136" s="1">
        <v>-0.47</v>
      </c>
      <c r="Q1136">
        <f t="shared" si="85"/>
        <v>78</v>
      </c>
      <c r="R1136">
        <f t="shared" si="86"/>
        <v>139</v>
      </c>
      <c r="S1136" s="1">
        <f t="shared" si="87"/>
        <v>0.10256410256410256</v>
      </c>
      <c r="T1136">
        <f t="shared" si="88"/>
        <v>0.78</v>
      </c>
      <c r="U1136" t="str">
        <f t="shared" si="89"/>
        <v>Feb</v>
      </c>
    </row>
    <row r="1137" spans="1:21">
      <c r="A1137" s="2">
        <v>46113</v>
      </c>
      <c r="B1137" t="s">
        <v>6</v>
      </c>
      <c r="C1137" t="s">
        <v>36</v>
      </c>
      <c r="D1137" t="s">
        <v>7</v>
      </c>
      <c r="E1137" t="s">
        <v>35</v>
      </c>
      <c r="F1137" t="s">
        <v>33</v>
      </c>
      <c r="G1137">
        <v>28</v>
      </c>
      <c r="H1137">
        <v>31</v>
      </c>
      <c r="I1137">
        <v>69</v>
      </c>
      <c r="J1137">
        <v>25</v>
      </c>
      <c r="K1137">
        <v>68</v>
      </c>
      <c r="L1137">
        <v>128.9</v>
      </c>
      <c r="M1137">
        <v>2402.46</v>
      </c>
      <c r="N1137">
        <v>72056</v>
      </c>
      <c r="O1137">
        <v>1508.02</v>
      </c>
      <c r="P1137" s="1">
        <v>0.55600000000000005</v>
      </c>
      <c r="Q1137">
        <f t="shared" si="85"/>
        <v>59</v>
      </c>
      <c r="R1137">
        <f t="shared" si="86"/>
        <v>56</v>
      </c>
      <c r="S1137" s="1">
        <f t="shared" si="87"/>
        <v>-0.16949152542372881</v>
      </c>
      <c r="T1137">
        <f t="shared" si="88"/>
        <v>0.59</v>
      </c>
      <c r="U1137" t="str">
        <f t="shared" si="89"/>
        <v>Apr</v>
      </c>
    </row>
    <row r="1138" spans="1:21">
      <c r="A1138" s="2">
        <v>46122</v>
      </c>
      <c r="B1138" t="s">
        <v>6</v>
      </c>
      <c r="C1138" t="s">
        <v>31</v>
      </c>
      <c r="D1138" t="s">
        <v>11</v>
      </c>
      <c r="E1138" t="s">
        <v>47</v>
      </c>
      <c r="F1138" t="s">
        <v>49</v>
      </c>
      <c r="G1138">
        <v>12</v>
      </c>
      <c r="H1138">
        <v>12</v>
      </c>
      <c r="I1138">
        <v>88</v>
      </c>
      <c r="J1138">
        <v>123</v>
      </c>
      <c r="K1138">
        <v>223</v>
      </c>
      <c r="L1138">
        <v>135.19</v>
      </c>
      <c r="M1138">
        <v>2450.06</v>
      </c>
      <c r="N1138">
        <v>68271</v>
      </c>
      <c r="O1138">
        <v>1492.25</v>
      </c>
      <c r="P1138" s="1">
        <v>0.92</v>
      </c>
      <c r="Q1138">
        <f t="shared" si="85"/>
        <v>24</v>
      </c>
      <c r="R1138">
        <f t="shared" si="86"/>
        <v>135</v>
      </c>
      <c r="S1138" s="1">
        <f t="shared" si="87"/>
        <v>-2.6666666666666665</v>
      </c>
      <c r="T1138">
        <f t="shared" si="88"/>
        <v>0.24</v>
      </c>
      <c r="U1138" t="str">
        <f t="shared" si="89"/>
        <v>Apr</v>
      </c>
    </row>
    <row r="1139" spans="1:21">
      <c r="A1139" s="2">
        <v>46096</v>
      </c>
      <c r="B1139" t="s">
        <v>6</v>
      </c>
      <c r="C1139" t="s">
        <v>43</v>
      </c>
      <c r="D1139" t="s">
        <v>11</v>
      </c>
      <c r="E1139" t="s">
        <v>41</v>
      </c>
      <c r="F1139" t="s">
        <v>49</v>
      </c>
      <c r="G1139">
        <v>42</v>
      </c>
      <c r="H1139">
        <v>0</v>
      </c>
      <c r="I1139">
        <v>61</v>
      </c>
      <c r="J1139">
        <v>45</v>
      </c>
      <c r="K1139">
        <v>282</v>
      </c>
      <c r="L1139">
        <v>81.8</v>
      </c>
      <c r="M1139">
        <v>2496.3000000000002</v>
      </c>
      <c r="N1139">
        <v>71803</v>
      </c>
      <c r="O1139">
        <v>1624.49</v>
      </c>
      <c r="P1139" s="1">
        <v>0.77700000000000002</v>
      </c>
      <c r="Q1139">
        <f t="shared" si="85"/>
        <v>42</v>
      </c>
      <c r="R1139">
        <f t="shared" si="86"/>
        <v>45</v>
      </c>
      <c r="S1139" s="1">
        <f t="shared" si="87"/>
        <v>-0.45238095238095238</v>
      </c>
      <c r="T1139">
        <f t="shared" si="88"/>
        <v>0.42</v>
      </c>
      <c r="U1139" t="str">
        <f t="shared" si="89"/>
        <v>Mar</v>
      </c>
    </row>
    <row r="1140" spans="1:21">
      <c r="A1140" s="2">
        <v>46072</v>
      </c>
      <c r="B1140" t="s">
        <v>6</v>
      </c>
      <c r="C1140" t="s">
        <v>50</v>
      </c>
      <c r="D1140" t="s">
        <v>9</v>
      </c>
      <c r="E1140" t="s">
        <v>32</v>
      </c>
      <c r="F1140" t="s">
        <v>33</v>
      </c>
      <c r="G1140">
        <v>16</v>
      </c>
      <c r="H1140">
        <v>23</v>
      </c>
      <c r="I1140">
        <v>30</v>
      </c>
      <c r="J1140">
        <v>95</v>
      </c>
      <c r="K1140">
        <v>360</v>
      </c>
      <c r="L1140">
        <v>110.06</v>
      </c>
      <c r="M1140">
        <v>2328.2199999999998</v>
      </c>
      <c r="N1140">
        <v>67258</v>
      </c>
      <c r="O1140">
        <v>1131.0899999999999</v>
      </c>
      <c r="P1140" s="1">
        <v>-0.58699999999999997</v>
      </c>
      <c r="Q1140">
        <f t="shared" si="85"/>
        <v>39</v>
      </c>
      <c r="R1140">
        <f t="shared" si="86"/>
        <v>118</v>
      </c>
      <c r="S1140" s="1">
        <f t="shared" si="87"/>
        <v>0.23076923076923078</v>
      </c>
      <c r="T1140">
        <f t="shared" si="88"/>
        <v>0.39</v>
      </c>
      <c r="U1140" t="str">
        <f t="shared" si="89"/>
        <v>Feb</v>
      </c>
    </row>
    <row r="1141" spans="1:21">
      <c r="A1141" s="2">
        <v>46125</v>
      </c>
      <c r="B1141" t="s">
        <v>6</v>
      </c>
      <c r="C1141" t="s">
        <v>34</v>
      </c>
      <c r="D1141" t="s">
        <v>11</v>
      </c>
      <c r="E1141" t="s">
        <v>37</v>
      </c>
      <c r="F1141" t="s">
        <v>39</v>
      </c>
      <c r="G1141">
        <v>83</v>
      </c>
      <c r="H1141">
        <v>3</v>
      </c>
      <c r="I1141">
        <v>31</v>
      </c>
      <c r="J1141">
        <v>80</v>
      </c>
      <c r="K1141">
        <v>391</v>
      </c>
      <c r="L1141">
        <v>123.59</v>
      </c>
      <c r="M1141">
        <v>2025.16</v>
      </c>
      <c r="N1141">
        <v>71240</v>
      </c>
      <c r="O1141">
        <v>920.59</v>
      </c>
      <c r="P1141" s="1">
        <v>-0.24099999999999999</v>
      </c>
      <c r="Q1141">
        <f t="shared" si="85"/>
        <v>86</v>
      </c>
      <c r="R1141">
        <f t="shared" si="86"/>
        <v>83</v>
      </c>
      <c r="S1141" s="1">
        <f t="shared" si="87"/>
        <v>0.63953488372093026</v>
      </c>
      <c r="T1141">
        <f t="shared" si="88"/>
        <v>0.86</v>
      </c>
      <c r="U1141" t="str">
        <f t="shared" si="89"/>
        <v>Apr</v>
      </c>
    </row>
    <row r="1142" spans="1:21">
      <c r="A1142" s="2">
        <v>46115</v>
      </c>
      <c r="B1142" t="s">
        <v>4</v>
      </c>
      <c r="C1142" t="s">
        <v>50</v>
      </c>
      <c r="D1142" t="s">
        <v>9</v>
      </c>
      <c r="E1142" t="s">
        <v>47</v>
      </c>
      <c r="F1142" t="s">
        <v>45</v>
      </c>
      <c r="G1142">
        <v>54</v>
      </c>
      <c r="H1142">
        <v>65</v>
      </c>
      <c r="I1142">
        <v>23</v>
      </c>
      <c r="J1142">
        <v>0</v>
      </c>
      <c r="K1142">
        <v>356</v>
      </c>
      <c r="L1142">
        <v>127</v>
      </c>
      <c r="M1142">
        <v>2211.86</v>
      </c>
      <c r="N1142">
        <v>66392</v>
      </c>
      <c r="O1142">
        <v>1134.29</v>
      </c>
      <c r="P1142" s="1">
        <v>-0.25600000000000001</v>
      </c>
      <c r="Q1142">
        <f t="shared" si="85"/>
        <v>119</v>
      </c>
      <c r="R1142">
        <f t="shared" si="86"/>
        <v>65</v>
      </c>
      <c r="S1142" s="1">
        <f t="shared" si="87"/>
        <v>0.80672268907563027</v>
      </c>
      <c r="T1142">
        <f t="shared" si="88"/>
        <v>1.19</v>
      </c>
      <c r="U1142" t="str">
        <f t="shared" si="89"/>
        <v>Apr</v>
      </c>
    </row>
    <row r="1143" spans="1:21">
      <c r="A1143" s="2">
        <v>46088</v>
      </c>
      <c r="B1143" t="s">
        <v>6</v>
      </c>
      <c r="C1143" t="s">
        <v>36</v>
      </c>
      <c r="D1143" t="s">
        <v>5</v>
      </c>
      <c r="E1143" t="s">
        <v>32</v>
      </c>
      <c r="F1143" t="s">
        <v>45</v>
      </c>
      <c r="G1143">
        <v>105</v>
      </c>
      <c r="H1143">
        <v>63</v>
      </c>
      <c r="I1143">
        <v>80</v>
      </c>
      <c r="J1143">
        <v>51</v>
      </c>
      <c r="K1143">
        <v>181</v>
      </c>
      <c r="L1143">
        <v>87</v>
      </c>
      <c r="M1143">
        <v>2380.0700000000002</v>
      </c>
      <c r="N1143">
        <v>75675</v>
      </c>
      <c r="O1143">
        <v>1789.22</v>
      </c>
      <c r="P1143" s="1">
        <v>-0.314</v>
      </c>
      <c r="Q1143">
        <f t="shared" si="85"/>
        <v>168</v>
      </c>
      <c r="R1143">
        <f t="shared" si="86"/>
        <v>114</v>
      </c>
      <c r="S1143" s="1">
        <f t="shared" si="87"/>
        <v>0.52380952380952384</v>
      </c>
      <c r="T1143">
        <f t="shared" si="88"/>
        <v>1.68</v>
      </c>
      <c r="U1143" t="str">
        <f t="shared" si="89"/>
        <v>Mar</v>
      </c>
    </row>
    <row r="1144" spans="1:21">
      <c r="A1144" s="2">
        <v>46085</v>
      </c>
      <c r="B1144" t="s">
        <v>4</v>
      </c>
      <c r="C1144" t="s">
        <v>31</v>
      </c>
      <c r="D1144" t="s">
        <v>9</v>
      </c>
      <c r="E1144" t="s">
        <v>38</v>
      </c>
      <c r="F1144" t="s">
        <v>45</v>
      </c>
      <c r="G1144">
        <v>61</v>
      </c>
      <c r="H1144">
        <v>53</v>
      </c>
      <c r="I1144">
        <v>87</v>
      </c>
      <c r="J1144">
        <v>147</v>
      </c>
      <c r="K1144">
        <v>373</v>
      </c>
      <c r="L1144">
        <v>131.37</v>
      </c>
      <c r="M1144">
        <v>2184.9299999999998</v>
      </c>
      <c r="N1144">
        <v>75375</v>
      </c>
      <c r="O1144">
        <v>1285.1099999999999</v>
      </c>
      <c r="P1144" s="1">
        <v>0.44500000000000001</v>
      </c>
      <c r="Q1144">
        <f t="shared" si="85"/>
        <v>114</v>
      </c>
      <c r="R1144">
        <f t="shared" si="86"/>
        <v>200</v>
      </c>
      <c r="S1144" s="1">
        <f t="shared" si="87"/>
        <v>0.23684210526315788</v>
      </c>
      <c r="T1144">
        <f t="shared" si="88"/>
        <v>1.1399999999999999</v>
      </c>
      <c r="U1144" t="str">
        <f t="shared" si="89"/>
        <v>Mar</v>
      </c>
    </row>
    <row r="1145" spans="1:21">
      <c r="A1145" s="2">
        <v>46107</v>
      </c>
      <c r="B1145" t="s">
        <v>6</v>
      </c>
      <c r="C1145" t="s">
        <v>34</v>
      </c>
      <c r="D1145" t="s">
        <v>11</v>
      </c>
      <c r="E1145" t="s">
        <v>37</v>
      </c>
      <c r="F1145" t="s">
        <v>39</v>
      </c>
      <c r="G1145">
        <v>59</v>
      </c>
      <c r="H1145">
        <v>25</v>
      </c>
      <c r="I1145">
        <v>25</v>
      </c>
      <c r="J1145">
        <v>135</v>
      </c>
      <c r="K1145">
        <v>145</v>
      </c>
      <c r="L1145">
        <v>95.87</v>
      </c>
      <c r="M1145">
        <v>2499.4899999999998</v>
      </c>
      <c r="N1145">
        <v>73430</v>
      </c>
      <c r="O1145">
        <v>1609.27</v>
      </c>
      <c r="P1145" s="1">
        <v>0.71499999999999997</v>
      </c>
      <c r="Q1145">
        <f t="shared" si="85"/>
        <v>84</v>
      </c>
      <c r="R1145">
        <f t="shared" si="86"/>
        <v>160</v>
      </c>
      <c r="S1145" s="1">
        <f t="shared" si="87"/>
        <v>0.70238095238095233</v>
      </c>
      <c r="T1145">
        <f t="shared" si="88"/>
        <v>0.84</v>
      </c>
      <c r="U1145" t="str">
        <f t="shared" si="89"/>
        <v>Mar</v>
      </c>
    </row>
    <row r="1146" spans="1:21">
      <c r="A1146" s="2">
        <v>46090</v>
      </c>
      <c r="B1146" t="s">
        <v>4</v>
      </c>
      <c r="C1146" t="s">
        <v>40</v>
      </c>
      <c r="D1146" t="s">
        <v>7</v>
      </c>
      <c r="E1146" t="s">
        <v>42</v>
      </c>
      <c r="F1146" t="s">
        <v>39</v>
      </c>
      <c r="G1146">
        <v>43</v>
      </c>
      <c r="H1146">
        <v>45</v>
      </c>
      <c r="I1146">
        <v>29</v>
      </c>
      <c r="J1146">
        <v>81</v>
      </c>
      <c r="K1146">
        <v>184</v>
      </c>
      <c r="L1146">
        <v>106.74</v>
      </c>
      <c r="M1146">
        <v>2217.41</v>
      </c>
      <c r="N1146">
        <v>65249</v>
      </c>
      <c r="O1146">
        <v>1369.36</v>
      </c>
      <c r="P1146" s="1">
        <v>-0.25</v>
      </c>
      <c r="Q1146">
        <f t="shared" si="85"/>
        <v>88</v>
      </c>
      <c r="R1146">
        <f t="shared" si="86"/>
        <v>126</v>
      </c>
      <c r="S1146" s="1">
        <f t="shared" si="87"/>
        <v>0.67045454545454541</v>
      </c>
      <c r="T1146">
        <f t="shared" si="88"/>
        <v>0.88</v>
      </c>
      <c r="U1146" t="str">
        <f t="shared" si="89"/>
        <v>Mar</v>
      </c>
    </row>
    <row r="1147" spans="1:21">
      <c r="A1147" s="2">
        <v>46086</v>
      </c>
      <c r="B1147" t="s">
        <v>6</v>
      </c>
      <c r="C1147" t="s">
        <v>50</v>
      </c>
      <c r="D1147" t="s">
        <v>9</v>
      </c>
      <c r="E1147" t="s">
        <v>42</v>
      </c>
      <c r="F1147" t="s">
        <v>33</v>
      </c>
      <c r="G1147">
        <v>99</v>
      </c>
      <c r="H1147">
        <v>29</v>
      </c>
      <c r="I1147">
        <v>68</v>
      </c>
      <c r="J1147">
        <v>44</v>
      </c>
      <c r="K1147">
        <v>220</v>
      </c>
      <c r="L1147">
        <v>113.4</v>
      </c>
      <c r="M1147">
        <v>2213.94</v>
      </c>
      <c r="N1147">
        <v>66393</v>
      </c>
      <c r="O1147">
        <v>1128.42</v>
      </c>
      <c r="P1147" s="1">
        <v>-0.625</v>
      </c>
      <c r="Q1147">
        <f t="shared" si="85"/>
        <v>128</v>
      </c>
      <c r="R1147">
        <f t="shared" si="86"/>
        <v>73</v>
      </c>
      <c r="S1147" s="1">
        <f t="shared" si="87"/>
        <v>0.46875</v>
      </c>
      <c r="T1147">
        <f t="shared" si="88"/>
        <v>1.28</v>
      </c>
      <c r="U1147" t="str">
        <f t="shared" si="89"/>
        <v>Mar</v>
      </c>
    </row>
    <row r="1148" spans="1:21">
      <c r="A1148" s="2">
        <v>46099</v>
      </c>
      <c r="B1148" t="s">
        <v>4</v>
      </c>
      <c r="C1148" t="s">
        <v>34</v>
      </c>
      <c r="D1148" t="s">
        <v>5</v>
      </c>
      <c r="E1148" t="s">
        <v>35</v>
      </c>
      <c r="F1148" t="s">
        <v>33</v>
      </c>
      <c r="G1148">
        <v>21</v>
      </c>
      <c r="H1148">
        <v>41</v>
      </c>
      <c r="I1148">
        <v>54</v>
      </c>
      <c r="J1148">
        <v>70</v>
      </c>
      <c r="K1148">
        <v>302</v>
      </c>
      <c r="L1148">
        <v>85.03</v>
      </c>
      <c r="M1148">
        <v>2183.44</v>
      </c>
      <c r="N1148">
        <v>72894</v>
      </c>
      <c r="O1148">
        <v>1595.48</v>
      </c>
      <c r="P1148" s="1">
        <v>0.7</v>
      </c>
      <c r="Q1148">
        <f t="shared" si="85"/>
        <v>62</v>
      </c>
      <c r="R1148">
        <f t="shared" si="86"/>
        <v>111</v>
      </c>
      <c r="S1148" s="1">
        <f t="shared" si="87"/>
        <v>0.12903225806451613</v>
      </c>
      <c r="T1148">
        <f t="shared" si="88"/>
        <v>0.62</v>
      </c>
      <c r="U1148" t="str">
        <f t="shared" si="89"/>
        <v>Mar</v>
      </c>
    </row>
    <row r="1149" spans="1:21">
      <c r="A1149" s="2">
        <v>46091</v>
      </c>
      <c r="B1149" t="s">
        <v>6</v>
      </c>
      <c r="C1149" t="s">
        <v>34</v>
      </c>
      <c r="D1149" t="s">
        <v>9</v>
      </c>
      <c r="E1149" t="s">
        <v>37</v>
      </c>
      <c r="F1149" t="s">
        <v>33</v>
      </c>
      <c r="G1149">
        <v>114</v>
      </c>
      <c r="H1149">
        <v>17</v>
      </c>
      <c r="I1149">
        <v>29</v>
      </c>
      <c r="J1149">
        <v>67</v>
      </c>
      <c r="K1149">
        <v>68</v>
      </c>
      <c r="L1149">
        <v>128.38999999999999</v>
      </c>
      <c r="M1149">
        <v>2270.06</v>
      </c>
      <c r="N1149">
        <v>71188</v>
      </c>
      <c r="O1149">
        <v>1624.47</v>
      </c>
      <c r="P1149" s="1">
        <v>3.9E-2</v>
      </c>
      <c r="Q1149">
        <f t="shared" si="85"/>
        <v>131</v>
      </c>
      <c r="R1149">
        <f t="shared" si="86"/>
        <v>84</v>
      </c>
      <c r="S1149" s="1">
        <f t="shared" si="87"/>
        <v>0.77862595419847325</v>
      </c>
      <c r="T1149">
        <f t="shared" si="88"/>
        <v>1.31</v>
      </c>
      <c r="U1149" t="str">
        <f t="shared" si="89"/>
        <v>Mar</v>
      </c>
    </row>
    <row r="1150" spans="1:21">
      <c r="A1150" s="2">
        <v>46082</v>
      </c>
      <c r="B1150" t="s">
        <v>4</v>
      </c>
      <c r="C1150" t="s">
        <v>50</v>
      </c>
      <c r="D1150" t="s">
        <v>10</v>
      </c>
      <c r="E1150" t="s">
        <v>41</v>
      </c>
      <c r="F1150" t="s">
        <v>45</v>
      </c>
      <c r="G1150">
        <v>11</v>
      </c>
      <c r="H1150">
        <v>73</v>
      </c>
      <c r="I1150">
        <v>26</v>
      </c>
      <c r="J1150">
        <v>106</v>
      </c>
      <c r="K1150">
        <v>317</v>
      </c>
      <c r="L1150">
        <v>108.26</v>
      </c>
      <c r="M1150">
        <v>2090.4899999999998</v>
      </c>
      <c r="N1150">
        <v>66841</v>
      </c>
      <c r="O1150">
        <v>1306.52</v>
      </c>
      <c r="P1150" s="1">
        <v>-0.222</v>
      </c>
      <c r="Q1150">
        <f t="shared" si="85"/>
        <v>84</v>
      </c>
      <c r="R1150">
        <f t="shared" si="86"/>
        <v>179</v>
      </c>
      <c r="S1150" s="1">
        <f t="shared" si="87"/>
        <v>0.69047619047619047</v>
      </c>
      <c r="T1150">
        <f t="shared" si="88"/>
        <v>0.84</v>
      </c>
      <c r="U1150" t="str">
        <f t="shared" si="89"/>
        <v>Mar</v>
      </c>
    </row>
    <row r="1151" spans="1:21">
      <c r="A1151" s="2">
        <v>46084</v>
      </c>
      <c r="B1151" t="s">
        <v>4</v>
      </c>
      <c r="C1151" t="s">
        <v>50</v>
      </c>
      <c r="D1151" t="s">
        <v>7</v>
      </c>
      <c r="E1151" t="s">
        <v>37</v>
      </c>
      <c r="F1151" t="s">
        <v>33</v>
      </c>
      <c r="G1151">
        <v>40</v>
      </c>
      <c r="H1151">
        <v>20</v>
      </c>
      <c r="I1151">
        <v>57</v>
      </c>
      <c r="J1151">
        <v>71</v>
      </c>
      <c r="K1151">
        <v>25</v>
      </c>
      <c r="L1151">
        <v>119.42</v>
      </c>
      <c r="M1151">
        <v>2328.56</v>
      </c>
      <c r="N1151">
        <v>66811</v>
      </c>
      <c r="O1151">
        <v>1072.1400000000001</v>
      </c>
      <c r="P1151" s="1">
        <v>-0.52700000000000002</v>
      </c>
      <c r="Q1151">
        <f t="shared" si="85"/>
        <v>60</v>
      </c>
      <c r="R1151">
        <f t="shared" si="86"/>
        <v>91</v>
      </c>
      <c r="S1151" s="1">
        <f t="shared" si="87"/>
        <v>0.05</v>
      </c>
      <c r="T1151">
        <f t="shared" si="88"/>
        <v>0.6</v>
      </c>
      <c r="U1151" t="str">
        <f t="shared" si="89"/>
        <v>Mar</v>
      </c>
    </row>
    <row r="1152" spans="1:21">
      <c r="A1152" s="2">
        <v>46085</v>
      </c>
      <c r="B1152" t="s">
        <v>6</v>
      </c>
      <c r="C1152" t="s">
        <v>34</v>
      </c>
      <c r="D1152" t="s">
        <v>10</v>
      </c>
      <c r="E1152" t="s">
        <v>42</v>
      </c>
      <c r="F1152" t="s">
        <v>49</v>
      </c>
      <c r="G1152">
        <v>89</v>
      </c>
      <c r="H1152">
        <v>61</v>
      </c>
      <c r="I1152">
        <v>8</v>
      </c>
      <c r="J1152">
        <v>40</v>
      </c>
      <c r="K1152">
        <v>151</v>
      </c>
      <c r="L1152">
        <v>118.25</v>
      </c>
      <c r="M1152">
        <v>2000.26</v>
      </c>
      <c r="N1152">
        <v>70048</v>
      </c>
      <c r="O1152">
        <v>1771.84</v>
      </c>
      <c r="P1152" s="1">
        <v>0.218</v>
      </c>
      <c r="Q1152">
        <f t="shared" si="85"/>
        <v>150</v>
      </c>
      <c r="R1152">
        <f t="shared" si="86"/>
        <v>101</v>
      </c>
      <c r="S1152" s="1">
        <f t="shared" si="87"/>
        <v>0.94666666666666666</v>
      </c>
      <c r="T1152">
        <f t="shared" si="88"/>
        <v>1.5</v>
      </c>
      <c r="U1152" t="str">
        <f t="shared" si="89"/>
        <v>Mar</v>
      </c>
    </row>
    <row r="1153" spans="1:21">
      <c r="A1153" s="2">
        <v>46075</v>
      </c>
      <c r="B1153" t="s">
        <v>6</v>
      </c>
      <c r="C1153" t="s">
        <v>40</v>
      </c>
      <c r="D1153" t="s">
        <v>11</v>
      </c>
      <c r="E1153" t="s">
        <v>35</v>
      </c>
      <c r="F1153" t="s">
        <v>45</v>
      </c>
      <c r="G1153">
        <v>81</v>
      </c>
      <c r="H1153">
        <v>16</v>
      </c>
      <c r="I1153">
        <v>15</v>
      </c>
      <c r="J1153">
        <v>149</v>
      </c>
      <c r="K1153">
        <v>225</v>
      </c>
      <c r="L1153">
        <v>108.47</v>
      </c>
      <c r="M1153">
        <v>1813.19</v>
      </c>
      <c r="N1153">
        <v>71719</v>
      </c>
      <c r="O1153">
        <v>900.36</v>
      </c>
      <c r="P1153" s="1">
        <v>7.3999999999999996E-2</v>
      </c>
      <c r="Q1153">
        <f t="shared" si="85"/>
        <v>97</v>
      </c>
      <c r="R1153">
        <f t="shared" si="86"/>
        <v>165</v>
      </c>
      <c r="S1153" s="1">
        <f t="shared" si="87"/>
        <v>0.84536082474226804</v>
      </c>
      <c r="T1153">
        <f t="shared" si="88"/>
        <v>0.97</v>
      </c>
      <c r="U1153" t="str">
        <f t="shared" si="89"/>
        <v>Feb</v>
      </c>
    </row>
    <row r="1154" spans="1:21">
      <c r="A1154" s="2">
        <v>46075</v>
      </c>
      <c r="B1154" t="s">
        <v>6</v>
      </c>
      <c r="C1154" t="s">
        <v>44</v>
      </c>
      <c r="D1154" t="s">
        <v>10</v>
      </c>
      <c r="E1154" t="s">
        <v>41</v>
      </c>
      <c r="F1154" t="s">
        <v>45</v>
      </c>
      <c r="G1154">
        <v>76</v>
      </c>
      <c r="H1154">
        <v>24</v>
      </c>
      <c r="I1154">
        <v>7</v>
      </c>
      <c r="J1154">
        <v>139</v>
      </c>
      <c r="K1154">
        <v>283</v>
      </c>
      <c r="L1154">
        <v>95.88</v>
      </c>
      <c r="M1154">
        <v>2183.9699999999998</v>
      </c>
      <c r="N1154">
        <v>74778</v>
      </c>
      <c r="O1154">
        <v>924.15</v>
      </c>
      <c r="P1154" s="1">
        <v>0.68400000000000005</v>
      </c>
      <c r="Q1154">
        <f t="shared" si="85"/>
        <v>100</v>
      </c>
      <c r="R1154">
        <f t="shared" si="86"/>
        <v>163</v>
      </c>
      <c r="S1154" s="1">
        <f t="shared" si="87"/>
        <v>0.93</v>
      </c>
      <c r="T1154">
        <f t="shared" si="88"/>
        <v>1</v>
      </c>
      <c r="U1154" t="str">
        <f t="shared" si="89"/>
        <v>Feb</v>
      </c>
    </row>
    <row r="1155" spans="1:21">
      <c r="A1155" s="2">
        <v>46118</v>
      </c>
      <c r="B1155" t="s">
        <v>6</v>
      </c>
      <c r="C1155" t="s">
        <v>34</v>
      </c>
      <c r="D1155" t="s">
        <v>11</v>
      </c>
      <c r="E1155" t="s">
        <v>37</v>
      </c>
      <c r="F1155" t="s">
        <v>33</v>
      </c>
      <c r="G1155">
        <v>12</v>
      </c>
      <c r="H1155">
        <v>63</v>
      </c>
      <c r="I1155">
        <v>78</v>
      </c>
      <c r="J1155">
        <v>20</v>
      </c>
      <c r="K1155">
        <v>268</v>
      </c>
      <c r="L1155">
        <v>115.63</v>
      </c>
      <c r="M1155">
        <v>2163.02</v>
      </c>
      <c r="N1155">
        <v>75066</v>
      </c>
      <c r="O1155">
        <v>1287.44</v>
      </c>
      <c r="P1155" s="1">
        <v>0.371</v>
      </c>
      <c r="Q1155">
        <f t="shared" ref="Q1155:Q1218" si="90">G1155+H1155</f>
        <v>75</v>
      </c>
      <c r="R1155">
        <f t="shared" ref="R1155:R1218" si="91">J1155+H1155</f>
        <v>83</v>
      </c>
      <c r="S1155" s="1">
        <f t="shared" ref="S1155:S1218" si="92">(Q1155-I1155)/(Q1155)</f>
        <v>-0.04</v>
      </c>
      <c r="T1155">
        <f t="shared" ref="T1155:T1218" si="93">Q1155/100</f>
        <v>0.75</v>
      </c>
      <c r="U1155" t="str">
        <f t="shared" ref="U1155:U1218" si="94">TEXT(A1155,"mmm")</f>
        <v>Apr</v>
      </c>
    </row>
    <row r="1156" spans="1:21">
      <c r="A1156" s="2">
        <v>46103</v>
      </c>
      <c r="B1156" t="s">
        <v>4</v>
      </c>
      <c r="C1156" t="s">
        <v>48</v>
      </c>
      <c r="D1156" t="s">
        <v>10</v>
      </c>
      <c r="E1156" t="s">
        <v>47</v>
      </c>
      <c r="F1156" t="s">
        <v>45</v>
      </c>
      <c r="G1156">
        <v>40</v>
      </c>
      <c r="H1156">
        <v>9</v>
      </c>
      <c r="I1156">
        <v>24</v>
      </c>
      <c r="J1156">
        <v>128</v>
      </c>
      <c r="K1156">
        <v>188</v>
      </c>
      <c r="L1156">
        <v>102.46</v>
      </c>
      <c r="M1156">
        <v>2151.48</v>
      </c>
      <c r="N1156">
        <v>70128</v>
      </c>
      <c r="O1156">
        <v>1346.61</v>
      </c>
      <c r="P1156" s="1">
        <v>0.89400000000000002</v>
      </c>
      <c r="Q1156">
        <f t="shared" si="90"/>
        <v>49</v>
      </c>
      <c r="R1156">
        <f t="shared" si="91"/>
        <v>137</v>
      </c>
      <c r="S1156" s="1">
        <f t="shared" si="92"/>
        <v>0.51020408163265307</v>
      </c>
      <c r="T1156">
        <f t="shared" si="93"/>
        <v>0.49</v>
      </c>
      <c r="U1156" t="str">
        <f t="shared" si="94"/>
        <v>Mar</v>
      </c>
    </row>
    <row r="1157" spans="1:21">
      <c r="A1157" s="2">
        <v>46116</v>
      </c>
      <c r="B1157" t="s">
        <v>6</v>
      </c>
      <c r="C1157" t="s">
        <v>44</v>
      </c>
      <c r="D1157" t="s">
        <v>11</v>
      </c>
      <c r="E1157" t="s">
        <v>42</v>
      </c>
      <c r="F1157" t="s">
        <v>39</v>
      </c>
      <c r="G1157">
        <v>64</v>
      </c>
      <c r="H1157">
        <v>41</v>
      </c>
      <c r="I1157">
        <v>25</v>
      </c>
      <c r="J1157">
        <v>38</v>
      </c>
      <c r="K1157">
        <v>386</v>
      </c>
      <c r="L1157">
        <v>122.12</v>
      </c>
      <c r="M1157">
        <v>2174.2800000000002</v>
      </c>
      <c r="N1157">
        <v>72207</v>
      </c>
      <c r="O1157">
        <v>1463.36</v>
      </c>
      <c r="P1157" s="1">
        <v>-0.76500000000000001</v>
      </c>
      <c r="Q1157">
        <f t="shared" si="90"/>
        <v>105</v>
      </c>
      <c r="R1157">
        <f t="shared" si="91"/>
        <v>79</v>
      </c>
      <c r="S1157" s="1">
        <f t="shared" si="92"/>
        <v>0.76190476190476186</v>
      </c>
      <c r="T1157">
        <f t="shared" si="93"/>
        <v>1.05</v>
      </c>
      <c r="U1157" t="str">
        <f t="shared" si="94"/>
        <v>Apr</v>
      </c>
    </row>
    <row r="1158" spans="1:21">
      <c r="A1158" s="2">
        <v>46068</v>
      </c>
      <c r="B1158" t="s">
        <v>4</v>
      </c>
      <c r="C1158" t="s">
        <v>50</v>
      </c>
      <c r="D1158" t="s">
        <v>9</v>
      </c>
      <c r="E1158" t="s">
        <v>37</v>
      </c>
      <c r="F1158" t="s">
        <v>49</v>
      </c>
      <c r="G1158">
        <v>23</v>
      </c>
      <c r="H1158">
        <v>10</v>
      </c>
      <c r="I1158">
        <v>64</v>
      </c>
      <c r="J1158">
        <v>15</v>
      </c>
      <c r="K1158">
        <v>51</v>
      </c>
      <c r="L1158">
        <v>88.74</v>
      </c>
      <c r="M1158">
        <v>2271.19</v>
      </c>
      <c r="N1158">
        <v>73449</v>
      </c>
      <c r="O1158">
        <v>1703.11</v>
      </c>
      <c r="P1158" s="1">
        <v>0.93700000000000006</v>
      </c>
      <c r="Q1158">
        <f t="shared" si="90"/>
        <v>33</v>
      </c>
      <c r="R1158">
        <f t="shared" si="91"/>
        <v>25</v>
      </c>
      <c r="S1158" s="1">
        <f t="shared" si="92"/>
        <v>-0.93939393939393945</v>
      </c>
      <c r="T1158">
        <f t="shared" si="93"/>
        <v>0.33</v>
      </c>
      <c r="U1158" t="str">
        <f t="shared" si="94"/>
        <v>Feb</v>
      </c>
    </row>
    <row r="1159" spans="1:21">
      <c r="A1159" s="2">
        <v>46089</v>
      </c>
      <c r="B1159" t="s">
        <v>6</v>
      </c>
      <c r="C1159" t="s">
        <v>50</v>
      </c>
      <c r="D1159" t="s">
        <v>10</v>
      </c>
      <c r="E1159" t="s">
        <v>38</v>
      </c>
      <c r="F1159" t="s">
        <v>49</v>
      </c>
      <c r="G1159">
        <v>31</v>
      </c>
      <c r="H1159">
        <v>46</v>
      </c>
      <c r="I1159">
        <v>68</v>
      </c>
      <c r="J1159">
        <v>151</v>
      </c>
      <c r="K1159">
        <v>249</v>
      </c>
      <c r="L1159">
        <v>103.65</v>
      </c>
      <c r="M1159">
        <v>2140.8200000000002</v>
      </c>
      <c r="N1159">
        <v>67256</v>
      </c>
      <c r="O1159">
        <v>1750.03</v>
      </c>
      <c r="P1159" s="1">
        <v>-0.64900000000000002</v>
      </c>
      <c r="Q1159">
        <f t="shared" si="90"/>
        <v>77</v>
      </c>
      <c r="R1159">
        <f t="shared" si="91"/>
        <v>197</v>
      </c>
      <c r="S1159" s="1">
        <f t="shared" si="92"/>
        <v>0.11688311688311688</v>
      </c>
      <c r="T1159">
        <f t="shared" si="93"/>
        <v>0.77</v>
      </c>
      <c r="U1159" t="str">
        <f t="shared" si="94"/>
        <v>Mar</v>
      </c>
    </row>
    <row r="1160" spans="1:21">
      <c r="A1160" s="2">
        <v>46097</v>
      </c>
      <c r="B1160" t="s">
        <v>6</v>
      </c>
      <c r="C1160" t="s">
        <v>44</v>
      </c>
      <c r="D1160" t="s">
        <v>9</v>
      </c>
      <c r="E1160" t="s">
        <v>47</v>
      </c>
      <c r="F1160" t="s">
        <v>39</v>
      </c>
      <c r="G1160">
        <v>47</v>
      </c>
      <c r="H1160">
        <v>67</v>
      </c>
      <c r="I1160">
        <v>44</v>
      </c>
      <c r="J1160">
        <v>63</v>
      </c>
      <c r="K1160">
        <v>385</v>
      </c>
      <c r="L1160">
        <v>93.44</v>
      </c>
      <c r="M1160">
        <v>2451.79</v>
      </c>
      <c r="N1160">
        <v>69739</v>
      </c>
      <c r="O1160">
        <v>1045.01</v>
      </c>
      <c r="P1160" s="1">
        <v>-1E-3</v>
      </c>
      <c r="Q1160">
        <f t="shared" si="90"/>
        <v>114</v>
      </c>
      <c r="R1160">
        <f t="shared" si="91"/>
        <v>130</v>
      </c>
      <c r="S1160" s="1">
        <f t="shared" si="92"/>
        <v>0.61403508771929827</v>
      </c>
      <c r="T1160">
        <f t="shared" si="93"/>
        <v>1.1399999999999999</v>
      </c>
      <c r="U1160" t="str">
        <f t="shared" si="94"/>
        <v>Mar</v>
      </c>
    </row>
    <row r="1161" spans="1:21">
      <c r="A1161" s="2">
        <v>46098</v>
      </c>
      <c r="B1161" t="s">
        <v>6</v>
      </c>
      <c r="C1161" t="s">
        <v>40</v>
      </c>
      <c r="D1161" t="s">
        <v>10</v>
      </c>
      <c r="E1161" t="s">
        <v>37</v>
      </c>
      <c r="F1161" t="s">
        <v>49</v>
      </c>
      <c r="G1161">
        <v>9</v>
      </c>
      <c r="H1161">
        <v>52</v>
      </c>
      <c r="I1161">
        <v>46</v>
      </c>
      <c r="J1161">
        <v>36</v>
      </c>
      <c r="K1161">
        <v>369</v>
      </c>
      <c r="L1161">
        <v>98.08</v>
      </c>
      <c r="M1161">
        <v>2009.12</v>
      </c>
      <c r="N1161">
        <v>67481</v>
      </c>
      <c r="O1161">
        <v>1694.46</v>
      </c>
      <c r="P1161" s="1">
        <v>0.3</v>
      </c>
      <c r="Q1161">
        <f t="shared" si="90"/>
        <v>61</v>
      </c>
      <c r="R1161">
        <f t="shared" si="91"/>
        <v>88</v>
      </c>
      <c r="S1161" s="1">
        <f t="shared" si="92"/>
        <v>0.24590163934426229</v>
      </c>
      <c r="T1161">
        <f t="shared" si="93"/>
        <v>0.61</v>
      </c>
      <c r="U1161" t="str">
        <f t="shared" si="94"/>
        <v>Mar</v>
      </c>
    </row>
    <row r="1162" spans="1:21">
      <c r="A1162" s="2">
        <v>46077</v>
      </c>
      <c r="B1162" t="s">
        <v>6</v>
      </c>
      <c r="C1162" t="s">
        <v>50</v>
      </c>
      <c r="D1162" t="s">
        <v>9</v>
      </c>
      <c r="E1162" t="s">
        <v>37</v>
      </c>
      <c r="F1162" t="s">
        <v>39</v>
      </c>
      <c r="G1162">
        <v>107</v>
      </c>
      <c r="H1162">
        <v>52</v>
      </c>
      <c r="I1162">
        <v>1</v>
      </c>
      <c r="J1162">
        <v>132</v>
      </c>
      <c r="K1162">
        <v>110</v>
      </c>
      <c r="L1162">
        <v>135.52000000000001</v>
      </c>
      <c r="M1162">
        <v>2368.29</v>
      </c>
      <c r="N1162">
        <v>74615</v>
      </c>
      <c r="O1162">
        <v>1182.99</v>
      </c>
      <c r="P1162" s="1">
        <v>0.371</v>
      </c>
      <c r="Q1162">
        <f t="shared" si="90"/>
        <v>159</v>
      </c>
      <c r="R1162">
        <f t="shared" si="91"/>
        <v>184</v>
      </c>
      <c r="S1162" s="1">
        <f t="shared" si="92"/>
        <v>0.99371069182389937</v>
      </c>
      <c r="T1162">
        <f t="shared" si="93"/>
        <v>1.59</v>
      </c>
      <c r="U1162" t="str">
        <f t="shared" si="94"/>
        <v>Feb</v>
      </c>
    </row>
    <row r="1163" spans="1:21">
      <c r="A1163" s="2">
        <v>46125</v>
      </c>
      <c r="B1163" t="s">
        <v>4</v>
      </c>
      <c r="C1163" t="s">
        <v>36</v>
      </c>
      <c r="D1163" t="s">
        <v>9</v>
      </c>
      <c r="E1163" t="s">
        <v>47</v>
      </c>
      <c r="F1163" t="s">
        <v>33</v>
      </c>
      <c r="G1163">
        <v>109</v>
      </c>
      <c r="H1163">
        <v>76</v>
      </c>
      <c r="I1163">
        <v>48</v>
      </c>
      <c r="J1163">
        <v>98</v>
      </c>
      <c r="K1163">
        <v>164</v>
      </c>
      <c r="L1163">
        <v>105.63</v>
      </c>
      <c r="M1163">
        <v>2021.89</v>
      </c>
      <c r="N1163">
        <v>64685</v>
      </c>
      <c r="O1163">
        <v>1002.85</v>
      </c>
      <c r="P1163" s="1">
        <v>0.121</v>
      </c>
      <c r="Q1163">
        <f t="shared" si="90"/>
        <v>185</v>
      </c>
      <c r="R1163">
        <f t="shared" si="91"/>
        <v>174</v>
      </c>
      <c r="S1163" s="1">
        <f t="shared" si="92"/>
        <v>0.74054054054054053</v>
      </c>
      <c r="T1163">
        <f t="shared" si="93"/>
        <v>1.85</v>
      </c>
      <c r="U1163" t="str">
        <f t="shared" si="94"/>
        <v>Apr</v>
      </c>
    </row>
    <row r="1164" spans="1:21">
      <c r="A1164" s="2">
        <v>46113</v>
      </c>
      <c r="B1164" t="s">
        <v>6</v>
      </c>
      <c r="C1164" t="s">
        <v>50</v>
      </c>
      <c r="D1164" t="s">
        <v>5</v>
      </c>
      <c r="E1164" t="s">
        <v>37</v>
      </c>
      <c r="F1164" t="s">
        <v>45</v>
      </c>
      <c r="G1164">
        <v>14</v>
      </c>
      <c r="H1164">
        <v>3</v>
      </c>
      <c r="I1164">
        <v>89</v>
      </c>
      <c r="J1164">
        <v>152</v>
      </c>
      <c r="K1164">
        <v>162</v>
      </c>
      <c r="L1164">
        <v>135.25</v>
      </c>
      <c r="M1164">
        <v>1803.81</v>
      </c>
      <c r="N1164">
        <v>68256</v>
      </c>
      <c r="O1164">
        <v>957.87</v>
      </c>
      <c r="P1164" s="1">
        <v>-0.60699999999999998</v>
      </c>
      <c r="Q1164">
        <f t="shared" si="90"/>
        <v>17</v>
      </c>
      <c r="R1164">
        <f t="shared" si="91"/>
        <v>155</v>
      </c>
      <c r="S1164" s="1">
        <f t="shared" si="92"/>
        <v>-4.2352941176470589</v>
      </c>
      <c r="T1164">
        <f t="shared" si="93"/>
        <v>0.17</v>
      </c>
      <c r="U1164" t="str">
        <f t="shared" si="94"/>
        <v>Apr</v>
      </c>
    </row>
    <row r="1165" spans="1:21">
      <c r="A1165" s="2">
        <v>46124</v>
      </c>
      <c r="B1165" t="s">
        <v>4</v>
      </c>
      <c r="C1165" t="s">
        <v>46</v>
      </c>
      <c r="D1165" t="s">
        <v>10</v>
      </c>
      <c r="E1165" t="s">
        <v>35</v>
      </c>
      <c r="F1165" t="s">
        <v>45</v>
      </c>
      <c r="G1165">
        <v>82</v>
      </c>
      <c r="H1165">
        <v>67</v>
      </c>
      <c r="I1165">
        <v>76</v>
      </c>
      <c r="J1165">
        <v>86</v>
      </c>
      <c r="K1165">
        <v>369</v>
      </c>
      <c r="L1165">
        <v>123.55</v>
      </c>
      <c r="M1165">
        <v>2101.4499999999998</v>
      </c>
      <c r="N1165">
        <v>67243</v>
      </c>
      <c r="O1165">
        <v>1041.93</v>
      </c>
      <c r="P1165" s="1">
        <v>0.77900000000000003</v>
      </c>
      <c r="Q1165">
        <f t="shared" si="90"/>
        <v>149</v>
      </c>
      <c r="R1165">
        <f t="shared" si="91"/>
        <v>153</v>
      </c>
      <c r="S1165" s="1">
        <f t="shared" si="92"/>
        <v>0.48993288590604028</v>
      </c>
      <c r="T1165">
        <f t="shared" si="93"/>
        <v>1.49</v>
      </c>
      <c r="U1165" t="str">
        <f t="shared" si="94"/>
        <v>Apr</v>
      </c>
    </row>
    <row r="1166" spans="1:21">
      <c r="A1166" s="2">
        <v>46116</v>
      </c>
      <c r="B1166" t="s">
        <v>6</v>
      </c>
      <c r="C1166" t="s">
        <v>34</v>
      </c>
      <c r="D1166" t="s">
        <v>10</v>
      </c>
      <c r="E1166" t="s">
        <v>41</v>
      </c>
      <c r="F1166" t="s">
        <v>49</v>
      </c>
      <c r="G1166">
        <v>21</v>
      </c>
      <c r="H1166">
        <v>27</v>
      </c>
      <c r="I1166">
        <v>49</v>
      </c>
      <c r="J1166">
        <v>145</v>
      </c>
      <c r="K1166">
        <v>152</v>
      </c>
      <c r="L1166">
        <v>116.37</v>
      </c>
      <c r="M1166">
        <v>2466.92</v>
      </c>
      <c r="N1166">
        <v>64650</v>
      </c>
      <c r="O1166">
        <v>1106.04</v>
      </c>
      <c r="P1166" s="1">
        <v>-0.13900000000000001</v>
      </c>
      <c r="Q1166">
        <f t="shared" si="90"/>
        <v>48</v>
      </c>
      <c r="R1166">
        <f t="shared" si="91"/>
        <v>172</v>
      </c>
      <c r="S1166" s="1">
        <f t="shared" si="92"/>
        <v>-2.0833333333333332E-2</v>
      </c>
      <c r="T1166">
        <f t="shared" si="93"/>
        <v>0.48</v>
      </c>
      <c r="U1166" t="str">
        <f t="shared" si="94"/>
        <v>Apr</v>
      </c>
    </row>
    <row r="1167" spans="1:21">
      <c r="A1167" s="2">
        <v>46077</v>
      </c>
      <c r="B1167" t="s">
        <v>6</v>
      </c>
      <c r="C1167" t="s">
        <v>46</v>
      </c>
      <c r="D1167" t="s">
        <v>9</v>
      </c>
      <c r="E1167" t="s">
        <v>42</v>
      </c>
      <c r="F1167" t="s">
        <v>33</v>
      </c>
      <c r="G1167">
        <v>60</v>
      </c>
      <c r="H1167">
        <v>2</v>
      </c>
      <c r="I1167">
        <v>21</v>
      </c>
      <c r="J1167">
        <v>5</v>
      </c>
      <c r="K1167">
        <v>434</v>
      </c>
      <c r="L1167">
        <v>80.08</v>
      </c>
      <c r="M1167">
        <v>2190.73</v>
      </c>
      <c r="N1167">
        <v>74587</v>
      </c>
      <c r="O1167">
        <v>1306.98</v>
      </c>
      <c r="P1167" s="1">
        <v>0.23699999999999999</v>
      </c>
      <c r="Q1167">
        <f t="shared" si="90"/>
        <v>62</v>
      </c>
      <c r="R1167">
        <f t="shared" si="91"/>
        <v>7</v>
      </c>
      <c r="S1167" s="1">
        <f t="shared" si="92"/>
        <v>0.66129032258064513</v>
      </c>
      <c r="T1167">
        <f t="shared" si="93"/>
        <v>0.62</v>
      </c>
      <c r="U1167" t="str">
        <f t="shared" si="94"/>
        <v>Feb</v>
      </c>
    </row>
    <row r="1168" spans="1:21">
      <c r="A1168" s="2">
        <v>46069</v>
      </c>
      <c r="B1168" t="s">
        <v>6</v>
      </c>
      <c r="C1168" t="s">
        <v>36</v>
      </c>
      <c r="D1168" t="s">
        <v>10</v>
      </c>
      <c r="E1168" t="s">
        <v>38</v>
      </c>
      <c r="F1168" t="s">
        <v>49</v>
      </c>
      <c r="G1168">
        <v>40</v>
      </c>
      <c r="H1168">
        <v>17</v>
      </c>
      <c r="I1168">
        <v>35</v>
      </c>
      <c r="J1168">
        <v>39</v>
      </c>
      <c r="K1168">
        <v>101</v>
      </c>
      <c r="L1168">
        <v>132.29</v>
      </c>
      <c r="M1168">
        <v>1829.75</v>
      </c>
      <c r="N1168">
        <v>73065</v>
      </c>
      <c r="O1168">
        <v>1257.01</v>
      </c>
      <c r="P1168" s="1">
        <v>-0.77</v>
      </c>
      <c r="Q1168">
        <f t="shared" si="90"/>
        <v>57</v>
      </c>
      <c r="R1168">
        <f t="shared" si="91"/>
        <v>56</v>
      </c>
      <c r="S1168" s="1">
        <f t="shared" si="92"/>
        <v>0.38596491228070173</v>
      </c>
      <c r="T1168">
        <f t="shared" si="93"/>
        <v>0.56999999999999995</v>
      </c>
      <c r="U1168" t="str">
        <f t="shared" si="94"/>
        <v>Feb</v>
      </c>
    </row>
    <row r="1169" spans="1:21">
      <c r="A1169" s="2">
        <v>46088</v>
      </c>
      <c r="B1169" t="s">
        <v>4</v>
      </c>
      <c r="C1169" t="s">
        <v>34</v>
      </c>
      <c r="D1169" t="s">
        <v>11</v>
      </c>
      <c r="E1169" t="s">
        <v>35</v>
      </c>
      <c r="F1169" t="s">
        <v>45</v>
      </c>
      <c r="G1169">
        <v>86</v>
      </c>
      <c r="H1169">
        <v>40</v>
      </c>
      <c r="I1169">
        <v>69</v>
      </c>
      <c r="J1169">
        <v>63</v>
      </c>
      <c r="K1169">
        <v>245</v>
      </c>
      <c r="L1169">
        <v>118.57</v>
      </c>
      <c r="M1169">
        <v>1903.65</v>
      </c>
      <c r="N1169">
        <v>73388</v>
      </c>
      <c r="O1169">
        <v>1461.89</v>
      </c>
      <c r="P1169" s="1">
        <v>-0.89100000000000001</v>
      </c>
      <c r="Q1169">
        <f t="shared" si="90"/>
        <v>126</v>
      </c>
      <c r="R1169">
        <f t="shared" si="91"/>
        <v>103</v>
      </c>
      <c r="S1169" s="1">
        <f t="shared" si="92"/>
        <v>0.45238095238095238</v>
      </c>
      <c r="T1169">
        <f t="shared" si="93"/>
        <v>1.26</v>
      </c>
      <c r="U1169" t="str">
        <f t="shared" si="94"/>
        <v>Mar</v>
      </c>
    </row>
    <row r="1170" spans="1:21">
      <c r="A1170" s="2">
        <v>46084</v>
      </c>
      <c r="B1170" t="s">
        <v>4</v>
      </c>
      <c r="C1170" t="s">
        <v>43</v>
      </c>
      <c r="D1170" t="s">
        <v>10</v>
      </c>
      <c r="E1170" t="s">
        <v>41</v>
      </c>
      <c r="F1170" t="s">
        <v>45</v>
      </c>
      <c r="G1170">
        <v>111</v>
      </c>
      <c r="H1170">
        <v>67</v>
      </c>
      <c r="I1170">
        <v>3</v>
      </c>
      <c r="J1170">
        <v>103</v>
      </c>
      <c r="K1170">
        <v>207</v>
      </c>
      <c r="L1170">
        <v>127</v>
      </c>
      <c r="M1170">
        <v>1829.37</v>
      </c>
      <c r="N1170">
        <v>72905</v>
      </c>
      <c r="O1170">
        <v>1526.06</v>
      </c>
      <c r="P1170" s="1">
        <v>0.623</v>
      </c>
      <c r="Q1170">
        <f t="shared" si="90"/>
        <v>178</v>
      </c>
      <c r="R1170">
        <f t="shared" si="91"/>
        <v>170</v>
      </c>
      <c r="S1170" s="1">
        <f t="shared" si="92"/>
        <v>0.9831460674157303</v>
      </c>
      <c r="T1170">
        <f t="shared" si="93"/>
        <v>1.78</v>
      </c>
      <c r="U1170" t="str">
        <f t="shared" si="94"/>
        <v>Mar</v>
      </c>
    </row>
    <row r="1171" spans="1:21">
      <c r="A1171" s="2">
        <v>46083</v>
      </c>
      <c r="B1171" t="s">
        <v>6</v>
      </c>
      <c r="C1171" t="s">
        <v>44</v>
      </c>
      <c r="D1171" t="s">
        <v>9</v>
      </c>
      <c r="E1171" t="s">
        <v>32</v>
      </c>
      <c r="F1171" t="s">
        <v>33</v>
      </c>
      <c r="G1171">
        <v>22</v>
      </c>
      <c r="H1171">
        <v>64</v>
      </c>
      <c r="I1171">
        <v>47</v>
      </c>
      <c r="J1171">
        <v>156</v>
      </c>
      <c r="K1171">
        <v>248</v>
      </c>
      <c r="L1171">
        <v>101.57</v>
      </c>
      <c r="M1171">
        <v>2376.73</v>
      </c>
      <c r="N1171">
        <v>73105</v>
      </c>
      <c r="O1171">
        <v>1756.76</v>
      </c>
      <c r="P1171" s="1">
        <v>-8.3000000000000004E-2</v>
      </c>
      <c r="Q1171">
        <f t="shared" si="90"/>
        <v>86</v>
      </c>
      <c r="R1171">
        <f t="shared" si="91"/>
        <v>220</v>
      </c>
      <c r="S1171" s="1">
        <f t="shared" si="92"/>
        <v>0.45348837209302323</v>
      </c>
      <c r="T1171">
        <f t="shared" si="93"/>
        <v>0.86</v>
      </c>
      <c r="U1171" t="str">
        <f t="shared" si="94"/>
        <v>Mar</v>
      </c>
    </row>
    <row r="1172" spans="1:21">
      <c r="A1172" s="2">
        <v>46114</v>
      </c>
      <c r="B1172" t="s">
        <v>6</v>
      </c>
      <c r="C1172" t="s">
        <v>43</v>
      </c>
      <c r="D1172" t="s">
        <v>11</v>
      </c>
      <c r="E1172" t="s">
        <v>35</v>
      </c>
      <c r="F1172" t="s">
        <v>33</v>
      </c>
      <c r="G1172">
        <v>11</v>
      </c>
      <c r="H1172">
        <v>77</v>
      </c>
      <c r="I1172">
        <v>14</v>
      </c>
      <c r="J1172">
        <v>144</v>
      </c>
      <c r="K1172">
        <v>204</v>
      </c>
      <c r="L1172">
        <v>80.069999999999993</v>
      </c>
      <c r="M1172">
        <v>2153.17</v>
      </c>
      <c r="N1172">
        <v>75624</v>
      </c>
      <c r="O1172">
        <v>1103.53</v>
      </c>
      <c r="P1172" s="1">
        <v>-0.7</v>
      </c>
      <c r="Q1172">
        <f t="shared" si="90"/>
        <v>88</v>
      </c>
      <c r="R1172">
        <f t="shared" si="91"/>
        <v>221</v>
      </c>
      <c r="S1172" s="1">
        <f t="shared" si="92"/>
        <v>0.84090909090909094</v>
      </c>
      <c r="T1172">
        <f t="shared" si="93"/>
        <v>0.88</v>
      </c>
      <c r="U1172" t="str">
        <f t="shared" si="94"/>
        <v>Apr</v>
      </c>
    </row>
    <row r="1173" spans="1:21">
      <c r="A1173" s="2">
        <v>46110</v>
      </c>
      <c r="B1173" t="s">
        <v>4</v>
      </c>
      <c r="C1173" t="s">
        <v>40</v>
      </c>
      <c r="D1173" t="s">
        <v>5</v>
      </c>
      <c r="E1173" t="s">
        <v>47</v>
      </c>
      <c r="F1173" t="s">
        <v>45</v>
      </c>
      <c r="G1173">
        <v>85</v>
      </c>
      <c r="H1173">
        <v>53</v>
      </c>
      <c r="I1173">
        <v>24</v>
      </c>
      <c r="J1173">
        <v>6</v>
      </c>
      <c r="K1173">
        <v>104</v>
      </c>
      <c r="L1173">
        <v>83.08</v>
      </c>
      <c r="M1173">
        <v>2494.17</v>
      </c>
      <c r="N1173">
        <v>67248</v>
      </c>
      <c r="O1173">
        <v>970.21</v>
      </c>
      <c r="P1173" s="1">
        <v>-0.58099999999999996</v>
      </c>
      <c r="Q1173">
        <f t="shared" si="90"/>
        <v>138</v>
      </c>
      <c r="R1173">
        <f t="shared" si="91"/>
        <v>59</v>
      </c>
      <c r="S1173" s="1">
        <f t="shared" si="92"/>
        <v>0.82608695652173914</v>
      </c>
      <c r="T1173">
        <f t="shared" si="93"/>
        <v>1.38</v>
      </c>
      <c r="U1173" t="str">
        <f t="shared" si="94"/>
        <v>Mar</v>
      </c>
    </row>
    <row r="1174" spans="1:21">
      <c r="A1174" s="2">
        <v>46094</v>
      </c>
      <c r="B1174" t="s">
        <v>4</v>
      </c>
      <c r="C1174" t="s">
        <v>48</v>
      </c>
      <c r="D1174" t="s">
        <v>7</v>
      </c>
      <c r="E1174" t="s">
        <v>41</v>
      </c>
      <c r="F1174" t="s">
        <v>45</v>
      </c>
      <c r="G1174">
        <v>94</v>
      </c>
      <c r="H1174">
        <v>20</v>
      </c>
      <c r="I1174">
        <v>41</v>
      </c>
      <c r="J1174">
        <v>22</v>
      </c>
      <c r="K1174">
        <v>276</v>
      </c>
      <c r="L1174">
        <v>107.52</v>
      </c>
      <c r="M1174">
        <v>2155.67</v>
      </c>
      <c r="N1174">
        <v>71451</v>
      </c>
      <c r="O1174">
        <v>1401.43</v>
      </c>
      <c r="P1174" s="1">
        <v>0.28100000000000003</v>
      </c>
      <c r="Q1174">
        <f t="shared" si="90"/>
        <v>114</v>
      </c>
      <c r="R1174">
        <f t="shared" si="91"/>
        <v>42</v>
      </c>
      <c r="S1174" s="1">
        <f t="shared" si="92"/>
        <v>0.64035087719298245</v>
      </c>
      <c r="T1174">
        <f t="shared" si="93"/>
        <v>1.1399999999999999</v>
      </c>
      <c r="U1174" t="str">
        <f t="shared" si="94"/>
        <v>Mar</v>
      </c>
    </row>
    <row r="1175" spans="1:21">
      <c r="A1175" s="2">
        <v>46125</v>
      </c>
      <c r="B1175" t="s">
        <v>6</v>
      </c>
      <c r="C1175" t="s">
        <v>34</v>
      </c>
      <c r="D1175" t="s">
        <v>10</v>
      </c>
      <c r="E1175" t="s">
        <v>35</v>
      </c>
      <c r="F1175" t="s">
        <v>45</v>
      </c>
      <c r="G1175">
        <v>31</v>
      </c>
      <c r="H1175">
        <v>53</v>
      </c>
      <c r="I1175">
        <v>42</v>
      </c>
      <c r="J1175">
        <v>11</v>
      </c>
      <c r="K1175">
        <v>136</v>
      </c>
      <c r="L1175">
        <v>119.33</v>
      </c>
      <c r="M1175">
        <v>2278.0500000000002</v>
      </c>
      <c r="N1175">
        <v>73026</v>
      </c>
      <c r="O1175">
        <v>1294.05</v>
      </c>
      <c r="P1175" s="1">
        <v>-0.44800000000000001</v>
      </c>
      <c r="Q1175">
        <f t="shared" si="90"/>
        <v>84</v>
      </c>
      <c r="R1175">
        <f t="shared" si="91"/>
        <v>64</v>
      </c>
      <c r="S1175" s="1">
        <f t="shared" si="92"/>
        <v>0.5</v>
      </c>
      <c r="T1175">
        <f t="shared" si="93"/>
        <v>0.84</v>
      </c>
      <c r="U1175" t="str">
        <f t="shared" si="94"/>
        <v>Apr</v>
      </c>
    </row>
    <row r="1176" spans="1:21">
      <c r="A1176" s="2">
        <v>46103</v>
      </c>
      <c r="B1176" t="s">
        <v>6</v>
      </c>
      <c r="C1176" t="s">
        <v>50</v>
      </c>
      <c r="D1176" t="s">
        <v>10</v>
      </c>
      <c r="E1176" t="s">
        <v>38</v>
      </c>
      <c r="F1176" t="s">
        <v>45</v>
      </c>
      <c r="G1176">
        <v>14</v>
      </c>
      <c r="H1176">
        <v>44</v>
      </c>
      <c r="I1176">
        <v>84</v>
      </c>
      <c r="J1176">
        <v>126</v>
      </c>
      <c r="K1176">
        <v>246</v>
      </c>
      <c r="L1176">
        <v>107.54</v>
      </c>
      <c r="M1176">
        <v>2242.0100000000002</v>
      </c>
      <c r="N1176">
        <v>69927</v>
      </c>
      <c r="O1176">
        <v>1176.07</v>
      </c>
      <c r="P1176" s="1">
        <v>5.0000000000000001E-3</v>
      </c>
      <c r="Q1176">
        <f t="shared" si="90"/>
        <v>58</v>
      </c>
      <c r="R1176">
        <f t="shared" si="91"/>
        <v>170</v>
      </c>
      <c r="S1176" s="1">
        <f t="shared" si="92"/>
        <v>-0.44827586206896552</v>
      </c>
      <c r="T1176">
        <f t="shared" si="93"/>
        <v>0.57999999999999996</v>
      </c>
      <c r="U1176" t="str">
        <f t="shared" si="94"/>
        <v>Mar</v>
      </c>
    </row>
    <row r="1177" spans="1:21">
      <c r="A1177" s="2">
        <v>46070</v>
      </c>
      <c r="B1177" t="s">
        <v>6</v>
      </c>
      <c r="C1177" t="s">
        <v>34</v>
      </c>
      <c r="D1177" t="s">
        <v>5</v>
      </c>
      <c r="E1177" t="s">
        <v>32</v>
      </c>
      <c r="F1177" t="s">
        <v>39</v>
      </c>
      <c r="G1177">
        <v>13</v>
      </c>
      <c r="H1177">
        <v>53</v>
      </c>
      <c r="I1177">
        <v>13</v>
      </c>
      <c r="J1177">
        <v>74</v>
      </c>
      <c r="K1177">
        <v>406</v>
      </c>
      <c r="L1177">
        <v>128.54</v>
      </c>
      <c r="M1177">
        <v>2328.21</v>
      </c>
      <c r="N1177">
        <v>75496</v>
      </c>
      <c r="O1177">
        <v>1438.31</v>
      </c>
      <c r="P1177" s="1">
        <v>0.253</v>
      </c>
      <c r="Q1177">
        <f t="shared" si="90"/>
        <v>66</v>
      </c>
      <c r="R1177">
        <f t="shared" si="91"/>
        <v>127</v>
      </c>
      <c r="S1177" s="1">
        <f t="shared" si="92"/>
        <v>0.80303030303030298</v>
      </c>
      <c r="T1177">
        <f t="shared" si="93"/>
        <v>0.66</v>
      </c>
      <c r="U1177" t="str">
        <f t="shared" si="94"/>
        <v>Feb</v>
      </c>
    </row>
    <row r="1178" spans="1:21">
      <c r="A1178" s="2">
        <v>46087</v>
      </c>
      <c r="B1178" t="s">
        <v>4</v>
      </c>
      <c r="C1178" t="s">
        <v>43</v>
      </c>
      <c r="D1178" t="s">
        <v>7</v>
      </c>
      <c r="E1178" t="s">
        <v>37</v>
      </c>
      <c r="F1178" t="s">
        <v>39</v>
      </c>
      <c r="G1178">
        <v>94</v>
      </c>
      <c r="H1178">
        <v>71</v>
      </c>
      <c r="I1178">
        <v>52</v>
      </c>
      <c r="J1178">
        <v>0</v>
      </c>
      <c r="K1178">
        <v>219</v>
      </c>
      <c r="L1178">
        <v>92.52</v>
      </c>
      <c r="M1178">
        <v>2355.4699999999998</v>
      </c>
      <c r="N1178">
        <v>73147</v>
      </c>
      <c r="O1178">
        <v>1299.1199999999999</v>
      </c>
      <c r="P1178" s="1">
        <v>1.7999999999999999E-2</v>
      </c>
      <c r="Q1178">
        <f t="shared" si="90"/>
        <v>165</v>
      </c>
      <c r="R1178">
        <f t="shared" si="91"/>
        <v>71</v>
      </c>
      <c r="S1178" s="1">
        <f t="shared" si="92"/>
        <v>0.68484848484848482</v>
      </c>
      <c r="T1178">
        <f t="shared" si="93"/>
        <v>1.65</v>
      </c>
      <c r="U1178" t="str">
        <f t="shared" si="94"/>
        <v>Mar</v>
      </c>
    </row>
    <row r="1179" spans="1:21">
      <c r="A1179" s="2">
        <v>46073</v>
      </c>
      <c r="B1179" t="s">
        <v>6</v>
      </c>
      <c r="C1179" t="s">
        <v>43</v>
      </c>
      <c r="D1179" t="s">
        <v>11</v>
      </c>
      <c r="E1179" t="s">
        <v>32</v>
      </c>
      <c r="F1179" t="s">
        <v>39</v>
      </c>
      <c r="G1179">
        <v>13</v>
      </c>
      <c r="H1179">
        <v>11</v>
      </c>
      <c r="I1179">
        <v>23</v>
      </c>
      <c r="J1179">
        <v>90</v>
      </c>
      <c r="K1179">
        <v>390</v>
      </c>
      <c r="L1179">
        <v>97.7</v>
      </c>
      <c r="M1179">
        <v>2184.8200000000002</v>
      </c>
      <c r="N1179">
        <v>64328</v>
      </c>
      <c r="O1179">
        <v>940.77</v>
      </c>
      <c r="P1179" s="1">
        <v>3.5000000000000003E-2</v>
      </c>
      <c r="Q1179">
        <f t="shared" si="90"/>
        <v>24</v>
      </c>
      <c r="R1179">
        <f t="shared" si="91"/>
        <v>101</v>
      </c>
      <c r="S1179" s="1">
        <f t="shared" si="92"/>
        <v>4.1666666666666664E-2</v>
      </c>
      <c r="T1179">
        <f t="shared" si="93"/>
        <v>0.24</v>
      </c>
      <c r="U1179" t="str">
        <f t="shared" si="94"/>
        <v>Feb</v>
      </c>
    </row>
    <row r="1180" spans="1:21">
      <c r="A1180" s="2">
        <v>46081</v>
      </c>
      <c r="B1180" t="s">
        <v>6</v>
      </c>
      <c r="C1180" t="s">
        <v>40</v>
      </c>
      <c r="D1180" t="s">
        <v>9</v>
      </c>
      <c r="E1180" t="s">
        <v>41</v>
      </c>
      <c r="F1180" t="s">
        <v>39</v>
      </c>
      <c r="G1180">
        <v>114</v>
      </c>
      <c r="H1180">
        <v>70</v>
      </c>
      <c r="I1180">
        <v>4</v>
      </c>
      <c r="J1180">
        <v>65</v>
      </c>
      <c r="K1180">
        <v>401</v>
      </c>
      <c r="L1180">
        <v>118.73</v>
      </c>
      <c r="M1180">
        <v>2091.21</v>
      </c>
      <c r="N1180">
        <v>67533</v>
      </c>
      <c r="O1180">
        <v>1723.31</v>
      </c>
      <c r="P1180" s="1">
        <v>0.33900000000000002</v>
      </c>
      <c r="Q1180">
        <f t="shared" si="90"/>
        <v>184</v>
      </c>
      <c r="R1180">
        <f t="shared" si="91"/>
        <v>135</v>
      </c>
      <c r="S1180" s="1">
        <f t="shared" si="92"/>
        <v>0.97826086956521741</v>
      </c>
      <c r="T1180">
        <f t="shared" si="93"/>
        <v>1.84</v>
      </c>
      <c r="U1180" t="str">
        <f t="shared" si="94"/>
        <v>Feb</v>
      </c>
    </row>
    <row r="1181" spans="1:21">
      <c r="A1181" s="2">
        <v>46070</v>
      </c>
      <c r="B1181" t="s">
        <v>4</v>
      </c>
      <c r="C1181" t="s">
        <v>46</v>
      </c>
      <c r="D1181" t="s">
        <v>5</v>
      </c>
      <c r="E1181" t="s">
        <v>38</v>
      </c>
      <c r="F1181" t="s">
        <v>45</v>
      </c>
      <c r="G1181">
        <v>93</v>
      </c>
      <c r="H1181">
        <v>69</v>
      </c>
      <c r="I1181">
        <v>53</v>
      </c>
      <c r="J1181">
        <v>39</v>
      </c>
      <c r="K1181">
        <v>364</v>
      </c>
      <c r="L1181">
        <v>138.94</v>
      </c>
      <c r="M1181">
        <v>1930.71</v>
      </c>
      <c r="N1181">
        <v>67352</v>
      </c>
      <c r="O1181">
        <v>964.41</v>
      </c>
      <c r="P1181" s="1">
        <v>-0.93400000000000005</v>
      </c>
      <c r="Q1181">
        <f t="shared" si="90"/>
        <v>162</v>
      </c>
      <c r="R1181">
        <f t="shared" si="91"/>
        <v>108</v>
      </c>
      <c r="S1181" s="1">
        <f t="shared" si="92"/>
        <v>0.6728395061728395</v>
      </c>
      <c r="T1181">
        <f t="shared" si="93"/>
        <v>1.62</v>
      </c>
      <c r="U1181" t="str">
        <f t="shared" si="94"/>
        <v>Feb</v>
      </c>
    </row>
    <row r="1182" spans="1:21">
      <c r="A1182" s="2">
        <v>46100</v>
      </c>
      <c r="B1182" t="s">
        <v>4</v>
      </c>
      <c r="C1182" t="s">
        <v>31</v>
      </c>
      <c r="D1182" t="s">
        <v>10</v>
      </c>
      <c r="E1182" t="s">
        <v>41</v>
      </c>
      <c r="F1182" t="s">
        <v>33</v>
      </c>
      <c r="G1182">
        <v>31</v>
      </c>
      <c r="H1182">
        <v>66</v>
      </c>
      <c r="I1182">
        <v>21</v>
      </c>
      <c r="J1182">
        <v>78</v>
      </c>
      <c r="K1182">
        <v>382</v>
      </c>
      <c r="L1182">
        <v>121.9</v>
      </c>
      <c r="M1182">
        <v>2235.4</v>
      </c>
      <c r="N1182">
        <v>70826</v>
      </c>
      <c r="O1182">
        <v>1360.29</v>
      </c>
      <c r="P1182" s="1">
        <v>-0.73199999999999998</v>
      </c>
      <c r="Q1182">
        <f t="shared" si="90"/>
        <v>97</v>
      </c>
      <c r="R1182">
        <f t="shared" si="91"/>
        <v>144</v>
      </c>
      <c r="S1182" s="1">
        <f t="shared" si="92"/>
        <v>0.78350515463917525</v>
      </c>
      <c r="T1182">
        <f t="shared" si="93"/>
        <v>0.97</v>
      </c>
      <c r="U1182" t="str">
        <f t="shared" si="94"/>
        <v>Mar</v>
      </c>
    </row>
    <row r="1183" spans="1:21">
      <c r="A1183" s="2">
        <v>46108</v>
      </c>
      <c r="B1183" t="s">
        <v>6</v>
      </c>
      <c r="C1183" t="s">
        <v>43</v>
      </c>
      <c r="D1183" t="s">
        <v>5</v>
      </c>
      <c r="E1183" t="s">
        <v>42</v>
      </c>
      <c r="F1183" t="s">
        <v>49</v>
      </c>
      <c r="G1183">
        <v>23</v>
      </c>
      <c r="H1183">
        <v>46</v>
      </c>
      <c r="I1183">
        <v>75</v>
      </c>
      <c r="J1183">
        <v>145</v>
      </c>
      <c r="K1183">
        <v>274</v>
      </c>
      <c r="L1183">
        <v>105.95</v>
      </c>
      <c r="M1183">
        <v>2463.5300000000002</v>
      </c>
      <c r="N1183">
        <v>71265</v>
      </c>
      <c r="O1183">
        <v>1455.41</v>
      </c>
      <c r="P1183" s="1">
        <v>-0.63700000000000001</v>
      </c>
      <c r="Q1183">
        <f t="shared" si="90"/>
        <v>69</v>
      </c>
      <c r="R1183">
        <f t="shared" si="91"/>
        <v>191</v>
      </c>
      <c r="S1183" s="1">
        <f t="shared" si="92"/>
        <v>-8.6956521739130432E-2</v>
      </c>
      <c r="T1183">
        <f t="shared" si="93"/>
        <v>0.69</v>
      </c>
      <c r="U1183" t="str">
        <f t="shared" si="94"/>
        <v>Mar</v>
      </c>
    </row>
    <row r="1184" spans="1:21">
      <c r="A1184" s="2">
        <v>46106</v>
      </c>
      <c r="B1184" t="s">
        <v>6</v>
      </c>
      <c r="C1184" t="s">
        <v>46</v>
      </c>
      <c r="D1184" t="s">
        <v>7</v>
      </c>
      <c r="E1184" t="s">
        <v>37</v>
      </c>
      <c r="F1184" t="s">
        <v>33</v>
      </c>
      <c r="G1184">
        <v>98</v>
      </c>
      <c r="H1184">
        <v>25</v>
      </c>
      <c r="I1184">
        <v>32</v>
      </c>
      <c r="J1184">
        <v>91</v>
      </c>
      <c r="K1184">
        <v>263</v>
      </c>
      <c r="L1184">
        <v>122.04</v>
      </c>
      <c r="M1184">
        <v>2144.19</v>
      </c>
      <c r="N1184">
        <v>72882</v>
      </c>
      <c r="O1184">
        <v>1073.44</v>
      </c>
      <c r="P1184" s="1">
        <v>0.89100000000000001</v>
      </c>
      <c r="Q1184">
        <f t="shared" si="90"/>
        <v>123</v>
      </c>
      <c r="R1184">
        <f t="shared" si="91"/>
        <v>116</v>
      </c>
      <c r="S1184" s="1">
        <f t="shared" si="92"/>
        <v>0.73983739837398377</v>
      </c>
      <c r="T1184">
        <f t="shared" si="93"/>
        <v>1.23</v>
      </c>
      <c r="U1184" t="str">
        <f t="shared" si="94"/>
        <v>Mar</v>
      </c>
    </row>
    <row r="1185" spans="1:21">
      <c r="A1185" s="2">
        <v>46099</v>
      </c>
      <c r="B1185" t="s">
        <v>6</v>
      </c>
      <c r="C1185" t="s">
        <v>34</v>
      </c>
      <c r="D1185" t="s">
        <v>11</v>
      </c>
      <c r="E1185" t="s">
        <v>32</v>
      </c>
      <c r="F1185" t="s">
        <v>33</v>
      </c>
      <c r="G1185">
        <v>69</v>
      </c>
      <c r="H1185">
        <v>73</v>
      </c>
      <c r="I1185">
        <v>45</v>
      </c>
      <c r="J1185">
        <v>66</v>
      </c>
      <c r="K1185">
        <v>397</v>
      </c>
      <c r="L1185">
        <v>87.44</v>
      </c>
      <c r="M1185">
        <v>2291.4</v>
      </c>
      <c r="N1185">
        <v>73146</v>
      </c>
      <c r="O1185">
        <v>1199.03</v>
      </c>
      <c r="P1185" s="1">
        <v>0.873</v>
      </c>
      <c r="Q1185">
        <f t="shared" si="90"/>
        <v>142</v>
      </c>
      <c r="R1185">
        <f t="shared" si="91"/>
        <v>139</v>
      </c>
      <c r="S1185" s="1">
        <f t="shared" si="92"/>
        <v>0.68309859154929575</v>
      </c>
      <c r="T1185">
        <f t="shared" si="93"/>
        <v>1.42</v>
      </c>
      <c r="U1185" t="str">
        <f t="shared" si="94"/>
        <v>Mar</v>
      </c>
    </row>
    <row r="1186" spans="1:21">
      <c r="A1186" s="2">
        <v>46079</v>
      </c>
      <c r="B1186" t="s">
        <v>6</v>
      </c>
      <c r="C1186" t="s">
        <v>43</v>
      </c>
      <c r="D1186" t="s">
        <v>10</v>
      </c>
      <c r="E1186" t="s">
        <v>37</v>
      </c>
      <c r="F1186" t="s">
        <v>33</v>
      </c>
      <c r="G1186">
        <v>73</v>
      </c>
      <c r="H1186">
        <v>56</v>
      </c>
      <c r="I1186">
        <v>66</v>
      </c>
      <c r="J1186">
        <v>82</v>
      </c>
      <c r="K1186">
        <v>406</v>
      </c>
      <c r="L1186">
        <v>97.52</v>
      </c>
      <c r="M1186">
        <v>2016.35</v>
      </c>
      <c r="N1186">
        <v>72190</v>
      </c>
      <c r="O1186">
        <v>1517.75</v>
      </c>
      <c r="P1186" s="1">
        <v>-0.38400000000000001</v>
      </c>
      <c r="Q1186">
        <f t="shared" si="90"/>
        <v>129</v>
      </c>
      <c r="R1186">
        <f t="shared" si="91"/>
        <v>138</v>
      </c>
      <c r="S1186" s="1">
        <f t="shared" si="92"/>
        <v>0.48837209302325579</v>
      </c>
      <c r="T1186">
        <f t="shared" si="93"/>
        <v>1.29</v>
      </c>
      <c r="U1186" t="str">
        <f t="shared" si="94"/>
        <v>Feb</v>
      </c>
    </row>
    <row r="1187" spans="1:21">
      <c r="A1187" s="2">
        <v>46090</v>
      </c>
      <c r="B1187" t="s">
        <v>6</v>
      </c>
      <c r="C1187" t="s">
        <v>46</v>
      </c>
      <c r="D1187" t="s">
        <v>5</v>
      </c>
      <c r="E1187" t="s">
        <v>41</v>
      </c>
      <c r="F1187" t="s">
        <v>33</v>
      </c>
      <c r="G1187">
        <v>22</v>
      </c>
      <c r="H1187">
        <v>46</v>
      </c>
      <c r="I1187">
        <v>47</v>
      </c>
      <c r="J1187">
        <v>27</v>
      </c>
      <c r="K1187">
        <v>416</v>
      </c>
      <c r="L1187">
        <v>117.85</v>
      </c>
      <c r="M1187">
        <v>2321.58</v>
      </c>
      <c r="N1187">
        <v>67859</v>
      </c>
      <c r="O1187">
        <v>1667.02</v>
      </c>
      <c r="P1187" s="1">
        <v>-0.245</v>
      </c>
      <c r="Q1187">
        <f t="shared" si="90"/>
        <v>68</v>
      </c>
      <c r="R1187">
        <f t="shared" si="91"/>
        <v>73</v>
      </c>
      <c r="S1187" s="1">
        <f t="shared" si="92"/>
        <v>0.30882352941176472</v>
      </c>
      <c r="T1187">
        <f t="shared" si="93"/>
        <v>0.68</v>
      </c>
      <c r="U1187" t="str">
        <f t="shared" si="94"/>
        <v>Mar</v>
      </c>
    </row>
    <row r="1188" spans="1:21">
      <c r="A1188" s="2">
        <v>46068</v>
      </c>
      <c r="B1188" t="s">
        <v>4</v>
      </c>
      <c r="C1188" t="s">
        <v>31</v>
      </c>
      <c r="D1188" t="s">
        <v>5</v>
      </c>
      <c r="E1188" t="s">
        <v>47</v>
      </c>
      <c r="F1188" t="s">
        <v>49</v>
      </c>
      <c r="G1188">
        <v>0</v>
      </c>
      <c r="H1188">
        <v>15</v>
      </c>
      <c r="I1188">
        <v>66</v>
      </c>
      <c r="J1188">
        <v>135</v>
      </c>
      <c r="K1188">
        <v>226</v>
      </c>
      <c r="L1188">
        <v>120.94</v>
      </c>
      <c r="M1188">
        <v>2446.48</v>
      </c>
      <c r="N1188">
        <v>72021</v>
      </c>
      <c r="O1188">
        <v>1185.73</v>
      </c>
      <c r="P1188" s="1">
        <v>0.91100000000000003</v>
      </c>
      <c r="Q1188">
        <f t="shared" si="90"/>
        <v>15</v>
      </c>
      <c r="R1188">
        <f t="shared" si="91"/>
        <v>150</v>
      </c>
      <c r="S1188" s="1">
        <f t="shared" si="92"/>
        <v>-3.4</v>
      </c>
      <c r="T1188">
        <f t="shared" si="93"/>
        <v>0.15</v>
      </c>
      <c r="U1188" t="str">
        <f t="shared" si="94"/>
        <v>Feb</v>
      </c>
    </row>
    <row r="1189" spans="1:21">
      <c r="A1189" s="2">
        <v>46089</v>
      </c>
      <c r="B1189" t="s">
        <v>4</v>
      </c>
      <c r="C1189" t="s">
        <v>36</v>
      </c>
      <c r="D1189" t="s">
        <v>10</v>
      </c>
      <c r="E1189" t="s">
        <v>42</v>
      </c>
      <c r="F1189" t="s">
        <v>33</v>
      </c>
      <c r="G1189">
        <v>25</v>
      </c>
      <c r="H1189">
        <v>62</v>
      </c>
      <c r="I1189">
        <v>30</v>
      </c>
      <c r="J1189">
        <v>38</v>
      </c>
      <c r="K1189">
        <v>13</v>
      </c>
      <c r="L1189">
        <v>130.30000000000001</v>
      </c>
      <c r="M1189">
        <v>1996.17</v>
      </c>
      <c r="N1189">
        <v>66628</v>
      </c>
      <c r="O1189">
        <v>1763.02</v>
      </c>
      <c r="P1189" s="1">
        <v>-0.91200000000000003</v>
      </c>
      <c r="Q1189">
        <f t="shared" si="90"/>
        <v>87</v>
      </c>
      <c r="R1189">
        <f t="shared" si="91"/>
        <v>100</v>
      </c>
      <c r="S1189" s="1">
        <f t="shared" si="92"/>
        <v>0.65517241379310343</v>
      </c>
      <c r="T1189">
        <f t="shared" si="93"/>
        <v>0.87</v>
      </c>
      <c r="U1189" t="str">
        <f t="shared" si="94"/>
        <v>Mar</v>
      </c>
    </row>
    <row r="1190" spans="1:21">
      <c r="A1190" s="2">
        <v>46111</v>
      </c>
      <c r="B1190" t="s">
        <v>4</v>
      </c>
      <c r="C1190" t="s">
        <v>50</v>
      </c>
      <c r="D1190" t="s">
        <v>9</v>
      </c>
      <c r="E1190" t="s">
        <v>47</v>
      </c>
      <c r="F1190" t="s">
        <v>33</v>
      </c>
      <c r="G1190">
        <v>23</v>
      </c>
      <c r="H1190">
        <v>25</v>
      </c>
      <c r="I1190">
        <v>45</v>
      </c>
      <c r="J1190">
        <v>135</v>
      </c>
      <c r="K1190">
        <v>399</v>
      </c>
      <c r="L1190">
        <v>90.5</v>
      </c>
      <c r="M1190">
        <v>2185.9899999999998</v>
      </c>
      <c r="N1190">
        <v>68686</v>
      </c>
      <c r="O1190">
        <v>1648.47</v>
      </c>
      <c r="P1190" s="1">
        <v>-0.54100000000000004</v>
      </c>
      <c r="Q1190">
        <f t="shared" si="90"/>
        <v>48</v>
      </c>
      <c r="R1190">
        <f t="shared" si="91"/>
        <v>160</v>
      </c>
      <c r="S1190" s="1">
        <f t="shared" si="92"/>
        <v>6.25E-2</v>
      </c>
      <c r="T1190">
        <f t="shared" si="93"/>
        <v>0.48</v>
      </c>
      <c r="U1190" t="str">
        <f t="shared" si="94"/>
        <v>Mar</v>
      </c>
    </row>
    <row r="1191" spans="1:21">
      <c r="A1191" s="2">
        <v>46069</v>
      </c>
      <c r="B1191" t="s">
        <v>6</v>
      </c>
      <c r="C1191" t="s">
        <v>51</v>
      </c>
      <c r="D1191" t="s">
        <v>5</v>
      </c>
      <c r="E1191" t="s">
        <v>32</v>
      </c>
      <c r="F1191" t="s">
        <v>49</v>
      </c>
      <c r="G1191">
        <v>91</v>
      </c>
      <c r="H1191">
        <v>44</v>
      </c>
      <c r="I1191">
        <v>62</v>
      </c>
      <c r="J1191">
        <v>44</v>
      </c>
      <c r="K1191">
        <v>108</v>
      </c>
      <c r="L1191">
        <v>81.55</v>
      </c>
      <c r="M1191">
        <v>2425.4499999999998</v>
      </c>
      <c r="N1191">
        <v>73440</v>
      </c>
      <c r="O1191">
        <v>1565.92</v>
      </c>
      <c r="P1191" s="1">
        <v>0.28899999999999998</v>
      </c>
      <c r="Q1191">
        <f t="shared" si="90"/>
        <v>135</v>
      </c>
      <c r="R1191">
        <f t="shared" si="91"/>
        <v>88</v>
      </c>
      <c r="S1191" s="1">
        <f t="shared" si="92"/>
        <v>0.54074074074074074</v>
      </c>
      <c r="T1191">
        <f t="shared" si="93"/>
        <v>1.35</v>
      </c>
      <c r="U1191" t="str">
        <f t="shared" si="94"/>
        <v>Feb</v>
      </c>
    </row>
    <row r="1192" spans="1:21">
      <c r="A1192" s="2">
        <v>46082</v>
      </c>
      <c r="B1192" t="s">
        <v>6</v>
      </c>
      <c r="C1192" t="s">
        <v>43</v>
      </c>
      <c r="D1192" t="s">
        <v>10</v>
      </c>
      <c r="E1192" t="s">
        <v>47</v>
      </c>
      <c r="F1192" t="s">
        <v>45</v>
      </c>
      <c r="G1192">
        <v>94</v>
      </c>
      <c r="H1192">
        <v>58</v>
      </c>
      <c r="I1192">
        <v>88</v>
      </c>
      <c r="J1192">
        <v>3</v>
      </c>
      <c r="K1192">
        <v>143</v>
      </c>
      <c r="L1192">
        <v>112.17</v>
      </c>
      <c r="M1192">
        <v>2405.5100000000002</v>
      </c>
      <c r="N1192">
        <v>73721</v>
      </c>
      <c r="O1192">
        <v>954.38</v>
      </c>
      <c r="P1192" s="1">
        <v>-3.3000000000000002E-2</v>
      </c>
      <c r="Q1192">
        <f t="shared" si="90"/>
        <v>152</v>
      </c>
      <c r="R1192">
        <f t="shared" si="91"/>
        <v>61</v>
      </c>
      <c r="S1192" s="1">
        <f t="shared" si="92"/>
        <v>0.42105263157894735</v>
      </c>
      <c r="T1192">
        <f t="shared" si="93"/>
        <v>1.52</v>
      </c>
      <c r="U1192" t="str">
        <f t="shared" si="94"/>
        <v>Mar</v>
      </c>
    </row>
    <row r="1193" spans="1:21">
      <c r="A1193" s="2">
        <v>46086</v>
      </c>
      <c r="B1193" t="s">
        <v>4</v>
      </c>
      <c r="C1193" t="s">
        <v>48</v>
      </c>
      <c r="D1193" t="s">
        <v>7</v>
      </c>
      <c r="E1193" t="s">
        <v>41</v>
      </c>
      <c r="F1193" t="s">
        <v>33</v>
      </c>
      <c r="G1193">
        <v>101</v>
      </c>
      <c r="H1193">
        <v>44</v>
      </c>
      <c r="I1193">
        <v>88</v>
      </c>
      <c r="J1193">
        <v>34</v>
      </c>
      <c r="K1193">
        <v>324</v>
      </c>
      <c r="L1193">
        <v>132.82</v>
      </c>
      <c r="M1193">
        <v>2357.34</v>
      </c>
      <c r="N1193">
        <v>67568</v>
      </c>
      <c r="O1193">
        <v>1510</v>
      </c>
      <c r="P1193" s="1">
        <v>0.52200000000000002</v>
      </c>
      <c r="Q1193">
        <f t="shared" si="90"/>
        <v>145</v>
      </c>
      <c r="R1193">
        <f t="shared" si="91"/>
        <v>78</v>
      </c>
      <c r="S1193" s="1">
        <f t="shared" si="92"/>
        <v>0.39310344827586208</v>
      </c>
      <c r="T1193">
        <f t="shared" si="93"/>
        <v>1.45</v>
      </c>
      <c r="U1193" t="str">
        <f t="shared" si="94"/>
        <v>Mar</v>
      </c>
    </row>
    <row r="1194" spans="1:21">
      <c r="A1194" s="2">
        <v>46123</v>
      </c>
      <c r="B1194" t="s">
        <v>4</v>
      </c>
      <c r="C1194" t="s">
        <v>36</v>
      </c>
      <c r="D1194" t="s">
        <v>11</v>
      </c>
      <c r="E1194" t="s">
        <v>35</v>
      </c>
      <c r="F1194" t="s">
        <v>45</v>
      </c>
      <c r="G1194">
        <v>16</v>
      </c>
      <c r="H1194">
        <v>67</v>
      </c>
      <c r="I1194">
        <v>49</v>
      </c>
      <c r="J1194">
        <v>98</v>
      </c>
      <c r="K1194">
        <v>193</v>
      </c>
      <c r="L1194">
        <v>107.26</v>
      </c>
      <c r="M1194">
        <v>2043.68</v>
      </c>
      <c r="N1194">
        <v>65232</v>
      </c>
      <c r="O1194">
        <v>1601.81</v>
      </c>
      <c r="P1194" s="1">
        <v>-0.92800000000000005</v>
      </c>
      <c r="Q1194">
        <f t="shared" si="90"/>
        <v>83</v>
      </c>
      <c r="R1194">
        <f t="shared" si="91"/>
        <v>165</v>
      </c>
      <c r="S1194" s="1">
        <f t="shared" si="92"/>
        <v>0.40963855421686746</v>
      </c>
      <c r="T1194">
        <f t="shared" si="93"/>
        <v>0.83</v>
      </c>
      <c r="U1194" t="str">
        <f t="shared" si="94"/>
        <v>Apr</v>
      </c>
    </row>
    <row r="1195" spans="1:21">
      <c r="A1195" s="2">
        <v>46103</v>
      </c>
      <c r="B1195" t="s">
        <v>6</v>
      </c>
      <c r="C1195" t="s">
        <v>43</v>
      </c>
      <c r="D1195" t="s">
        <v>5</v>
      </c>
      <c r="E1195" t="s">
        <v>41</v>
      </c>
      <c r="F1195" t="s">
        <v>33</v>
      </c>
      <c r="G1195">
        <v>105</v>
      </c>
      <c r="H1195">
        <v>17</v>
      </c>
      <c r="I1195">
        <v>69</v>
      </c>
      <c r="J1195">
        <v>55</v>
      </c>
      <c r="K1195">
        <v>385</v>
      </c>
      <c r="L1195">
        <v>81.28</v>
      </c>
      <c r="M1195">
        <v>2487.04</v>
      </c>
      <c r="N1195">
        <v>72035</v>
      </c>
      <c r="O1195">
        <v>967.59</v>
      </c>
      <c r="P1195" s="1">
        <v>-0.41299999999999998</v>
      </c>
      <c r="Q1195">
        <f t="shared" si="90"/>
        <v>122</v>
      </c>
      <c r="R1195">
        <f t="shared" si="91"/>
        <v>72</v>
      </c>
      <c r="S1195" s="1">
        <f t="shared" si="92"/>
        <v>0.4344262295081967</v>
      </c>
      <c r="T1195">
        <f t="shared" si="93"/>
        <v>1.22</v>
      </c>
      <c r="U1195" t="str">
        <f t="shared" si="94"/>
        <v>Mar</v>
      </c>
    </row>
    <row r="1196" spans="1:21">
      <c r="A1196" s="2">
        <v>46078</v>
      </c>
      <c r="B1196" t="s">
        <v>6</v>
      </c>
      <c r="C1196" t="s">
        <v>48</v>
      </c>
      <c r="D1196" t="s">
        <v>9</v>
      </c>
      <c r="E1196" t="s">
        <v>41</v>
      </c>
      <c r="F1196" t="s">
        <v>39</v>
      </c>
      <c r="G1196">
        <v>101</v>
      </c>
      <c r="H1196">
        <v>74</v>
      </c>
      <c r="I1196">
        <v>79</v>
      </c>
      <c r="J1196">
        <v>155</v>
      </c>
      <c r="K1196">
        <v>107</v>
      </c>
      <c r="L1196">
        <v>80.88</v>
      </c>
      <c r="M1196">
        <v>2434.71</v>
      </c>
      <c r="N1196">
        <v>68286</v>
      </c>
      <c r="O1196">
        <v>1210.21</v>
      </c>
      <c r="P1196" s="1">
        <v>0.75900000000000001</v>
      </c>
      <c r="Q1196">
        <f t="shared" si="90"/>
        <v>175</v>
      </c>
      <c r="R1196">
        <f t="shared" si="91"/>
        <v>229</v>
      </c>
      <c r="S1196" s="1">
        <f t="shared" si="92"/>
        <v>0.5485714285714286</v>
      </c>
      <c r="T1196">
        <f t="shared" si="93"/>
        <v>1.75</v>
      </c>
      <c r="U1196" t="str">
        <f t="shared" si="94"/>
        <v>Feb</v>
      </c>
    </row>
    <row r="1197" spans="1:21">
      <c r="A1197" s="2">
        <v>46102</v>
      </c>
      <c r="B1197" t="s">
        <v>4</v>
      </c>
      <c r="C1197" t="s">
        <v>51</v>
      </c>
      <c r="D1197" t="s">
        <v>9</v>
      </c>
      <c r="E1197" t="s">
        <v>32</v>
      </c>
      <c r="F1197" t="s">
        <v>39</v>
      </c>
      <c r="G1197">
        <v>69</v>
      </c>
      <c r="H1197">
        <v>52</v>
      </c>
      <c r="I1197">
        <v>64</v>
      </c>
      <c r="J1197">
        <v>69</v>
      </c>
      <c r="K1197">
        <v>200</v>
      </c>
      <c r="L1197">
        <v>104.88</v>
      </c>
      <c r="M1197">
        <v>1986.06</v>
      </c>
      <c r="N1197">
        <v>75251</v>
      </c>
      <c r="O1197">
        <v>1341.42</v>
      </c>
      <c r="P1197" s="1">
        <v>0.24399999999999999</v>
      </c>
      <c r="Q1197">
        <f t="shared" si="90"/>
        <v>121</v>
      </c>
      <c r="R1197">
        <f t="shared" si="91"/>
        <v>121</v>
      </c>
      <c r="S1197" s="1">
        <f t="shared" si="92"/>
        <v>0.47107438016528924</v>
      </c>
      <c r="T1197">
        <f t="shared" si="93"/>
        <v>1.21</v>
      </c>
      <c r="U1197" t="str">
        <f t="shared" si="94"/>
        <v>Mar</v>
      </c>
    </row>
    <row r="1198" spans="1:21">
      <c r="A1198" s="2">
        <v>46126</v>
      </c>
      <c r="B1198" t="s">
        <v>6</v>
      </c>
      <c r="C1198" t="s">
        <v>31</v>
      </c>
      <c r="D1198" t="s">
        <v>11</v>
      </c>
      <c r="E1198" t="s">
        <v>32</v>
      </c>
      <c r="F1198" t="s">
        <v>49</v>
      </c>
      <c r="G1198">
        <v>31</v>
      </c>
      <c r="H1198">
        <v>31</v>
      </c>
      <c r="I1198">
        <v>89</v>
      </c>
      <c r="J1198">
        <v>16</v>
      </c>
      <c r="K1198">
        <v>239</v>
      </c>
      <c r="L1198">
        <v>127.52</v>
      </c>
      <c r="M1198">
        <v>2053.1999999999998</v>
      </c>
      <c r="N1198">
        <v>71046</v>
      </c>
      <c r="O1198">
        <v>1636.77</v>
      </c>
      <c r="P1198" s="1">
        <v>-0.97599999999999998</v>
      </c>
      <c r="Q1198">
        <f t="shared" si="90"/>
        <v>62</v>
      </c>
      <c r="R1198">
        <f t="shared" si="91"/>
        <v>47</v>
      </c>
      <c r="S1198" s="1">
        <f t="shared" si="92"/>
        <v>-0.43548387096774194</v>
      </c>
      <c r="T1198">
        <f t="shared" si="93"/>
        <v>0.62</v>
      </c>
      <c r="U1198" t="str">
        <f t="shared" si="94"/>
        <v>Apr</v>
      </c>
    </row>
    <row r="1199" spans="1:21">
      <c r="A1199" s="2">
        <v>46117</v>
      </c>
      <c r="B1199" t="s">
        <v>4</v>
      </c>
      <c r="C1199" t="s">
        <v>46</v>
      </c>
      <c r="D1199" t="s">
        <v>5</v>
      </c>
      <c r="E1199" t="s">
        <v>37</v>
      </c>
      <c r="F1199" t="s">
        <v>45</v>
      </c>
      <c r="G1199">
        <v>56</v>
      </c>
      <c r="H1199">
        <v>11</v>
      </c>
      <c r="I1199">
        <v>7</v>
      </c>
      <c r="J1199">
        <v>46</v>
      </c>
      <c r="K1199">
        <v>339</v>
      </c>
      <c r="L1199">
        <v>84.57</v>
      </c>
      <c r="M1199">
        <v>2297.35</v>
      </c>
      <c r="N1199">
        <v>75843</v>
      </c>
      <c r="O1199">
        <v>969.09</v>
      </c>
      <c r="P1199" s="1">
        <v>0.79700000000000004</v>
      </c>
      <c r="Q1199">
        <f t="shared" si="90"/>
        <v>67</v>
      </c>
      <c r="R1199">
        <f t="shared" si="91"/>
        <v>57</v>
      </c>
      <c r="S1199" s="1">
        <f t="shared" si="92"/>
        <v>0.89552238805970152</v>
      </c>
      <c r="T1199">
        <f t="shared" si="93"/>
        <v>0.67</v>
      </c>
      <c r="U1199" t="str">
        <f t="shared" si="94"/>
        <v>Apr</v>
      </c>
    </row>
    <row r="1200" spans="1:21">
      <c r="A1200" s="2">
        <v>46074</v>
      </c>
      <c r="B1200" t="s">
        <v>4</v>
      </c>
      <c r="C1200" t="s">
        <v>36</v>
      </c>
      <c r="D1200" t="s">
        <v>11</v>
      </c>
      <c r="E1200" t="s">
        <v>37</v>
      </c>
      <c r="F1200" t="s">
        <v>49</v>
      </c>
      <c r="G1200">
        <v>21</v>
      </c>
      <c r="H1200">
        <v>1</v>
      </c>
      <c r="I1200">
        <v>28</v>
      </c>
      <c r="J1200">
        <v>127</v>
      </c>
      <c r="K1200">
        <v>343</v>
      </c>
      <c r="L1200">
        <v>91.93</v>
      </c>
      <c r="M1200">
        <v>2212.98</v>
      </c>
      <c r="N1200">
        <v>65100</v>
      </c>
      <c r="O1200">
        <v>1132.79</v>
      </c>
      <c r="P1200" s="1">
        <v>0.308</v>
      </c>
      <c r="Q1200">
        <f t="shared" si="90"/>
        <v>22</v>
      </c>
      <c r="R1200">
        <f t="shared" si="91"/>
        <v>128</v>
      </c>
      <c r="S1200" s="1">
        <f t="shared" si="92"/>
        <v>-0.27272727272727271</v>
      </c>
      <c r="T1200">
        <f t="shared" si="93"/>
        <v>0.22</v>
      </c>
      <c r="U1200" t="str">
        <f t="shared" si="94"/>
        <v>Feb</v>
      </c>
    </row>
    <row r="1201" spans="1:21">
      <c r="A1201" s="2">
        <v>46078</v>
      </c>
      <c r="B1201" t="s">
        <v>6</v>
      </c>
      <c r="C1201" t="s">
        <v>31</v>
      </c>
      <c r="D1201" t="s">
        <v>5</v>
      </c>
      <c r="E1201" t="s">
        <v>38</v>
      </c>
      <c r="F1201" t="s">
        <v>49</v>
      </c>
      <c r="G1201">
        <v>53</v>
      </c>
      <c r="H1201">
        <v>27</v>
      </c>
      <c r="I1201">
        <v>78</v>
      </c>
      <c r="J1201">
        <v>136</v>
      </c>
      <c r="K1201">
        <v>428</v>
      </c>
      <c r="L1201">
        <v>127.26</v>
      </c>
      <c r="M1201">
        <v>2345.88</v>
      </c>
      <c r="N1201">
        <v>72895</v>
      </c>
      <c r="O1201">
        <v>1137.3900000000001</v>
      </c>
      <c r="P1201" s="1">
        <v>-0.28799999999999998</v>
      </c>
      <c r="Q1201">
        <f t="shared" si="90"/>
        <v>80</v>
      </c>
      <c r="R1201">
        <f t="shared" si="91"/>
        <v>163</v>
      </c>
      <c r="S1201" s="1">
        <f t="shared" si="92"/>
        <v>2.5000000000000001E-2</v>
      </c>
      <c r="T1201">
        <f t="shared" si="93"/>
        <v>0.8</v>
      </c>
      <c r="U1201" t="str">
        <f t="shared" si="94"/>
        <v>Feb</v>
      </c>
    </row>
    <row r="1202" spans="1:21">
      <c r="A1202" s="2">
        <v>46114</v>
      </c>
      <c r="B1202" t="s">
        <v>6</v>
      </c>
      <c r="C1202" t="s">
        <v>31</v>
      </c>
      <c r="D1202" t="s">
        <v>7</v>
      </c>
      <c r="E1202" t="s">
        <v>47</v>
      </c>
      <c r="F1202" t="s">
        <v>49</v>
      </c>
      <c r="G1202">
        <v>93</v>
      </c>
      <c r="H1202">
        <v>22</v>
      </c>
      <c r="I1202">
        <v>74</v>
      </c>
      <c r="J1202">
        <v>106</v>
      </c>
      <c r="K1202">
        <v>162</v>
      </c>
      <c r="L1202">
        <v>116.47</v>
      </c>
      <c r="M1202">
        <v>2036.66</v>
      </c>
      <c r="N1202">
        <v>65594</v>
      </c>
      <c r="O1202">
        <v>1795.22</v>
      </c>
      <c r="P1202" s="1">
        <v>-0.25800000000000001</v>
      </c>
      <c r="Q1202">
        <f t="shared" si="90"/>
        <v>115</v>
      </c>
      <c r="R1202">
        <f t="shared" si="91"/>
        <v>128</v>
      </c>
      <c r="S1202" s="1">
        <f t="shared" si="92"/>
        <v>0.35652173913043478</v>
      </c>
      <c r="T1202">
        <f t="shared" si="93"/>
        <v>1.1499999999999999</v>
      </c>
      <c r="U1202" t="str">
        <f t="shared" si="94"/>
        <v>Apr</v>
      </c>
    </row>
    <row r="1203" spans="1:21">
      <c r="A1203" s="2">
        <v>46125</v>
      </c>
      <c r="B1203" t="s">
        <v>4</v>
      </c>
      <c r="C1203" t="s">
        <v>51</v>
      </c>
      <c r="D1203" t="s">
        <v>5</v>
      </c>
      <c r="E1203" t="s">
        <v>37</v>
      </c>
      <c r="F1203" t="s">
        <v>49</v>
      </c>
      <c r="G1203">
        <v>95</v>
      </c>
      <c r="H1203">
        <v>49</v>
      </c>
      <c r="I1203">
        <v>2</v>
      </c>
      <c r="J1203">
        <v>47</v>
      </c>
      <c r="K1203">
        <v>106</v>
      </c>
      <c r="L1203">
        <v>119.59</v>
      </c>
      <c r="M1203">
        <v>2168.39</v>
      </c>
      <c r="N1203">
        <v>71585</v>
      </c>
      <c r="O1203">
        <v>1228.45</v>
      </c>
      <c r="P1203" s="1">
        <v>0.34599999999999997</v>
      </c>
      <c r="Q1203">
        <f t="shared" si="90"/>
        <v>144</v>
      </c>
      <c r="R1203">
        <f t="shared" si="91"/>
        <v>96</v>
      </c>
      <c r="S1203" s="1">
        <f t="shared" si="92"/>
        <v>0.98611111111111116</v>
      </c>
      <c r="T1203">
        <f t="shared" si="93"/>
        <v>1.44</v>
      </c>
      <c r="U1203" t="str">
        <f t="shared" si="94"/>
        <v>Apr</v>
      </c>
    </row>
    <row r="1204" spans="1:21">
      <c r="A1204" s="2">
        <v>46094</v>
      </c>
      <c r="B1204" t="s">
        <v>6</v>
      </c>
      <c r="C1204" t="s">
        <v>31</v>
      </c>
      <c r="D1204" t="s">
        <v>5</v>
      </c>
      <c r="E1204" t="s">
        <v>42</v>
      </c>
      <c r="F1204" t="s">
        <v>49</v>
      </c>
      <c r="G1204">
        <v>69</v>
      </c>
      <c r="H1204">
        <v>38</v>
      </c>
      <c r="I1204">
        <v>48</v>
      </c>
      <c r="J1204">
        <v>81</v>
      </c>
      <c r="K1204">
        <v>341</v>
      </c>
      <c r="L1204">
        <v>117.91</v>
      </c>
      <c r="M1204">
        <v>1886.95</v>
      </c>
      <c r="N1204">
        <v>69302</v>
      </c>
      <c r="O1204">
        <v>1288.73</v>
      </c>
      <c r="P1204" s="1">
        <v>0.23100000000000001</v>
      </c>
      <c r="Q1204">
        <f t="shared" si="90"/>
        <v>107</v>
      </c>
      <c r="R1204">
        <f t="shared" si="91"/>
        <v>119</v>
      </c>
      <c r="S1204" s="1">
        <f t="shared" si="92"/>
        <v>0.55140186915887845</v>
      </c>
      <c r="T1204">
        <f t="shared" si="93"/>
        <v>1.07</v>
      </c>
      <c r="U1204" t="str">
        <f t="shared" si="94"/>
        <v>Mar</v>
      </c>
    </row>
    <row r="1205" spans="1:21">
      <c r="A1205" s="2">
        <v>46121</v>
      </c>
      <c r="B1205" t="s">
        <v>4</v>
      </c>
      <c r="C1205" t="s">
        <v>31</v>
      </c>
      <c r="D1205" t="s">
        <v>9</v>
      </c>
      <c r="E1205" t="s">
        <v>38</v>
      </c>
      <c r="F1205" t="s">
        <v>39</v>
      </c>
      <c r="G1205">
        <v>109</v>
      </c>
      <c r="H1205">
        <v>3</v>
      </c>
      <c r="I1205">
        <v>71</v>
      </c>
      <c r="J1205">
        <v>52</v>
      </c>
      <c r="K1205">
        <v>312</v>
      </c>
      <c r="L1205">
        <v>104.64</v>
      </c>
      <c r="M1205">
        <v>2200.84</v>
      </c>
      <c r="N1205">
        <v>66229</v>
      </c>
      <c r="O1205">
        <v>1028.23</v>
      </c>
      <c r="P1205" s="1">
        <v>-0.73299999999999998</v>
      </c>
      <c r="Q1205">
        <f t="shared" si="90"/>
        <v>112</v>
      </c>
      <c r="R1205">
        <f t="shared" si="91"/>
        <v>55</v>
      </c>
      <c r="S1205" s="1">
        <f t="shared" si="92"/>
        <v>0.36607142857142855</v>
      </c>
      <c r="T1205">
        <f t="shared" si="93"/>
        <v>1.1200000000000001</v>
      </c>
      <c r="U1205" t="str">
        <f t="shared" si="94"/>
        <v>Apr</v>
      </c>
    </row>
    <row r="1206" spans="1:21">
      <c r="A1206" s="2">
        <v>46114</v>
      </c>
      <c r="B1206" t="s">
        <v>4</v>
      </c>
      <c r="C1206" t="s">
        <v>40</v>
      </c>
      <c r="D1206" t="s">
        <v>11</v>
      </c>
      <c r="E1206" t="s">
        <v>38</v>
      </c>
      <c r="F1206" t="s">
        <v>33</v>
      </c>
      <c r="G1206">
        <v>107</v>
      </c>
      <c r="H1206">
        <v>56</v>
      </c>
      <c r="I1206">
        <v>38</v>
      </c>
      <c r="J1206">
        <v>70</v>
      </c>
      <c r="K1206">
        <v>144</v>
      </c>
      <c r="L1206">
        <v>94.26</v>
      </c>
      <c r="M1206">
        <v>1953.56</v>
      </c>
      <c r="N1206">
        <v>66914</v>
      </c>
      <c r="O1206">
        <v>1776.4</v>
      </c>
      <c r="P1206" s="1">
        <v>-0.87</v>
      </c>
      <c r="Q1206">
        <f t="shared" si="90"/>
        <v>163</v>
      </c>
      <c r="R1206">
        <f t="shared" si="91"/>
        <v>126</v>
      </c>
      <c r="S1206" s="1">
        <f t="shared" si="92"/>
        <v>0.76687116564417179</v>
      </c>
      <c r="T1206">
        <f t="shared" si="93"/>
        <v>1.63</v>
      </c>
      <c r="U1206" t="str">
        <f t="shared" si="94"/>
        <v>Apr</v>
      </c>
    </row>
    <row r="1207" spans="1:21">
      <c r="A1207" s="2">
        <v>46082</v>
      </c>
      <c r="B1207" t="s">
        <v>6</v>
      </c>
      <c r="C1207" t="s">
        <v>48</v>
      </c>
      <c r="D1207" t="s">
        <v>10</v>
      </c>
      <c r="E1207" t="s">
        <v>35</v>
      </c>
      <c r="F1207" t="s">
        <v>45</v>
      </c>
      <c r="G1207">
        <v>112</v>
      </c>
      <c r="H1207">
        <v>65</v>
      </c>
      <c r="I1207">
        <v>23</v>
      </c>
      <c r="J1207">
        <v>141</v>
      </c>
      <c r="K1207">
        <v>44</v>
      </c>
      <c r="L1207">
        <v>121.64</v>
      </c>
      <c r="M1207">
        <v>1857.79</v>
      </c>
      <c r="N1207">
        <v>70796</v>
      </c>
      <c r="O1207">
        <v>1697.18</v>
      </c>
      <c r="P1207" s="1">
        <v>0.68500000000000005</v>
      </c>
      <c r="Q1207">
        <f t="shared" si="90"/>
        <v>177</v>
      </c>
      <c r="R1207">
        <f t="shared" si="91"/>
        <v>206</v>
      </c>
      <c r="S1207" s="1">
        <f t="shared" si="92"/>
        <v>0.87005649717514122</v>
      </c>
      <c r="T1207">
        <f t="shared" si="93"/>
        <v>1.77</v>
      </c>
      <c r="U1207" t="str">
        <f t="shared" si="94"/>
        <v>Mar</v>
      </c>
    </row>
    <row r="1208" spans="1:21">
      <c r="A1208" s="2">
        <v>46075</v>
      </c>
      <c r="B1208" t="s">
        <v>6</v>
      </c>
      <c r="C1208" t="s">
        <v>44</v>
      </c>
      <c r="D1208" t="s">
        <v>7</v>
      </c>
      <c r="E1208" t="s">
        <v>41</v>
      </c>
      <c r="F1208" t="s">
        <v>49</v>
      </c>
      <c r="G1208">
        <v>109</v>
      </c>
      <c r="H1208">
        <v>39</v>
      </c>
      <c r="I1208">
        <v>22</v>
      </c>
      <c r="J1208">
        <v>0</v>
      </c>
      <c r="K1208">
        <v>216</v>
      </c>
      <c r="L1208">
        <v>135.94999999999999</v>
      </c>
      <c r="M1208">
        <v>2074.52</v>
      </c>
      <c r="N1208">
        <v>75149</v>
      </c>
      <c r="O1208">
        <v>1364.41</v>
      </c>
      <c r="P1208" s="1">
        <v>0.89100000000000001</v>
      </c>
      <c r="Q1208">
        <f t="shared" si="90"/>
        <v>148</v>
      </c>
      <c r="R1208">
        <f t="shared" si="91"/>
        <v>39</v>
      </c>
      <c r="S1208" s="1">
        <f t="shared" si="92"/>
        <v>0.85135135135135132</v>
      </c>
      <c r="T1208">
        <f t="shared" si="93"/>
        <v>1.48</v>
      </c>
      <c r="U1208" t="str">
        <f t="shared" si="94"/>
        <v>Feb</v>
      </c>
    </row>
    <row r="1209" spans="1:21">
      <c r="A1209" s="2">
        <v>46097</v>
      </c>
      <c r="B1209" t="s">
        <v>6</v>
      </c>
      <c r="C1209" t="s">
        <v>51</v>
      </c>
      <c r="D1209" t="s">
        <v>10</v>
      </c>
      <c r="E1209" t="s">
        <v>32</v>
      </c>
      <c r="F1209" t="s">
        <v>45</v>
      </c>
      <c r="G1209">
        <v>14</v>
      </c>
      <c r="H1209">
        <v>4</v>
      </c>
      <c r="I1209">
        <v>12</v>
      </c>
      <c r="J1209">
        <v>42</v>
      </c>
      <c r="K1209">
        <v>286</v>
      </c>
      <c r="L1209">
        <v>131.61000000000001</v>
      </c>
      <c r="M1209">
        <v>1999.52</v>
      </c>
      <c r="N1209">
        <v>67089</v>
      </c>
      <c r="O1209">
        <v>1556.3</v>
      </c>
      <c r="P1209" s="1">
        <v>0.56499999999999995</v>
      </c>
      <c r="Q1209">
        <f t="shared" si="90"/>
        <v>18</v>
      </c>
      <c r="R1209">
        <f t="shared" si="91"/>
        <v>46</v>
      </c>
      <c r="S1209" s="1">
        <f t="shared" si="92"/>
        <v>0.33333333333333331</v>
      </c>
      <c r="T1209">
        <f t="shared" si="93"/>
        <v>0.18</v>
      </c>
      <c r="U1209" t="str">
        <f t="shared" si="94"/>
        <v>Mar</v>
      </c>
    </row>
    <row r="1210" spans="1:21">
      <c r="A1210" s="2">
        <v>46098</v>
      </c>
      <c r="B1210" t="s">
        <v>6</v>
      </c>
      <c r="C1210" t="s">
        <v>31</v>
      </c>
      <c r="D1210" t="s">
        <v>7</v>
      </c>
      <c r="E1210" t="s">
        <v>38</v>
      </c>
      <c r="F1210" t="s">
        <v>33</v>
      </c>
      <c r="G1210">
        <v>53</v>
      </c>
      <c r="H1210">
        <v>22</v>
      </c>
      <c r="I1210">
        <v>0</v>
      </c>
      <c r="J1210">
        <v>132</v>
      </c>
      <c r="K1210">
        <v>167</v>
      </c>
      <c r="L1210">
        <v>85.43</v>
      </c>
      <c r="M1210">
        <v>2201.42</v>
      </c>
      <c r="N1210">
        <v>69177</v>
      </c>
      <c r="O1210">
        <v>1395.06</v>
      </c>
      <c r="P1210" s="1">
        <v>-3.5999999999999997E-2</v>
      </c>
      <c r="Q1210">
        <f t="shared" si="90"/>
        <v>75</v>
      </c>
      <c r="R1210">
        <f t="shared" si="91"/>
        <v>154</v>
      </c>
      <c r="S1210" s="1">
        <f t="shared" si="92"/>
        <v>1</v>
      </c>
      <c r="T1210">
        <f t="shared" si="93"/>
        <v>0.75</v>
      </c>
      <c r="U1210" t="str">
        <f t="shared" si="94"/>
        <v>Mar</v>
      </c>
    </row>
    <row r="1211" spans="1:21">
      <c r="A1211" s="2">
        <v>46110</v>
      </c>
      <c r="B1211" t="s">
        <v>4</v>
      </c>
      <c r="C1211" t="s">
        <v>40</v>
      </c>
      <c r="D1211" t="s">
        <v>5</v>
      </c>
      <c r="E1211" t="s">
        <v>32</v>
      </c>
      <c r="F1211" t="s">
        <v>45</v>
      </c>
      <c r="G1211">
        <v>86</v>
      </c>
      <c r="H1211">
        <v>48</v>
      </c>
      <c r="I1211">
        <v>27</v>
      </c>
      <c r="J1211">
        <v>104</v>
      </c>
      <c r="K1211">
        <v>358</v>
      </c>
      <c r="L1211">
        <v>92.78</v>
      </c>
      <c r="M1211">
        <v>2442.91</v>
      </c>
      <c r="N1211">
        <v>68900</v>
      </c>
      <c r="O1211">
        <v>1353.48</v>
      </c>
      <c r="P1211" s="1">
        <v>-0.81799999999999995</v>
      </c>
      <c r="Q1211">
        <f t="shared" si="90"/>
        <v>134</v>
      </c>
      <c r="R1211">
        <f t="shared" si="91"/>
        <v>152</v>
      </c>
      <c r="S1211" s="1">
        <f t="shared" si="92"/>
        <v>0.79850746268656714</v>
      </c>
      <c r="T1211">
        <f t="shared" si="93"/>
        <v>1.34</v>
      </c>
      <c r="U1211" t="str">
        <f t="shared" si="94"/>
        <v>Mar</v>
      </c>
    </row>
    <row r="1212" spans="1:21">
      <c r="A1212" s="2">
        <v>46113</v>
      </c>
      <c r="B1212" t="s">
        <v>4</v>
      </c>
      <c r="C1212" t="s">
        <v>51</v>
      </c>
      <c r="D1212" t="s">
        <v>9</v>
      </c>
      <c r="E1212" t="s">
        <v>32</v>
      </c>
      <c r="F1212" t="s">
        <v>39</v>
      </c>
      <c r="G1212">
        <v>97</v>
      </c>
      <c r="H1212">
        <v>73</v>
      </c>
      <c r="I1212">
        <v>80</v>
      </c>
      <c r="J1212">
        <v>60</v>
      </c>
      <c r="K1212">
        <v>203</v>
      </c>
      <c r="L1212">
        <v>102.75</v>
      </c>
      <c r="M1212">
        <v>2475.1999999999998</v>
      </c>
      <c r="N1212">
        <v>70106</v>
      </c>
      <c r="O1212">
        <v>1056.5</v>
      </c>
      <c r="P1212" s="1">
        <v>0.95</v>
      </c>
      <c r="Q1212">
        <f t="shared" si="90"/>
        <v>170</v>
      </c>
      <c r="R1212">
        <f t="shared" si="91"/>
        <v>133</v>
      </c>
      <c r="S1212" s="1">
        <f t="shared" si="92"/>
        <v>0.52941176470588236</v>
      </c>
      <c r="T1212">
        <f t="shared" si="93"/>
        <v>1.7</v>
      </c>
      <c r="U1212" t="str">
        <f t="shared" si="94"/>
        <v>Apr</v>
      </c>
    </row>
    <row r="1213" spans="1:21">
      <c r="A1213" s="2">
        <v>46092</v>
      </c>
      <c r="B1213" t="s">
        <v>6</v>
      </c>
      <c r="C1213" t="s">
        <v>36</v>
      </c>
      <c r="D1213" t="s">
        <v>10</v>
      </c>
      <c r="E1213" t="s">
        <v>38</v>
      </c>
      <c r="F1213" t="s">
        <v>45</v>
      </c>
      <c r="G1213">
        <v>21</v>
      </c>
      <c r="H1213">
        <v>33</v>
      </c>
      <c r="I1213">
        <v>21</v>
      </c>
      <c r="J1213">
        <v>132</v>
      </c>
      <c r="K1213">
        <v>338</v>
      </c>
      <c r="L1213">
        <v>93.71</v>
      </c>
      <c r="M1213">
        <v>1822.52</v>
      </c>
      <c r="N1213">
        <v>75020</v>
      </c>
      <c r="O1213">
        <v>1593.99</v>
      </c>
      <c r="P1213" s="1">
        <v>-0.76700000000000002</v>
      </c>
      <c r="Q1213">
        <f t="shared" si="90"/>
        <v>54</v>
      </c>
      <c r="R1213">
        <f t="shared" si="91"/>
        <v>165</v>
      </c>
      <c r="S1213" s="1">
        <f t="shared" si="92"/>
        <v>0.61111111111111116</v>
      </c>
      <c r="T1213">
        <f t="shared" si="93"/>
        <v>0.54</v>
      </c>
      <c r="U1213" t="str">
        <f t="shared" si="94"/>
        <v>Mar</v>
      </c>
    </row>
    <row r="1214" spans="1:21">
      <c r="A1214" s="2">
        <v>46112</v>
      </c>
      <c r="B1214" t="s">
        <v>4</v>
      </c>
      <c r="C1214" t="s">
        <v>43</v>
      </c>
      <c r="D1214" t="s">
        <v>11</v>
      </c>
      <c r="E1214" t="s">
        <v>47</v>
      </c>
      <c r="F1214" t="s">
        <v>33</v>
      </c>
      <c r="G1214">
        <v>82</v>
      </c>
      <c r="H1214">
        <v>72</v>
      </c>
      <c r="I1214">
        <v>25</v>
      </c>
      <c r="J1214">
        <v>119</v>
      </c>
      <c r="K1214">
        <v>254</v>
      </c>
      <c r="L1214">
        <v>95.62</v>
      </c>
      <c r="M1214">
        <v>2001.2</v>
      </c>
      <c r="N1214">
        <v>69223</v>
      </c>
      <c r="O1214">
        <v>1211.93</v>
      </c>
      <c r="P1214" s="1">
        <v>-0.79800000000000004</v>
      </c>
      <c r="Q1214">
        <f t="shared" si="90"/>
        <v>154</v>
      </c>
      <c r="R1214">
        <f t="shared" si="91"/>
        <v>191</v>
      </c>
      <c r="S1214" s="1">
        <f t="shared" si="92"/>
        <v>0.83766233766233766</v>
      </c>
      <c r="T1214">
        <f t="shared" si="93"/>
        <v>1.54</v>
      </c>
      <c r="U1214" t="str">
        <f t="shared" si="94"/>
        <v>Mar</v>
      </c>
    </row>
    <row r="1215" spans="1:21">
      <c r="A1215" s="2">
        <v>46076</v>
      </c>
      <c r="B1215" t="s">
        <v>4</v>
      </c>
      <c r="C1215" t="s">
        <v>31</v>
      </c>
      <c r="D1215" t="s">
        <v>9</v>
      </c>
      <c r="E1215" t="s">
        <v>37</v>
      </c>
      <c r="F1215" t="s">
        <v>33</v>
      </c>
      <c r="G1215">
        <v>16</v>
      </c>
      <c r="H1215">
        <v>32</v>
      </c>
      <c r="I1215">
        <v>53</v>
      </c>
      <c r="J1215">
        <v>13</v>
      </c>
      <c r="K1215">
        <v>112</v>
      </c>
      <c r="L1215">
        <v>107.54</v>
      </c>
      <c r="M1215">
        <v>2433.6</v>
      </c>
      <c r="N1215">
        <v>64943</v>
      </c>
      <c r="O1215">
        <v>1613.57</v>
      </c>
      <c r="P1215" s="1">
        <v>-7.3999999999999996E-2</v>
      </c>
      <c r="Q1215">
        <f t="shared" si="90"/>
        <v>48</v>
      </c>
      <c r="R1215">
        <f t="shared" si="91"/>
        <v>45</v>
      </c>
      <c r="S1215" s="1">
        <f t="shared" si="92"/>
        <v>-0.10416666666666667</v>
      </c>
      <c r="T1215">
        <f t="shared" si="93"/>
        <v>0.48</v>
      </c>
      <c r="U1215" t="str">
        <f t="shared" si="94"/>
        <v>Feb</v>
      </c>
    </row>
    <row r="1216" spans="1:21">
      <c r="A1216" s="2">
        <v>46124</v>
      </c>
      <c r="B1216" t="s">
        <v>6</v>
      </c>
      <c r="C1216" t="s">
        <v>51</v>
      </c>
      <c r="D1216" t="s">
        <v>9</v>
      </c>
      <c r="E1216" t="s">
        <v>37</v>
      </c>
      <c r="F1216" t="s">
        <v>49</v>
      </c>
      <c r="G1216">
        <v>1</v>
      </c>
      <c r="H1216">
        <v>25</v>
      </c>
      <c r="I1216">
        <v>82</v>
      </c>
      <c r="J1216">
        <v>131</v>
      </c>
      <c r="K1216">
        <v>390</v>
      </c>
      <c r="L1216">
        <v>95.68</v>
      </c>
      <c r="M1216">
        <v>2149.7199999999998</v>
      </c>
      <c r="N1216">
        <v>66247</v>
      </c>
      <c r="O1216">
        <v>1450.92</v>
      </c>
      <c r="P1216" s="1">
        <v>0.59</v>
      </c>
      <c r="Q1216">
        <f t="shared" si="90"/>
        <v>26</v>
      </c>
      <c r="R1216">
        <f t="shared" si="91"/>
        <v>156</v>
      </c>
      <c r="S1216" s="1">
        <f t="shared" si="92"/>
        <v>-2.1538461538461537</v>
      </c>
      <c r="T1216">
        <f t="shared" si="93"/>
        <v>0.26</v>
      </c>
      <c r="U1216" t="str">
        <f t="shared" si="94"/>
        <v>Apr</v>
      </c>
    </row>
    <row r="1217" spans="1:21">
      <c r="A1217" s="2">
        <v>46124</v>
      </c>
      <c r="B1217" t="s">
        <v>4</v>
      </c>
      <c r="C1217" t="s">
        <v>43</v>
      </c>
      <c r="D1217" t="s">
        <v>11</v>
      </c>
      <c r="E1217" t="s">
        <v>35</v>
      </c>
      <c r="F1217" t="s">
        <v>33</v>
      </c>
      <c r="G1217">
        <v>115</v>
      </c>
      <c r="H1217">
        <v>47</v>
      </c>
      <c r="I1217">
        <v>36</v>
      </c>
      <c r="J1217">
        <v>89</v>
      </c>
      <c r="K1217">
        <v>180</v>
      </c>
      <c r="L1217">
        <v>117.22</v>
      </c>
      <c r="M1217">
        <v>1853.72</v>
      </c>
      <c r="N1217">
        <v>66465</v>
      </c>
      <c r="O1217">
        <v>1556.49</v>
      </c>
      <c r="P1217" s="1">
        <v>-0.66500000000000004</v>
      </c>
      <c r="Q1217">
        <f t="shared" si="90"/>
        <v>162</v>
      </c>
      <c r="R1217">
        <f t="shared" si="91"/>
        <v>136</v>
      </c>
      <c r="S1217" s="1">
        <f t="shared" si="92"/>
        <v>0.77777777777777779</v>
      </c>
      <c r="T1217">
        <f t="shared" si="93"/>
        <v>1.62</v>
      </c>
      <c r="U1217" t="str">
        <f t="shared" si="94"/>
        <v>Apr</v>
      </c>
    </row>
    <row r="1218" spans="1:21">
      <c r="A1218" s="2">
        <v>46093</v>
      </c>
      <c r="B1218" t="s">
        <v>6</v>
      </c>
      <c r="C1218" t="s">
        <v>31</v>
      </c>
      <c r="D1218" t="s">
        <v>7</v>
      </c>
      <c r="E1218" t="s">
        <v>42</v>
      </c>
      <c r="F1218" t="s">
        <v>45</v>
      </c>
      <c r="G1218">
        <v>32</v>
      </c>
      <c r="H1218">
        <v>66</v>
      </c>
      <c r="I1218">
        <v>52</v>
      </c>
      <c r="J1218">
        <v>39</v>
      </c>
      <c r="K1218">
        <v>104</v>
      </c>
      <c r="L1218">
        <v>117.39</v>
      </c>
      <c r="M1218">
        <v>1844.42</v>
      </c>
      <c r="N1218">
        <v>75031</v>
      </c>
      <c r="O1218">
        <v>1432.86</v>
      </c>
      <c r="P1218" s="1">
        <v>-0.495</v>
      </c>
      <c r="Q1218">
        <f t="shared" si="90"/>
        <v>98</v>
      </c>
      <c r="R1218">
        <f t="shared" si="91"/>
        <v>105</v>
      </c>
      <c r="S1218" s="1">
        <f t="shared" si="92"/>
        <v>0.46938775510204084</v>
      </c>
      <c r="T1218">
        <f t="shared" si="93"/>
        <v>0.98</v>
      </c>
      <c r="U1218" t="str">
        <f t="shared" si="94"/>
        <v>Mar</v>
      </c>
    </row>
    <row r="1219" spans="1:21">
      <c r="A1219" s="2">
        <v>46099</v>
      </c>
      <c r="B1219" t="s">
        <v>6</v>
      </c>
      <c r="C1219" t="s">
        <v>48</v>
      </c>
      <c r="D1219" t="s">
        <v>7</v>
      </c>
      <c r="E1219" t="s">
        <v>37</v>
      </c>
      <c r="F1219" t="s">
        <v>45</v>
      </c>
      <c r="G1219">
        <v>48</v>
      </c>
      <c r="H1219">
        <v>48</v>
      </c>
      <c r="I1219">
        <v>72</v>
      </c>
      <c r="J1219">
        <v>136</v>
      </c>
      <c r="K1219">
        <v>283</v>
      </c>
      <c r="L1219">
        <v>91.57</v>
      </c>
      <c r="M1219">
        <v>2049.98</v>
      </c>
      <c r="N1219">
        <v>67848</v>
      </c>
      <c r="O1219">
        <v>1217.92</v>
      </c>
      <c r="P1219" s="1">
        <v>-9.2999999999999999E-2</v>
      </c>
      <c r="Q1219">
        <f t="shared" ref="Q1219:Q1282" si="95">G1219+H1219</f>
        <v>96</v>
      </c>
      <c r="R1219">
        <f t="shared" ref="R1219:R1282" si="96">J1219+H1219</f>
        <v>184</v>
      </c>
      <c r="S1219" s="1">
        <f t="shared" ref="S1219:S1282" si="97">(Q1219-I1219)/(Q1219)</f>
        <v>0.25</v>
      </c>
      <c r="T1219">
        <f t="shared" ref="T1219:T1282" si="98">Q1219/100</f>
        <v>0.96</v>
      </c>
      <c r="U1219" t="str">
        <f t="shared" ref="U1219:U1282" si="99">TEXT(A1219,"mmm")</f>
        <v>Mar</v>
      </c>
    </row>
    <row r="1220" spans="1:21">
      <c r="A1220" s="2">
        <v>46109</v>
      </c>
      <c r="B1220" t="s">
        <v>4</v>
      </c>
      <c r="C1220" t="s">
        <v>34</v>
      </c>
      <c r="D1220" t="s">
        <v>9</v>
      </c>
      <c r="E1220" t="s">
        <v>41</v>
      </c>
      <c r="F1220" t="s">
        <v>45</v>
      </c>
      <c r="G1220">
        <v>39</v>
      </c>
      <c r="H1220">
        <v>54</v>
      </c>
      <c r="I1220">
        <v>26</v>
      </c>
      <c r="J1220">
        <v>150</v>
      </c>
      <c r="K1220">
        <v>378</v>
      </c>
      <c r="L1220">
        <v>133.88</v>
      </c>
      <c r="M1220">
        <v>1936.71</v>
      </c>
      <c r="N1220">
        <v>64970</v>
      </c>
      <c r="O1220">
        <v>1128.44</v>
      </c>
      <c r="P1220" s="1">
        <v>0.33800000000000002</v>
      </c>
      <c r="Q1220">
        <f t="shared" si="95"/>
        <v>93</v>
      </c>
      <c r="R1220">
        <f t="shared" si="96"/>
        <v>204</v>
      </c>
      <c r="S1220" s="1">
        <f t="shared" si="97"/>
        <v>0.72043010752688175</v>
      </c>
      <c r="T1220">
        <f t="shared" si="98"/>
        <v>0.93</v>
      </c>
      <c r="U1220" t="str">
        <f t="shared" si="99"/>
        <v>Mar</v>
      </c>
    </row>
    <row r="1221" spans="1:21">
      <c r="A1221" s="2">
        <v>46110</v>
      </c>
      <c r="B1221" t="s">
        <v>6</v>
      </c>
      <c r="C1221" t="s">
        <v>31</v>
      </c>
      <c r="D1221" t="s">
        <v>5</v>
      </c>
      <c r="E1221" t="s">
        <v>41</v>
      </c>
      <c r="F1221" t="s">
        <v>49</v>
      </c>
      <c r="G1221">
        <v>69</v>
      </c>
      <c r="H1221">
        <v>68</v>
      </c>
      <c r="I1221">
        <v>44</v>
      </c>
      <c r="J1221">
        <v>100</v>
      </c>
      <c r="K1221">
        <v>383</v>
      </c>
      <c r="L1221">
        <v>115.6</v>
      </c>
      <c r="M1221">
        <v>1938.64</v>
      </c>
      <c r="N1221">
        <v>65483</v>
      </c>
      <c r="O1221">
        <v>1467.79</v>
      </c>
      <c r="P1221" s="1">
        <v>0.879</v>
      </c>
      <c r="Q1221">
        <f t="shared" si="95"/>
        <v>137</v>
      </c>
      <c r="R1221">
        <f t="shared" si="96"/>
        <v>168</v>
      </c>
      <c r="S1221" s="1">
        <f t="shared" si="97"/>
        <v>0.67883211678832112</v>
      </c>
      <c r="T1221">
        <f t="shared" si="98"/>
        <v>1.37</v>
      </c>
      <c r="U1221" t="str">
        <f t="shared" si="99"/>
        <v>Mar</v>
      </c>
    </row>
    <row r="1222" spans="1:21">
      <c r="A1222" s="2">
        <v>46092</v>
      </c>
      <c r="B1222" t="s">
        <v>6</v>
      </c>
      <c r="C1222" t="s">
        <v>46</v>
      </c>
      <c r="D1222" t="s">
        <v>11</v>
      </c>
      <c r="E1222" t="s">
        <v>35</v>
      </c>
      <c r="F1222" t="s">
        <v>45</v>
      </c>
      <c r="G1222">
        <v>30</v>
      </c>
      <c r="H1222">
        <v>3</v>
      </c>
      <c r="I1222">
        <v>84</v>
      </c>
      <c r="J1222">
        <v>110</v>
      </c>
      <c r="K1222">
        <v>377</v>
      </c>
      <c r="L1222">
        <v>105.37</v>
      </c>
      <c r="M1222">
        <v>2070.3200000000002</v>
      </c>
      <c r="N1222">
        <v>67687</v>
      </c>
      <c r="O1222">
        <v>1472.77</v>
      </c>
      <c r="P1222" s="1">
        <v>-0.749</v>
      </c>
      <c r="Q1222">
        <f t="shared" si="95"/>
        <v>33</v>
      </c>
      <c r="R1222">
        <f t="shared" si="96"/>
        <v>113</v>
      </c>
      <c r="S1222" s="1">
        <f t="shared" si="97"/>
        <v>-1.5454545454545454</v>
      </c>
      <c r="T1222">
        <f t="shared" si="98"/>
        <v>0.33</v>
      </c>
      <c r="U1222" t="str">
        <f t="shared" si="99"/>
        <v>Mar</v>
      </c>
    </row>
    <row r="1223" spans="1:21">
      <c r="A1223" s="2">
        <v>46082</v>
      </c>
      <c r="B1223" t="s">
        <v>6</v>
      </c>
      <c r="C1223" t="s">
        <v>44</v>
      </c>
      <c r="D1223" t="s">
        <v>7</v>
      </c>
      <c r="E1223" t="s">
        <v>41</v>
      </c>
      <c r="F1223" t="s">
        <v>33</v>
      </c>
      <c r="G1223">
        <v>35</v>
      </c>
      <c r="H1223">
        <v>40</v>
      </c>
      <c r="I1223">
        <v>52</v>
      </c>
      <c r="J1223">
        <v>52</v>
      </c>
      <c r="K1223">
        <v>53</v>
      </c>
      <c r="L1223">
        <v>120.81</v>
      </c>
      <c r="M1223">
        <v>2300.9699999999998</v>
      </c>
      <c r="N1223">
        <v>69480</v>
      </c>
      <c r="O1223">
        <v>1389.93</v>
      </c>
      <c r="P1223" s="1">
        <v>-0.36</v>
      </c>
      <c r="Q1223">
        <f t="shared" si="95"/>
        <v>75</v>
      </c>
      <c r="R1223">
        <f t="shared" si="96"/>
        <v>92</v>
      </c>
      <c r="S1223" s="1">
        <f t="shared" si="97"/>
        <v>0.30666666666666664</v>
      </c>
      <c r="T1223">
        <f t="shared" si="98"/>
        <v>0.75</v>
      </c>
      <c r="U1223" t="str">
        <f t="shared" si="99"/>
        <v>Mar</v>
      </c>
    </row>
    <row r="1224" spans="1:21">
      <c r="A1224" s="2">
        <v>46125</v>
      </c>
      <c r="B1224" t="s">
        <v>6</v>
      </c>
      <c r="C1224" t="s">
        <v>31</v>
      </c>
      <c r="D1224" t="s">
        <v>5</v>
      </c>
      <c r="E1224" t="s">
        <v>37</v>
      </c>
      <c r="F1224" t="s">
        <v>39</v>
      </c>
      <c r="G1224">
        <v>79</v>
      </c>
      <c r="H1224">
        <v>77</v>
      </c>
      <c r="I1224">
        <v>56</v>
      </c>
      <c r="J1224">
        <v>9</v>
      </c>
      <c r="K1224">
        <v>110</v>
      </c>
      <c r="L1224">
        <v>131.77000000000001</v>
      </c>
      <c r="M1224">
        <v>1918.04</v>
      </c>
      <c r="N1224">
        <v>72621</v>
      </c>
      <c r="O1224">
        <v>1001.9</v>
      </c>
      <c r="P1224" s="1">
        <v>-1.2E-2</v>
      </c>
      <c r="Q1224">
        <f t="shared" si="95"/>
        <v>156</v>
      </c>
      <c r="R1224">
        <f t="shared" si="96"/>
        <v>86</v>
      </c>
      <c r="S1224" s="1">
        <f t="shared" si="97"/>
        <v>0.64102564102564108</v>
      </c>
      <c r="T1224">
        <f t="shared" si="98"/>
        <v>1.56</v>
      </c>
      <c r="U1224" t="str">
        <f t="shared" si="99"/>
        <v>Apr</v>
      </c>
    </row>
    <row r="1225" spans="1:21">
      <c r="A1225" s="2">
        <v>46103</v>
      </c>
      <c r="B1225" t="s">
        <v>6</v>
      </c>
      <c r="C1225" t="s">
        <v>50</v>
      </c>
      <c r="D1225" t="s">
        <v>11</v>
      </c>
      <c r="E1225" t="s">
        <v>47</v>
      </c>
      <c r="F1225" t="s">
        <v>33</v>
      </c>
      <c r="G1225">
        <v>89</v>
      </c>
      <c r="H1225">
        <v>48</v>
      </c>
      <c r="I1225">
        <v>6</v>
      </c>
      <c r="J1225">
        <v>101</v>
      </c>
      <c r="K1225">
        <v>436</v>
      </c>
      <c r="L1225">
        <v>100.29</v>
      </c>
      <c r="M1225">
        <v>1891.4</v>
      </c>
      <c r="N1225">
        <v>65370</v>
      </c>
      <c r="O1225">
        <v>1311.34</v>
      </c>
      <c r="P1225" s="1">
        <v>-0.38200000000000001</v>
      </c>
      <c r="Q1225">
        <f t="shared" si="95"/>
        <v>137</v>
      </c>
      <c r="R1225">
        <f t="shared" si="96"/>
        <v>149</v>
      </c>
      <c r="S1225" s="1">
        <f t="shared" si="97"/>
        <v>0.95620437956204385</v>
      </c>
      <c r="T1225">
        <f t="shared" si="98"/>
        <v>1.37</v>
      </c>
      <c r="U1225" t="str">
        <f t="shared" si="99"/>
        <v>Mar</v>
      </c>
    </row>
    <row r="1226" spans="1:21">
      <c r="A1226" s="2">
        <v>46083</v>
      </c>
      <c r="B1226" t="s">
        <v>4</v>
      </c>
      <c r="C1226" t="s">
        <v>40</v>
      </c>
      <c r="D1226" t="s">
        <v>9</v>
      </c>
      <c r="E1226" t="s">
        <v>35</v>
      </c>
      <c r="F1226" t="s">
        <v>49</v>
      </c>
      <c r="G1226">
        <v>81</v>
      </c>
      <c r="H1226">
        <v>21</v>
      </c>
      <c r="I1226">
        <v>54</v>
      </c>
      <c r="J1226">
        <v>76</v>
      </c>
      <c r="K1226">
        <v>413</v>
      </c>
      <c r="L1226">
        <v>135.18</v>
      </c>
      <c r="M1226">
        <v>1869.14</v>
      </c>
      <c r="N1226">
        <v>64679</v>
      </c>
      <c r="O1226">
        <v>1725.68</v>
      </c>
      <c r="P1226" s="1">
        <v>0.69</v>
      </c>
      <c r="Q1226">
        <f t="shared" si="95"/>
        <v>102</v>
      </c>
      <c r="R1226">
        <f t="shared" si="96"/>
        <v>97</v>
      </c>
      <c r="S1226" s="1">
        <f t="shared" si="97"/>
        <v>0.47058823529411764</v>
      </c>
      <c r="T1226">
        <f t="shared" si="98"/>
        <v>1.02</v>
      </c>
      <c r="U1226" t="str">
        <f t="shared" si="99"/>
        <v>Mar</v>
      </c>
    </row>
    <row r="1227" spans="1:21">
      <c r="A1227" s="2">
        <v>46078</v>
      </c>
      <c r="B1227" t="s">
        <v>4</v>
      </c>
      <c r="C1227" t="s">
        <v>31</v>
      </c>
      <c r="D1227" t="s">
        <v>7</v>
      </c>
      <c r="E1227" t="s">
        <v>35</v>
      </c>
      <c r="F1227" t="s">
        <v>49</v>
      </c>
      <c r="G1227">
        <v>28</v>
      </c>
      <c r="H1227">
        <v>23</v>
      </c>
      <c r="I1227">
        <v>79</v>
      </c>
      <c r="J1227">
        <v>78</v>
      </c>
      <c r="K1227">
        <v>421</v>
      </c>
      <c r="L1227">
        <v>125.31</v>
      </c>
      <c r="M1227">
        <v>2208.6799999999998</v>
      </c>
      <c r="N1227">
        <v>71109</v>
      </c>
      <c r="O1227">
        <v>1390.51</v>
      </c>
      <c r="P1227" s="1">
        <v>0.53900000000000003</v>
      </c>
      <c r="Q1227">
        <f t="shared" si="95"/>
        <v>51</v>
      </c>
      <c r="R1227">
        <f t="shared" si="96"/>
        <v>101</v>
      </c>
      <c r="S1227" s="1">
        <f t="shared" si="97"/>
        <v>-0.5490196078431373</v>
      </c>
      <c r="T1227">
        <f t="shared" si="98"/>
        <v>0.51</v>
      </c>
      <c r="U1227" t="str">
        <f t="shared" si="99"/>
        <v>Feb</v>
      </c>
    </row>
    <row r="1228" spans="1:21">
      <c r="A1228" s="2">
        <v>46101</v>
      </c>
      <c r="B1228" t="s">
        <v>6</v>
      </c>
      <c r="C1228" t="s">
        <v>46</v>
      </c>
      <c r="D1228" t="s">
        <v>7</v>
      </c>
      <c r="E1228" t="s">
        <v>47</v>
      </c>
      <c r="F1228" t="s">
        <v>45</v>
      </c>
      <c r="G1228">
        <v>76</v>
      </c>
      <c r="H1228">
        <v>69</v>
      </c>
      <c r="I1228">
        <v>77</v>
      </c>
      <c r="J1228">
        <v>148</v>
      </c>
      <c r="K1228">
        <v>125</v>
      </c>
      <c r="L1228">
        <v>86.85</v>
      </c>
      <c r="M1228">
        <v>2360.27</v>
      </c>
      <c r="N1228">
        <v>75606</v>
      </c>
      <c r="O1228">
        <v>1424.81</v>
      </c>
      <c r="P1228" s="1">
        <v>-0.87</v>
      </c>
      <c r="Q1228">
        <f t="shared" si="95"/>
        <v>145</v>
      </c>
      <c r="R1228">
        <f t="shared" si="96"/>
        <v>217</v>
      </c>
      <c r="S1228" s="1">
        <f t="shared" si="97"/>
        <v>0.4689655172413793</v>
      </c>
      <c r="T1228">
        <f t="shared" si="98"/>
        <v>1.45</v>
      </c>
      <c r="U1228" t="str">
        <f t="shared" si="99"/>
        <v>Mar</v>
      </c>
    </row>
    <row r="1229" spans="1:21">
      <c r="A1229" s="2">
        <v>46078</v>
      </c>
      <c r="B1229" t="s">
        <v>6</v>
      </c>
      <c r="C1229" t="s">
        <v>44</v>
      </c>
      <c r="D1229" t="s">
        <v>9</v>
      </c>
      <c r="E1229" t="s">
        <v>38</v>
      </c>
      <c r="F1229" t="s">
        <v>49</v>
      </c>
      <c r="G1229">
        <v>71</v>
      </c>
      <c r="H1229">
        <v>32</v>
      </c>
      <c r="I1229">
        <v>62</v>
      </c>
      <c r="J1229">
        <v>17</v>
      </c>
      <c r="K1229">
        <v>250</v>
      </c>
      <c r="L1229">
        <v>85.28</v>
      </c>
      <c r="M1229">
        <v>2095.9899999999998</v>
      </c>
      <c r="N1229">
        <v>73402</v>
      </c>
      <c r="O1229">
        <v>1063.5999999999999</v>
      </c>
      <c r="P1229" s="1">
        <v>3.2000000000000001E-2</v>
      </c>
      <c r="Q1229">
        <f t="shared" si="95"/>
        <v>103</v>
      </c>
      <c r="R1229">
        <f t="shared" si="96"/>
        <v>49</v>
      </c>
      <c r="S1229" s="1">
        <f t="shared" si="97"/>
        <v>0.39805825242718446</v>
      </c>
      <c r="T1229">
        <f t="shared" si="98"/>
        <v>1.03</v>
      </c>
      <c r="U1229" t="str">
        <f t="shared" si="99"/>
        <v>Feb</v>
      </c>
    </row>
    <row r="1230" spans="1:21">
      <c r="A1230" s="2">
        <v>46110</v>
      </c>
      <c r="B1230" t="s">
        <v>6</v>
      </c>
      <c r="C1230" t="s">
        <v>48</v>
      </c>
      <c r="D1230" t="s">
        <v>5</v>
      </c>
      <c r="E1230" t="s">
        <v>42</v>
      </c>
      <c r="F1230" t="s">
        <v>39</v>
      </c>
      <c r="G1230">
        <v>36</v>
      </c>
      <c r="H1230">
        <v>58</v>
      </c>
      <c r="I1230">
        <v>20</v>
      </c>
      <c r="J1230">
        <v>113</v>
      </c>
      <c r="K1230">
        <v>46</v>
      </c>
      <c r="L1230">
        <v>88.72</v>
      </c>
      <c r="M1230">
        <v>2172.98</v>
      </c>
      <c r="N1230">
        <v>73108</v>
      </c>
      <c r="O1230">
        <v>1245.93</v>
      </c>
      <c r="P1230" s="1">
        <v>-8.6999999999999994E-2</v>
      </c>
      <c r="Q1230">
        <f t="shared" si="95"/>
        <v>94</v>
      </c>
      <c r="R1230">
        <f t="shared" si="96"/>
        <v>171</v>
      </c>
      <c r="S1230" s="1">
        <f t="shared" si="97"/>
        <v>0.78723404255319152</v>
      </c>
      <c r="T1230">
        <f t="shared" si="98"/>
        <v>0.94</v>
      </c>
      <c r="U1230" t="str">
        <f t="shared" si="99"/>
        <v>Mar</v>
      </c>
    </row>
    <row r="1231" spans="1:21">
      <c r="A1231" s="2">
        <v>46116</v>
      </c>
      <c r="B1231" t="s">
        <v>4</v>
      </c>
      <c r="C1231" t="s">
        <v>48</v>
      </c>
      <c r="D1231" t="s">
        <v>9</v>
      </c>
      <c r="E1231" t="s">
        <v>41</v>
      </c>
      <c r="F1231" t="s">
        <v>33</v>
      </c>
      <c r="G1231">
        <v>82</v>
      </c>
      <c r="H1231">
        <v>57</v>
      </c>
      <c r="I1231">
        <v>13</v>
      </c>
      <c r="J1231">
        <v>150</v>
      </c>
      <c r="K1231">
        <v>320</v>
      </c>
      <c r="L1231">
        <v>137.58000000000001</v>
      </c>
      <c r="M1231">
        <v>2407.67</v>
      </c>
      <c r="N1231">
        <v>70029</v>
      </c>
      <c r="O1231">
        <v>1409.46</v>
      </c>
      <c r="P1231" s="1">
        <v>0.53600000000000003</v>
      </c>
      <c r="Q1231">
        <f t="shared" si="95"/>
        <v>139</v>
      </c>
      <c r="R1231">
        <f t="shared" si="96"/>
        <v>207</v>
      </c>
      <c r="S1231" s="1">
        <f t="shared" si="97"/>
        <v>0.90647482014388492</v>
      </c>
      <c r="T1231">
        <f t="shared" si="98"/>
        <v>1.39</v>
      </c>
      <c r="U1231" t="str">
        <f t="shared" si="99"/>
        <v>Apr</v>
      </c>
    </row>
    <row r="1232" spans="1:21">
      <c r="A1232" s="2">
        <v>46095</v>
      </c>
      <c r="B1232" t="s">
        <v>4</v>
      </c>
      <c r="C1232" t="s">
        <v>43</v>
      </c>
      <c r="D1232" t="s">
        <v>10</v>
      </c>
      <c r="E1232" t="s">
        <v>35</v>
      </c>
      <c r="F1232" t="s">
        <v>45</v>
      </c>
      <c r="G1232">
        <v>89</v>
      </c>
      <c r="H1232">
        <v>34</v>
      </c>
      <c r="I1232">
        <v>80</v>
      </c>
      <c r="J1232">
        <v>21</v>
      </c>
      <c r="K1232">
        <v>198</v>
      </c>
      <c r="L1232">
        <v>113.03</v>
      </c>
      <c r="M1232">
        <v>2271.48</v>
      </c>
      <c r="N1232">
        <v>68005</v>
      </c>
      <c r="O1232">
        <v>1380.9</v>
      </c>
      <c r="P1232" s="1">
        <v>0.61199999999999999</v>
      </c>
      <c r="Q1232">
        <f t="shared" si="95"/>
        <v>123</v>
      </c>
      <c r="R1232">
        <f t="shared" si="96"/>
        <v>55</v>
      </c>
      <c r="S1232" s="1">
        <f t="shared" si="97"/>
        <v>0.34959349593495936</v>
      </c>
      <c r="T1232">
        <f t="shared" si="98"/>
        <v>1.23</v>
      </c>
      <c r="U1232" t="str">
        <f t="shared" si="99"/>
        <v>Mar</v>
      </c>
    </row>
    <row r="1233" spans="1:21">
      <c r="A1233" s="2">
        <v>46112</v>
      </c>
      <c r="B1233" t="s">
        <v>4</v>
      </c>
      <c r="C1233" t="s">
        <v>46</v>
      </c>
      <c r="D1233" t="s">
        <v>10</v>
      </c>
      <c r="E1233" t="s">
        <v>32</v>
      </c>
      <c r="F1233" t="s">
        <v>39</v>
      </c>
      <c r="G1233">
        <v>18</v>
      </c>
      <c r="H1233">
        <v>54</v>
      </c>
      <c r="I1233">
        <v>7</v>
      </c>
      <c r="J1233">
        <v>152</v>
      </c>
      <c r="K1233">
        <v>249</v>
      </c>
      <c r="L1233">
        <v>135.87</v>
      </c>
      <c r="M1233">
        <v>2183.69</v>
      </c>
      <c r="N1233">
        <v>64393</v>
      </c>
      <c r="O1233">
        <v>1105.02</v>
      </c>
      <c r="P1233" s="1">
        <v>-0.67300000000000004</v>
      </c>
      <c r="Q1233">
        <f t="shared" si="95"/>
        <v>72</v>
      </c>
      <c r="R1233">
        <f t="shared" si="96"/>
        <v>206</v>
      </c>
      <c r="S1233" s="1">
        <f t="shared" si="97"/>
        <v>0.90277777777777779</v>
      </c>
      <c r="T1233">
        <f t="shared" si="98"/>
        <v>0.72</v>
      </c>
      <c r="U1233" t="str">
        <f t="shared" si="99"/>
        <v>Mar</v>
      </c>
    </row>
    <row r="1234" spans="1:21">
      <c r="A1234" s="2">
        <v>46117</v>
      </c>
      <c r="B1234" t="s">
        <v>4</v>
      </c>
      <c r="C1234" t="s">
        <v>44</v>
      </c>
      <c r="D1234" t="s">
        <v>9</v>
      </c>
      <c r="E1234" t="s">
        <v>47</v>
      </c>
      <c r="F1234" t="s">
        <v>33</v>
      </c>
      <c r="G1234">
        <v>83</v>
      </c>
      <c r="H1234">
        <v>0</v>
      </c>
      <c r="I1234">
        <v>45</v>
      </c>
      <c r="J1234">
        <v>99</v>
      </c>
      <c r="K1234">
        <v>20</v>
      </c>
      <c r="L1234">
        <v>95.48</v>
      </c>
      <c r="M1234">
        <v>2326.0100000000002</v>
      </c>
      <c r="N1234">
        <v>67642</v>
      </c>
      <c r="O1234">
        <v>1727.12</v>
      </c>
      <c r="P1234" s="1">
        <v>0.28599999999999998</v>
      </c>
      <c r="Q1234">
        <f t="shared" si="95"/>
        <v>83</v>
      </c>
      <c r="R1234">
        <f t="shared" si="96"/>
        <v>99</v>
      </c>
      <c r="S1234" s="1">
        <f t="shared" si="97"/>
        <v>0.45783132530120479</v>
      </c>
      <c r="T1234">
        <f t="shared" si="98"/>
        <v>0.83</v>
      </c>
      <c r="U1234" t="str">
        <f t="shared" si="99"/>
        <v>Apr</v>
      </c>
    </row>
    <row r="1235" spans="1:21">
      <c r="A1235" s="2">
        <v>46097</v>
      </c>
      <c r="B1235" t="s">
        <v>6</v>
      </c>
      <c r="C1235" t="s">
        <v>36</v>
      </c>
      <c r="D1235" t="s">
        <v>7</v>
      </c>
      <c r="E1235" t="s">
        <v>47</v>
      </c>
      <c r="F1235" t="s">
        <v>45</v>
      </c>
      <c r="G1235">
        <v>112</v>
      </c>
      <c r="H1235">
        <v>43</v>
      </c>
      <c r="I1235">
        <v>55</v>
      </c>
      <c r="J1235">
        <v>58</v>
      </c>
      <c r="K1235">
        <v>356</v>
      </c>
      <c r="L1235">
        <v>84.96</v>
      </c>
      <c r="M1235">
        <v>1888.1</v>
      </c>
      <c r="N1235">
        <v>69504</v>
      </c>
      <c r="O1235">
        <v>1400.28</v>
      </c>
      <c r="P1235" s="1">
        <v>0.99099999999999999</v>
      </c>
      <c r="Q1235">
        <f t="shared" si="95"/>
        <v>155</v>
      </c>
      <c r="R1235">
        <f t="shared" si="96"/>
        <v>101</v>
      </c>
      <c r="S1235" s="1">
        <f t="shared" si="97"/>
        <v>0.64516129032258063</v>
      </c>
      <c r="T1235">
        <f t="shared" si="98"/>
        <v>1.55</v>
      </c>
      <c r="U1235" t="str">
        <f t="shared" si="99"/>
        <v>Mar</v>
      </c>
    </row>
    <row r="1236" spans="1:21">
      <c r="A1236" s="2">
        <v>46099</v>
      </c>
      <c r="B1236" t="s">
        <v>4</v>
      </c>
      <c r="C1236" t="s">
        <v>36</v>
      </c>
      <c r="D1236" t="s">
        <v>5</v>
      </c>
      <c r="E1236" t="s">
        <v>38</v>
      </c>
      <c r="F1236" t="s">
        <v>33</v>
      </c>
      <c r="G1236">
        <v>49</v>
      </c>
      <c r="H1236">
        <v>32</v>
      </c>
      <c r="I1236">
        <v>50</v>
      </c>
      <c r="J1236">
        <v>10</v>
      </c>
      <c r="K1236">
        <v>282</v>
      </c>
      <c r="L1236">
        <v>110.75</v>
      </c>
      <c r="M1236">
        <v>2119.4499999999998</v>
      </c>
      <c r="N1236">
        <v>67395</v>
      </c>
      <c r="O1236">
        <v>1166.75</v>
      </c>
      <c r="P1236" s="1">
        <v>0.68300000000000005</v>
      </c>
      <c r="Q1236">
        <f t="shared" si="95"/>
        <v>81</v>
      </c>
      <c r="R1236">
        <f t="shared" si="96"/>
        <v>42</v>
      </c>
      <c r="S1236" s="1">
        <f t="shared" si="97"/>
        <v>0.38271604938271603</v>
      </c>
      <c r="T1236">
        <f t="shared" si="98"/>
        <v>0.81</v>
      </c>
      <c r="U1236" t="str">
        <f t="shared" si="99"/>
        <v>Mar</v>
      </c>
    </row>
    <row r="1237" spans="1:21">
      <c r="A1237" s="2">
        <v>46076</v>
      </c>
      <c r="B1237" t="s">
        <v>6</v>
      </c>
      <c r="C1237" t="s">
        <v>43</v>
      </c>
      <c r="D1237" t="s">
        <v>5</v>
      </c>
      <c r="E1237" t="s">
        <v>35</v>
      </c>
      <c r="F1237" t="s">
        <v>39</v>
      </c>
      <c r="G1237">
        <v>39</v>
      </c>
      <c r="H1237">
        <v>61</v>
      </c>
      <c r="I1237">
        <v>16</v>
      </c>
      <c r="J1237">
        <v>28</v>
      </c>
      <c r="K1237">
        <v>175</v>
      </c>
      <c r="L1237">
        <v>118.27</v>
      </c>
      <c r="M1237">
        <v>2206.96</v>
      </c>
      <c r="N1237">
        <v>74800</v>
      </c>
      <c r="O1237">
        <v>1134.05</v>
      </c>
      <c r="P1237" s="1">
        <v>0.40100000000000002</v>
      </c>
      <c r="Q1237">
        <f t="shared" si="95"/>
        <v>100</v>
      </c>
      <c r="R1237">
        <f t="shared" si="96"/>
        <v>89</v>
      </c>
      <c r="S1237" s="1">
        <f t="shared" si="97"/>
        <v>0.84</v>
      </c>
      <c r="T1237">
        <f t="shared" si="98"/>
        <v>1</v>
      </c>
      <c r="U1237" t="str">
        <f t="shared" si="99"/>
        <v>Feb</v>
      </c>
    </row>
    <row r="1238" spans="1:21">
      <c r="A1238" s="2">
        <v>46111</v>
      </c>
      <c r="B1238" t="s">
        <v>4</v>
      </c>
      <c r="C1238" t="s">
        <v>44</v>
      </c>
      <c r="D1238" t="s">
        <v>11</v>
      </c>
      <c r="E1238" t="s">
        <v>42</v>
      </c>
      <c r="F1238" t="s">
        <v>45</v>
      </c>
      <c r="G1238">
        <v>75</v>
      </c>
      <c r="H1238">
        <v>78</v>
      </c>
      <c r="I1238">
        <v>9</v>
      </c>
      <c r="J1238">
        <v>93</v>
      </c>
      <c r="K1238">
        <v>90</v>
      </c>
      <c r="L1238">
        <v>123.54</v>
      </c>
      <c r="M1238">
        <v>2118.84</v>
      </c>
      <c r="N1238">
        <v>69727</v>
      </c>
      <c r="O1238">
        <v>1311.29</v>
      </c>
      <c r="P1238" s="1">
        <v>-0.96099999999999997</v>
      </c>
      <c r="Q1238">
        <f t="shared" si="95"/>
        <v>153</v>
      </c>
      <c r="R1238">
        <f t="shared" si="96"/>
        <v>171</v>
      </c>
      <c r="S1238" s="1">
        <f t="shared" si="97"/>
        <v>0.94117647058823528</v>
      </c>
      <c r="T1238">
        <f t="shared" si="98"/>
        <v>1.53</v>
      </c>
      <c r="U1238" t="str">
        <f t="shared" si="99"/>
        <v>Mar</v>
      </c>
    </row>
    <row r="1239" spans="1:21">
      <c r="A1239" s="2">
        <v>46116</v>
      </c>
      <c r="B1239" t="s">
        <v>4</v>
      </c>
      <c r="C1239" t="s">
        <v>50</v>
      </c>
      <c r="D1239" t="s">
        <v>10</v>
      </c>
      <c r="E1239" t="s">
        <v>47</v>
      </c>
      <c r="F1239" t="s">
        <v>45</v>
      </c>
      <c r="G1239">
        <v>108</v>
      </c>
      <c r="H1239">
        <v>24</v>
      </c>
      <c r="I1239">
        <v>88</v>
      </c>
      <c r="J1239">
        <v>70</v>
      </c>
      <c r="K1239">
        <v>112</v>
      </c>
      <c r="L1239">
        <v>88.98</v>
      </c>
      <c r="M1239">
        <v>2456.86</v>
      </c>
      <c r="N1239">
        <v>71038</v>
      </c>
      <c r="O1239">
        <v>1069.52</v>
      </c>
      <c r="P1239" s="1">
        <v>-0.24099999999999999</v>
      </c>
      <c r="Q1239">
        <f t="shared" si="95"/>
        <v>132</v>
      </c>
      <c r="R1239">
        <f t="shared" si="96"/>
        <v>94</v>
      </c>
      <c r="S1239" s="1">
        <f t="shared" si="97"/>
        <v>0.33333333333333331</v>
      </c>
      <c r="T1239">
        <f t="shared" si="98"/>
        <v>1.32</v>
      </c>
      <c r="U1239" t="str">
        <f t="shared" si="99"/>
        <v>Apr</v>
      </c>
    </row>
    <row r="1240" spans="1:21">
      <c r="A1240" s="2">
        <v>46125</v>
      </c>
      <c r="B1240" t="s">
        <v>6</v>
      </c>
      <c r="C1240" t="s">
        <v>50</v>
      </c>
      <c r="D1240" t="s">
        <v>7</v>
      </c>
      <c r="E1240" t="s">
        <v>42</v>
      </c>
      <c r="F1240" t="s">
        <v>39</v>
      </c>
      <c r="G1240">
        <v>70</v>
      </c>
      <c r="H1240">
        <v>41</v>
      </c>
      <c r="I1240">
        <v>79</v>
      </c>
      <c r="J1240">
        <v>35</v>
      </c>
      <c r="K1240">
        <v>118</v>
      </c>
      <c r="L1240">
        <v>88.51</v>
      </c>
      <c r="M1240">
        <v>2238.54</v>
      </c>
      <c r="N1240">
        <v>67316</v>
      </c>
      <c r="O1240">
        <v>1217.8900000000001</v>
      </c>
      <c r="P1240" s="1">
        <v>-0.57299999999999995</v>
      </c>
      <c r="Q1240">
        <f t="shared" si="95"/>
        <v>111</v>
      </c>
      <c r="R1240">
        <f t="shared" si="96"/>
        <v>76</v>
      </c>
      <c r="S1240" s="1">
        <f t="shared" si="97"/>
        <v>0.28828828828828829</v>
      </c>
      <c r="T1240">
        <f t="shared" si="98"/>
        <v>1.1100000000000001</v>
      </c>
      <c r="U1240" t="str">
        <f t="shared" si="99"/>
        <v>Apr</v>
      </c>
    </row>
    <row r="1241" spans="1:21">
      <c r="A1241" s="2">
        <v>46076</v>
      </c>
      <c r="B1241" t="s">
        <v>4</v>
      </c>
      <c r="C1241" t="s">
        <v>40</v>
      </c>
      <c r="D1241" t="s">
        <v>5</v>
      </c>
      <c r="E1241" t="s">
        <v>41</v>
      </c>
      <c r="F1241" t="s">
        <v>33</v>
      </c>
      <c r="G1241">
        <v>59</v>
      </c>
      <c r="H1241">
        <v>68</v>
      </c>
      <c r="I1241">
        <v>7</v>
      </c>
      <c r="J1241">
        <v>104</v>
      </c>
      <c r="K1241">
        <v>123</v>
      </c>
      <c r="L1241">
        <v>111.83</v>
      </c>
      <c r="M1241">
        <v>2171.0300000000002</v>
      </c>
      <c r="N1241">
        <v>72209</v>
      </c>
      <c r="O1241">
        <v>1465.79</v>
      </c>
      <c r="P1241" s="1">
        <v>-0.61899999999999999</v>
      </c>
      <c r="Q1241">
        <f t="shared" si="95"/>
        <v>127</v>
      </c>
      <c r="R1241">
        <f t="shared" si="96"/>
        <v>172</v>
      </c>
      <c r="S1241" s="1">
        <f t="shared" si="97"/>
        <v>0.94488188976377951</v>
      </c>
      <c r="T1241">
        <f t="shared" si="98"/>
        <v>1.27</v>
      </c>
      <c r="U1241" t="str">
        <f t="shared" si="99"/>
        <v>Feb</v>
      </c>
    </row>
    <row r="1242" spans="1:21">
      <c r="A1242" s="2">
        <v>46091</v>
      </c>
      <c r="B1242" t="s">
        <v>6</v>
      </c>
      <c r="C1242" t="s">
        <v>34</v>
      </c>
      <c r="D1242" t="s">
        <v>11</v>
      </c>
      <c r="E1242" t="s">
        <v>41</v>
      </c>
      <c r="F1242" t="s">
        <v>33</v>
      </c>
      <c r="G1242">
        <v>74</v>
      </c>
      <c r="H1242">
        <v>4</v>
      </c>
      <c r="I1242">
        <v>34</v>
      </c>
      <c r="J1242">
        <v>143</v>
      </c>
      <c r="K1242">
        <v>396</v>
      </c>
      <c r="L1242">
        <v>115.86</v>
      </c>
      <c r="M1242">
        <v>2103.9299999999998</v>
      </c>
      <c r="N1242">
        <v>68326</v>
      </c>
      <c r="O1242">
        <v>1395.13</v>
      </c>
      <c r="P1242" s="1">
        <v>-0.73399999999999999</v>
      </c>
      <c r="Q1242">
        <f t="shared" si="95"/>
        <v>78</v>
      </c>
      <c r="R1242">
        <f t="shared" si="96"/>
        <v>147</v>
      </c>
      <c r="S1242" s="1">
        <f t="shared" si="97"/>
        <v>0.5641025641025641</v>
      </c>
      <c r="T1242">
        <f t="shared" si="98"/>
        <v>0.78</v>
      </c>
      <c r="U1242" t="str">
        <f t="shared" si="99"/>
        <v>Mar</v>
      </c>
    </row>
    <row r="1243" spans="1:21">
      <c r="A1243" s="2">
        <v>46104</v>
      </c>
      <c r="B1243" t="s">
        <v>6</v>
      </c>
      <c r="C1243" t="s">
        <v>51</v>
      </c>
      <c r="D1243" t="s">
        <v>9</v>
      </c>
      <c r="E1243" t="s">
        <v>35</v>
      </c>
      <c r="F1243" t="s">
        <v>39</v>
      </c>
      <c r="G1243">
        <v>5</v>
      </c>
      <c r="H1243">
        <v>62</v>
      </c>
      <c r="I1243">
        <v>5</v>
      </c>
      <c r="J1243">
        <v>75</v>
      </c>
      <c r="K1243">
        <v>49</v>
      </c>
      <c r="L1243">
        <v>98.29</v>
      </c>
      <c r="M1243">
        <v>2215.98</v>
      </c>
      <c r="N1243">
        <v>68077</v>
      </c>
      <c r="O1243">
        <v>1012.47</v>
      </c>
      <c r="P1243" s="1">
        <v>-0.17199999999999999</v>
      </c>
      <c r="Q1243">
        <f t="shared" si="95"/>
        <v>67</v>
      </c>
      <c r="R1243">
        <f t="shared" si="96"/>
        <v>137</v>
      </c>
      <c r="S1243" s="1">
        <f t="shared" si="97"/>
        <v>0.92537313432835822</v>
      </c>
      <c r="T1243">
        <f t="shared" si="98"/>
        <v>0.67</v>
      </c>
      <c r="U1243" t="str">
        <f t="shared" si="99"/>
        <v>Mar</v>
      </c>
    </row>
    <row r="1244" spans="1:21">
      <c r="A1244" s="2">
        <v>46120</v>
      </c>
      <c r="B1244" t="s">
        <v>6</v>
      </c>
      <c r="C1244" t="s">
        <v>43</v>
      </c>
      <c r="D1244" t="s">
        <v>7</v>
      </c>
      <c r="E1244" t="s">
        <v>32</v>
      </c>
      <c r="F1244" t="s">
        <v>39</v>
      </c>
      <c r="G1244">
        <v>3</v>
      </c>
      <c r="H1244">
        <v>6</v>
      </c>
      <c r="I1244">
        <v>56</v>
      </c>
      <c r="J1244">
        <v>110</v>
      </c>
      <c r="K1244">
        <v>266</v>
      </c>
      <c r="L1244">
        <v>95.77</v>
      </c>
      <c r="M1244">
        <v>1879.26</v>
      </c>
      <c r="N1244">
        <v>74394</v>
      </c>
      <c r="O1244">
        <v>949.33</v>
      </c>
      <c r="P1244" s="1">
        <v>-0.29099999999999998</v>
      </c>
      <c r="Q1244">
        <f t="shared" si="95"/>
        <v>9</v>
      </c>
      <c r="R1244">
        <f t="shared" si="96"/>
        <v>116</v>
      </c>
      <c r="S1244" s="1">
        <f t="shared" si="97"/>
        <v>-5.2222222222222223</v>
      </c>
      <c r="T1244">
        <f t="shared" si="98"/>
        <v>0.09</v>
      </c>
      <c r="U1244" t="str">
        <f t="shared" si="99"/>
        <v>Apr</v>
      </c>
    </row>
    <row r="1245" spans="1:21">
      <c r="A1245" s="2">
        <v>46084</v>
      </c>
      <c r="B1245" t="s">
        <v>6</v>
      </c>
      <c r="C1245" t="s">
        <v>43</v>
      </c>
      <c r="D1245" t="s">
        <v>11</v>
      </c>
      <c r="E1245" t="s">
        <v>32</v>
      </c>
      <c r="F1245" t="s">
        <v>49</v>
      </c>
      <c r="G1245">
        <v>25</v>
      </c>
      <c r="H1245">
        <v>78</v>
      </c>
      <c r="I1245">
        <v>82</v>
      </c>
      <c r="J1245">
        <v>51</v>
      </c>
      <c r="K1245">
        <v>81</v>
      </c>
      <c r="L1245">
        <v>88.91</v>
      </c>
      <c r="M1245">
        <v>2068.34</v>
      </c>
      <c r="N1245">
        <v>74934</v>
      </c>
      <c r="O1245">
        <v>1279.9100000000001</v>
      </c>
      <c r="P1245" s="1">
        <v>0.371</v>
      </c>
      <c r="Q1245">
        <f t="shared" si="95"/>
        <v>103</v>
      </c>
      <c r="R1245">
        <f t="shared" si="96"/>
        <v>129</v>
      </c>
      <c r="S1245" s="1">
        <f t="shared" si="97"/>
        <v>0.20388349514563106</v>
      </c>
      <c r="T1245">
        <f t="shared" si="98"/>
        <v>1.03</v>
      </c>
      <c r="U1245" t="str">
        <f t="shared" si="99"/>
        <v>Mar</v>
      </c>
    </row>
    <row r="1246" spans="1:21">
      <c r="A1246" s="2">
        <v>46073</v>
      </c>
      <c r="B1246" t="s">
        <v>4</v>
      </c>
      <c r="C1246" t="s">
        <v>31</v>
      </c>
      <c r="D1246" t="s">
        <v>10</v>
      </c>
      <c r="E1246" t="s">
        <v>42</v>
      </c>
      <c r="F1246" t="s">
        <v>49</v>
      </c>
      <c r="G1246">
        <v>74</v>
      </c>
      <c r="H1246">
        <v>53</v>
      </c>
      <c r="I1246">
        <v>0</v>
      </c>
      <c r="J1246">
        <v>56</v>
      </c>
      <c r="K1246">
        <v>343</v>
      </c>
      <c r="L1246">
        <v>87.66</v>
      </c>
      <c r="M1246">
        <v>2413.7600000000002</v>
      </c>
      <c r="N1246">
        <v>74016</v>
      </c>
      <c r="O1246">
        <v>1358.54</v>
      </c>
      <c r="P1246" s="1">
        <v>-0.51900000000000002</v>
      </c>
      <c r="Q1246">
        <f t="shared" si="95"/>
        <v>127</v>
      </c>
      <c r="R1246">
        <f t="shared" si="96"/>
        <v>109</v>
      </c>
      <c r="S1246" s="1">
        <f t="shared" si="97"/>
        <v>1</v>
      </c>
      <c r="T1246">
        <f t="shared" si="98"/>
        <v>1.27</v>
      </c>
      <c r="U1246" t="str">
        <f t="shared" si="99"/>
        <v>Feb</v>
      </c>
    </row>
    <row r="1247" spans="1:21">
      <c r="A1247" s="2">
        <v>46099</v>
      </c>
      <c r="B1247" t="s">
        <v>4</v>
      </c>
      <c r="C1247" t="s">
        <v>34</v>
      </c>
      <c r="D1247" t="s">
        <v>9</v>
      </c>
      <c r="E1247" t="s">
        <v>32</v>
      </c>
      <c r="F1247" t="s">
        <v>49</v>
      </c>
      <c r="G1247">
        <v>30</v>
      </c>
      <c r="H1247">
        <v>46</v>
      </c>
      <c r="I1247">
        <v>12</v>
      </c>
      <c r="J1247">
        <v>18</v>
      </c>
      <c r="K1247">
        <v>97</v>
      </c>
      <c r="L1247">
        <v>111.15</v>
      </c>
      <c r="M1247">
        <v>2468.17</v>
      </c>
      <c r="N1247">
        <v>74218</v>
      </c>
      <c r="O1247">
        <v>1767.02</v>
      </c>
      <c r="P1247" s="1">
        <v>-0.45100000000000001</v>
      </c>
      <c r="Q1247">
        <f t="shared" si="95"/>
        <v>76</v>
      </c>
      <c r="R1247">
        <f t="shared" si="96"/>
        <v>64</v>
      </c>
      <c r="S1247" s="1">
        <f t="shared" si="97"/>
        <v>0.84210526315789469</v>
      </c>
      <c r="T1247">
        <f t="shared" si="98"/>
        <v>0.76</v>
      </c>
      <c r="U1247" t="str">
        <f t="shared" si="99"/>
        <v>Mar</v>
      </c>
    </row>
    <row r="1248" spans="1:21">
      <c r="A1248" s="2">
        <v>46110</v>
      </c>
      <c r="B1248" t="s">
        <v>6</v>
      </c>
      <c r="C1248" t="s">
        <v>40</v>
      </c>
      <c r="D1248" t="s">
        <v>11</v>
      </c>
      <c r="E1248" t="s">
        <v>38</v>
      </c>
      <c r="F1248" t="s">
        <v>39</v>
      </c>
      <c r="G1248">
        <v>86</v>
      </c>
      <c r="H1248">
        <v>78</v>
      </c>
      <c r="I1248">
        <v>62</v>
      </c>
      <c r="J1248">
        <v>28</v>
      </c>
      <c r="K1248">
        <v>181</v>
      </c>
      <c r="L1248">
        <v>91.57</v>
      </c>
      <c r="M1248">
        <v>2177.48</v>
      </c>
      <c r="N1248">
        <v>68980</v>
      </c>
      <c r="O1248">
        <v>1348.47</v>
      </c>
      <c r="P1248" s="1">
        <v>-0.25800000000000001</v>
      </c>
      <c r="Q1248">
        <f t="shared" si="95"/>
        <v>164</v>
      </c>
      <c r="R1248">
        <f t="shared" si="96"/>
        <v>106</v>
      </c>
      <c r="S1248" s="1">
        <f t="shared" si="97"/>
        <v>0.62195121951219512</v>
      </c>
      <c r="T1248">
        <f t="shared" si="98"/>
        <v>1.64</v>
      </c>
      <c r="U1248" t="str">
        <f t="shared" si="99"/>
        <v>Mar</v>
      </c>
    </row>
    <row r="1249" spans="1:21">
      <c r="A1249" s="2">
        <v>46080</v>
      </c>
      <c r="B1249" t="s">
        <v>6</v>
      </c>
      <c r="C1249" t="s">
        <v>34</v>
      </c>
      <c r="D1249" t="s">
        <v>9</v>
      </c>
      <c r="E1249" t="s">
        <v>47</v>
      </c>
      <c r="F1249" t="s">
        <v>33</v>
      </c>
      <c r="G1249">
        <v>49</v>
      </c>
      <c r="H1249">
        <v>75</v>
      </c>
      <c r="I1249">
        <v>84</v>
      </c>
      <c r="J1249">
        <v>2</v>
      </c>
      <c r="K1249">
        <v>124</v>
      </c>
      <c r="L1249">
        <v>121.17</v>
      </c>
      <c r="M1249">
        <v>2192.21</v>
      </c>
      <c r="N1249">
        <v>73700</v>
      </c>
      <c r="O1249">
        <v>1493.61</v>
      </c>
      <c r="P1249" s="1">
        <v>0.83</v>
      </c>
      <c r="Q1249">
        <f t="shared" si="95"/>
        <v>124</v>
      </c>
      <c r="R1249">
        <f t="shared" si="96"/>
        <v>77</v>
      </c>
      <c r="S1249" s="1">
        <f t="shared" si="97"/>
        <v>0.32258064516129031</v>
      </c>
      <c r="T1249">
        <f t="shared" si="98"/>
        <v>1.24</v>
      </c>
      <c r="U1249" t="str">
        <f t="shared" si="99"/>
        <v>Feb</v>
      </c>
    </row>
    <row r="1250" spans="1:21">
      <c r="A1250" s="2">
        <v>46112</v>
      </c>
      <c r="B1250" t="s">
        <v>4</v>
      </c>
      <c r="C1250" t="s">
        <v>51</v>
      </c>
      <c r="D1250" t="s">
        <v>7</v>
      </c>
      <c r="E1250" t="s">
        <v>38</v>
      </c>
      <c r="F1250" t="s">
        <v>45</v>
      </c>
      <c r="G1250">
        <v>96</v>
      </c>
      <c r="H1250">
        <v>35</v>
      </c>
      <c r="I1250">
        <v>8</v>
      </c>
      <c r="J1250">
        <v>133</v>
      </c>
      <c r="K1250">
        <v>249</v>
      </c>
      <c r="L1250">
        <v>84.38</v>
      </c>
      <c r="M1250">
        <v>2461.86</v>
      </c>
      <c r="N1250">
        <v>65166</v>
      </c>
      <c r="O1250">
        <v>1725.44</v>
      </c>
      <c r="P1250" s="1">
        <v>0.77600000000000002</v>
      </c>
      <c r="Q1250">
        <f t="shared" si="95"/>
        <v>131</v>
      </c>
      <c r="R1250">
        <f t="shared" si="96"/>
        <v>168</v>
      </c>
      <c r="S1250" s="1">
        <f t="shared" si="97"/>
        <v>0.93893129770992367</v>
      </c>
      <c r="T1250">
        <f t="shared" si="98"/>
        <v>1.31</v>
      </c>
      <c r="U1250" t="str">
        <f t="shared" si="99"/>
        <v>Mar</v>
      </c>
    </row>
    <row r="1251" spans="1:21">
      <c r="A1251" s="2">
        <v>46087</v>
      </c>
      <c r="B1251" t="s">
        <v>6</v>
      </c>
      <c r="C1251" t="s">
        <v>31</v>
      </c>
      <c r="D1251" t="s">
        <v>10</v>
      </c>
      <c r="E1251" t="s">
        <v>42</v>
      </c>
      <c r="F1251" t="s">
        <v>33</v>
      </c>
      <c r="G1251">
        <v>58</v>
      </c>
      <c r="H1251">
        <v>28</v>
      </c>
      <c r="I1251">
        <v>42</v>
      </c>
      <c r="J1251">
        <v>40</v>
      </c>
      <c r="K1251">
        <v>283</v>
      </c>
      <c r="L1251">
        <v>121.44</v>
      </c>
      <c r="M1251">
        <v>2187.9299999999998</v>
      </c>
      <c r="N1251">
        <v>66534</v>
      </c>
      <c r="O1251">
        <v>1499.53</v>
      </c>
      <c r="P1251" s="1">
        <v>-0.96599999999999997</v>
      </c>
      <c r="Q1251">
        <f t="shared" si="95"/>
        <v>86</v>
      </c>
      <c r="R1251">
        <f t="shared" si="96"/>
        <v>68</v>
      </c>
      <c r="S1251" s="1">
        <f t="shared" si="97"/>
        <v>0.51162790697674421</v>
      </c>
      <c r="T1251">
        <f t="shared" si="98"/>
        <v>0.86</v>
      </c>
      <c r="U1251" t="str">
        <f t="shared" si="99"/>
        <v>Mar</v>
      </c>
    </row>
    <row r="1252" spans="1:21">
      <c r="A1252" s="2">
        <v>46071</v>
      </c>
      <c r="B1252" t="s">
        <v>6</v>
      </c>
      <c r="C1252" t="s">
        <v>36</v>
      </c>
      <c r="D1252" t="s">
        <v>7</v>
      </c>
      <c r="E1252" t="s">
        <v>35</v>
      </c>
      <c r="F1252" t="s">
        <v>49</v>
      </c>
      <c r="G1252">
        <v>81</v>
      </c>
      <c r="H1252">
        <v>1</v>
      </c>
      <c r="I1252">
        <v>9</v>
      </c>
      <c r="J1252">
        <v>5</v>
      </c>
      <c r="K1252">
        <v>181</v>
      </c>
      <c r="L1252">
        <v>96.24</v>
      </c>
      <c r="M1252">
        <v>1922.79</v>
      </c>
      <c r="N1252">
        <v>73986</v>
      </c>
      <c r="O1252">
        <v>1285.01</v>
      </c>
      <c r="P1252" s="1">
        <v>0.81399999999999995</v>
      </c>
      <c r="Q1252">
        <f t="shared" si="95"/>
        <v>82</v>
      </c>
      <c r="R1252">
        <f t="shared" si="96"/>
        <v>6</v>
      </c>
      <c r="S1252" s="1">
        <f t="shared" si="97"/>
        <v>0.8902439024390244</v>
      </c>
      <c r="T1252">
        <f t="shared" si="98"/>
        <v>0.82</v>
      </c>
      <c r="U1252" t="str">
        <f t="shared" si="99"/>
        <v>Feb</v>
      </c>
    </row>
    <row r="1253" spans="1:21">
      <c r="A1253" s="2">
        <v>46080</v>
      </c>
      <c r="B1253" t="s">
        <v>4</v>
      </c>
      <c r="C1253" t="s">
        <v>31</v>
      </c>
      <c r="D1253" t="s">
        <v>10</v>
      </c>
      <c r="E1253" t="s">
        <v>38</v>
      </c>
      <c r="F1253" t="s">
        <v>33</v>
      </c>
      <c r="G1253">
        <v>78</v>
      </c>
      <c r="H1253">
        <v>48</v>
      </c>
      <c r="I1253">
        <v>62</v>
      </c>
      <c r="J1253">
        <v>132</v>
      </c>
      <c r="K1253">
        <v>437</v>
      </c>
      <c r="L1253">
        <v>132.85</v>
      </c>
      <c r="M1253">
        <v>2246.42</v>
      </c>
      <c r="N1253">
        <v>72566</v>
      </c>
      <c r="O1253">
        <v>910.31</v>
      </c>
      <c r="P1253" s="1">
        <v>-0.499</v>
      </c>
      <c r="Q1253">
        <f t="shared" si="95"/>
        <v>126</v>
      </c>
      <c r="R1253">
        <f t="shared" si="96"/>
        <v>180</v>
      </c>
      <c r="S1253" s="1">
        <f t="shared" si="97"/>
        <v>0.50793650793650791</v>
      </c>
      <c r="T1253">
        <f t="shared" si="98"/>
        <v>1.26</v>
      </c>
      <c r="U1253" t="str">
        <f t="shared" si="99"/>
        <v>Feb</v>
      </c>
    </row>
    <row r="1254" spans="1:21">
      <c r="A1254" s="2">
        <v>46106</v>
      </c>
      <c r="B1254" t="s">
        <v>4</v>
      </c>
      <c r="C1254" t="s">
        <v>43</v>
      </c>
      <c r="D1254" t="s">
        <v>7</v>
      </c>
      <c r="E1254" t="s">
        <v>32</v>
      </c>
      <c r="F1254" t="s">
        <v>33</v>
      </c>
      <c r="G1254">
        <v>40</v>
      </c>
      <c r="H1254">
        <v>63</v>
      </c>
      <c r="I1254">
        <v>63</v>
      </c>
      <c r="J1254">
        <v>158</v>
      </c>
      <c r="K1254">
        <v>426</v>
      </c>
      <c r="L1254">
        <v>95.52</v>
      </c>
      <c r="M1254">
        <v>2358.09</v>
      </c>
      <c r="N1254">
        <v>66085</v>
      </c>
      <c r="O1254">
        <v>1751.09</v>
      </c>
      <c r="P1254" s="1">
        <v>-0.30299999999999999</v>
      </c>
      <c r="Q1254">
        <f t="shared" si="95"/>
        <v>103</v>
      </c>
      <c r="R1254">
        <f t="shared" si="96"/>
        <v>221</v>
      </c>
      <c r="S1254" s="1">
        <f t="shared" si="97"/>
        <v>0.38834951456310679</v>
      </c>
      <c r="T1254">
        <f t="shared" si="98"/>
        <v>1.03</v>
      </c>
      <c r="U1254" t="str">
        <f t="shared" si="99"/>
        <v>Mar</v>
      </c>
    </row>
    <row r="1255" spans="1:21">
      <c r="A1255" s="2">
        <v>46117</v>
      </c>
      <c r="B1255" t="s">
        <v>6</v>
      </c>
      <c r="C1255" t="s">
        <v>50</v>
      </c>
      <c r="D1255" t="s">
        <v>5</v>
      </c>
      <c r="E1255" t="s">
        <v>38</v>
      </c>
      <c r="F1255" t="s">
        <v>45</v>
      </c>
      <c r="G1255">
        <v>3</v>
      </c>
      <c r="H1255">
        <v>62</v>
      </c>
      <c r="I1255">
        <v>5</v>
      </c>
      <c r="J1255">
        <v>19</v>
      </c>
      <c r="K1255">
        <v>239</v>
      </c>
      <c r="L1255">
        <v>110.6</v>
      </c>
      <c r="M1255">
        <v>1894.75</v>
      </c>
      <c r="N1255">
        <v>70577</v>
      </c>
      <c r="O1255">
        <v>1287.76</v>
      </c>
      <c r="P1255" s="1">
        <v>-0.35499999999999998</v>
      </c>
      <c r="Q1255">
        <f t="shared" si="95"/>
        <v>65</v>
      </c>
      <c r="R1255">
        <f t="shared" si="96"/>
        <v>81</v>
      </c>
      <c r="S1255" s="1">
        <f t="shared" si="97"/>
        <v>0.92307692307692313</v>
      </c>
      <c r="T1255">
        <f t="shared" si="98"/>
        <v>0.65</v>
      </c>
      <c r="U1255" t="str">
        <f t="shared" si="99"/>
        <v>Apr</v>
      </c>
    </row>
    <row r="1256" spans="1:21">
      <c r="A1256" s="2">
        <v>46117</v>
      </c>
      <c r="B1256" t="s">
        <v>4</v>
      </c>
      <c r="C1256" t="s">
        <v>50</v>
      </c>
      <c r="D1256" t="s">
        <v>11</v>
      </c>
      <c r="E1256" t="s">
        <v>37</v>
      </c>
      <c r="F1256" t="s">
        <v>49</v>
      </c>
      <c r="G1256">
        <v>49</v>
      </c>
      <c r="H1256">
        <v>41</v>
      </c>
      <c r="I1256">
        <v>67</v>
      </c>
      <c r="J1256">
        <v>92</v>
      </c>
      <c r="K1256">
        <v>20</v>
      </c>
      <c r="L1256">
        <v>102.44</v>
      </c>
      <c r="M1256">
        <v>2175.1</v>
      </c>
      <c r="N1256">
        <v>66201</v>
      </c>
      <c r="O1256">
        <v>1683.75</v>
      </c>
      <c r="P1256" s="1">
        <v>0.53600000000000003</v>
      </c>
      <c r="Q1256">
        <f t="shared" si="95"/>
        <v>90</v>
      </c>
      <c r="R1256">
        <f t="shared" si="96"/>
        <v>133</v>
      </c>
      <c r="S1256" s="1">
        <f t="shared" si="97"/>
        <v>0.25555555555555554</v>
      </c>
      <c r="T1256">
        <f t="shared" si="98"/>
        <v>0.9</v>
      </c>
      <c r="U1256" t="str">
        <f t="shared" si="99"/>
        <v>Apr</v>
      </c>
    </row>
    <row r="1257" spans="1:21">
      <c r="A1257" s="2">
        <v>46080</v>
      </c>
      <c r="B1257" t="s">
        <v>6</v>
      </c>
      <c r="C1257" t="s">
        <v>48</v>
      </c>
      <c r="D1257" t="s">
        <v>10</v>
      </c>
      <c r="E1257" t="s">
        <v>38</v>
      </c>
      <c r="F1257" t="s">
        <v>33</v>
      </c>
      <c r="G1257">
        <v>18</v>
      </c>
      <c r="H1257">
        <v>10</v>
      </c>
      <c r="I1257">
        <v>11</v>
      </c>
      <c r="J1257">
        <v>74</v>
      </c>
      <c r="K1257">
        <v>285</v>
      </c>
      <c r="L1257">
        <v>113.36</v>
      </c>
      <c r="M1257">
        <v>1971.9</v>
      </c>
      <c r="N1257">
        <v>71070</v>
      </c>
      <c r="O1257">
        <v>1581.37</v>
      </c>
      <c r="P1257" s="1">
        <v>-0.84499999999999997</v>
      </c>
      <c r="Q1257">
        <f t="shared" si="95"/>
        <v>28</v>
      </c>
      <c r="R1257">
        <f t="shared" si="96"/>
        <v>84</v>
      </c>
      <c r="S1257" s="1">
        <f t="shared" si="97"/>
        <v>0.6071428571428571</v>
      </c>
      <c r="T1257">
        <f t="shared" si="98"/>
        <v>0.28000000000000003</v>
      </c>
      <c r="U1257" t="str">
        <f t="shared" si="99"/>
        <v>Feb</v>
      </c>
    </row>
    <row r="1258" spans="1:21">
      <c r="A1258" s="2">
        <v>46121</v>
      </c>
      <c r="B1258" t="s">
        <v>4</v>
      </c>
      <c r="C1258" t="s">
        <v>34</v>
      </c>
      <c r="D1258" t="s">
        <v>7</v>
      </c>
      <c r="E1258" t="s">
        <v>41</v>
      </c>
      <c r="F1258" t="s">
        <v>49</v>
      </c>
      <c r="G1258">
        <v>86</v>
      </c>
      <c r="H1258">
        <v>47</v>
      </c>
      <c r="I1258">
        <v>82</v>
      </c>
      <c r="J1258">
        <v>49</v>
      </c>
      <c r="K1258">
        <v>351</v>
      </c>
      <c r="L1258">
        <v>135.65</v>
      </c>
      <c r="M1258">
        <v>2216.71</v>
      </c>
      <c r="N1258">
        <v>70505</v>
      </c>
      <c r="O1258">
        <v>1446.03</v>
      </c>
      <c r="P1258" s="1">
        <v>5.8000000000000003E-2</v>
      </c>
      <c r="Q1258">
        <f t="shared" si="95"/>
        <v>133</v>
      </c>
      <c r="R1258">
        <f t="shared" si="96"/>
        <v>96</v>
      </c>
      <c r="S1258" s="1">
        <f t="shared" si="97"/>
        <v>0.38345864661654133</v>
      </c>
      <c r="T1258">
        <f t="shared" si="98"/>
        <v>1.33</v>
      </c>
      <c r="U1258" t="str">
        <f t="shared" si="99"/>
        <v>Apr</v>
      </c>
    </row>
    <row r="1259" spans="1:21">
      <c r="A1259" s="2">
        <v>46102</v>
      </c>
      <c r="B1259" t="s">
        <v>4</v>
      </c>
      <c r="C1259" t="s">
        <v>44</v>
      </c>
      <c r="D1259" t="s">
        <v>5</v>
      </c>
      <c r="E1259" t="s">
        <v>41</v>
      </c>
      <c r="F1259" t="s">
        <v>49</v>
      </c>
      <c r="G1259">
        <v>102</v>
      </c>
      <c r="H1259">
        <v>6</v>
      </c>
      <c r="I1259">
        <v>46</v>
      </c>
      <c r="J1259">
        <v>30</v>
      </c>
      <c r="K1259">
        <v>48</v>
      </c>
      <c r="L1259">
        <v>137.81</v>
      </c>
      <c r="M1259">
        <v>2045.65</v>
      </c>
      <c r="N1259">
        <v>66621</v>
      </c>
      <c r="O1259">
        <v>1731.71</v>
      </c>
      <c r="P1259" s="1">
        <v>-0.14299999999999999</v>
      </c>
      <c r="Q1259">
        <f t="shared" si="95"/>
        <v>108</v>
      </c>
      <c r="R1259">
        <f t="shared" si="96"/>
        <v>36</v>
      </c>
      <c r="S1259" s="1">
        <f t="shared" si="97"/>
        <v>0.57407407407407407</v>
      </c>
      <c r="T1259">
        <f t="shared" si="98"/>
        <v>1.08</v>
      </c>
      <c r="U1259" t="str">
        <f t="shared" si="99"/>
        <v>Mar</v>
      </c>
    </row>
    <row r="1260" spans="1:21">
      <c r="A1260" s="2">
        <v>46116</v>
      </c>
      <c r="B1260" t="s">
        <v>6</v>
      </c>
      <c r="C1260" t="s">
        <v>48</v>
      </c>
      <c r="D1260" t="s">
        <v>5</v>
      </c>
      <c r="E1260" t="s">
        <v>37</v>
      </c>
      <c r="F1260" t="s">
        <v>39</v>
      </c>
      <c r="G1260">
        <v>91</v>
      </c>
      <c r="H1260">
        <v>2</v>
      </c>
      <c r="I1260">
        <v>58</v>
      </c>
      <c r="J1260">
        <v>91</v>
      </c>
      <c r="K1260">
        <v>400</v>
      </c>
      <c r="L1260">
        <v>94.85</v>
      </c>
      <c r="M1260">
        <v>2190.0300000000002</v>
      </c>
      <c r="N1260">
        <v>67319</v>
      </c>
      <c r="O1260">
        <v>1177.94</v>
      </c>
      <c r="P1260" s="1">
        <v>0.58699999999999997</v>
      </c>
      <c r="Q1260">
        <f t="shared" si="95"/>
        <v>93</v>
      </c>
      <c r="R1260">
        <f t="shared" si="96"/>
        <v>93</v>
      </c>
      <c r="S1260" s="1">
        <f t="shared" si="97"/>
        <v>0.37634408602150538</v>
      </c>
      <c r="T1260">
        <f t="shared" si="98"/>
        <v>0.93</v>
      </c>
      <c r="U1260" t="str">
        <f t="shared" si="99"/>
        <v>Apr</v>
      </c>
    </row>
    <row r="1261" spans="1:21">
      <c r="A1261" s="2">
        <v>46073</v>
      </c>
      <c r="B1261" t="s">
        <v>4</v>
      </c>
      <c r="C1261" t="s">
        <v>31</v>
      </c>
      <c r="D1261" t="s">
        <v>7</v>
      </c>
      <c r="E1261" t="s">
        <v>32</v>
      </c>
      <c r="F1261" t="s">
        <v>45</v>
      </c>
      <c r="G1261">
        <v>21</v>
      </c>
      <c r="H1261">
        <v>62</v>
      </c>
      <c r="I1261">
        <v>57</v>
      </c>
      <c r="J1261">
        <v>20</v>
      </c>
      <c r="K1261">
        <v>429</v>
      </c>
      <c r="L1261">
        <v>80.83</v>
      </c>
      <c r="M1261">
        <v>2031.86</v>
      </c>
      <c r="N1261">
        <v>75260</v>
      </c>
      <c r="O1261">
        <v>1403.48</v>
      </c>
      <c r="P1261" s="1">
        <v>-0.65200000000000002</v>
      </c>
      <c r="Q1261">
        <f t="shared" si="95"/>
        <v>83</v>
      </c>
      <c r="R1261">
        <f t="shared" si="96"/>
        <v>82</v>
      </c>
      <c r="S1261" s="1">
        <f t="shared" si="97"/>
        <v>0.31325301204819278</v>
      </c>
      <c r="T1261">
        <f t="shared" si="98"/>
        <v>0.83</v>
      </c>
      <c r="U1261" t="str">
        <f t="shared" si="99"/>
        <v>Feb</v>
      </c>
    </row>
    <row r="1262" spans="1:21">
      <c r="A1262" s="2">
        <v>46084</v>
      </c>
      <c r="B1262" t="s">
        <v>4</v>
      </c>
      <c r="C1262" t="s">
        <v>36</v>
      </c>
      <c r="D1262" t="s">
        <v>11</v>
      </c>
      <c r="E1262" t="s">
        <v>47</v>
      </c>
      <c r="F1262" t="s">
        <v>33</v>
      </c>
      <c r="G1262">
        <v>28</v>
      </c>
      <c r="H1262">
        <v>64</v>
      </c>
      <c r="I1262">
        <v>22</v>
      </c>
      <c r="J1262">
        <v>150</v>
      </c>
      <c r="K1262">
        <v>287</v>
      </c>
      <c r="L1262">
        <v>125.81</v>
      </c>
      <c r="M1262">
        <v>1801.22</v>
      </c>
      <c r="N1262">
        <v>68606</v>
      </c>
      <c r="O1262">
        <v>1681.41</v>
      </c>
      <c r="P1262" s="1">
        <v>-0.34100000000000003</v>
      </c>
      <c r="Q1262">
        <f t="shared" si="95"/>
        <v>92</v>
      </c>
      <c r="R1262">
        <f t="shared" si="96"/>
        <v>214</v>
      </c>
      <c r="S1262" s="1">
        <f t="shared" si="97"/>
        <v>0.76086956521739135</v>
      </c>
      <c r="T1262">
        <f t="shared" si="98"/>
        <v>0.92</v>
      </c>
      <c r="U1262" t="str">
        <f t="shared" si="99"/>
        <v>Mar</v>
      </c>
    </row>
    <row r="1263" spans="1:21">
      <c r="A1263" s="2">
        <v>46103</v>
      </c>
      <c r="B1263" t="s">
        <v>4</v>
      </c>
      <c r="C1263" t="s">
        <v>36</v>
      </c>
      <c r="D1263" t="s">
        <v>9</v>
      </c>
      <c r="E1263" t="s">
        <v>47</v>
      </c>
      <c r="F1263" t="s">
        <v>33</v>
      </c>
      <c r="G1263">
        <v>82</v>
      </c>
      <c r="H1263">
        <v>24</v>
      </c>
      <c r="I1263">
        <v>35</v>
      </c>
      <c r="J1263">
        <v>133</v>
      </c>
      <c r="K1263">
        <v>58</v>
      </c>
      <c r="L1263">
        <v>90.57</v>
      </c>
      <c r="M1263">
        <v>2069.77</v>
      </c>
      <c r="N1263">
        <v>74103</v>
      </c>
      <c r="O1263">
        <v>1059.95</v>
      </c>
      <c r="P1263" s="1">
        <v>-0.79200000000000004</v>
      </c>
      <c r="Q1263">
        <f t="shared" si="95"/>
        <v>106</v>
      </c>
      <c r="R1263">
        <f t="shared" si="96"/>
        <v>157</v>
      </c>
      <c r="S1263" s="1">
        <f t="shared" si="97"/>
        <v>0.66981132075471694</v>
      </c>
      <c r="T1263">
        <f t="shared" si="98"/>
        <v>1.06</v>
      </c>
      <c r="U1263" t="str">
        <f t="shared" si="99"/>
        <v>Mar</v>
      </c>
    </row>
    <row r="1264" spans="1:21">
      <c r="A1264" s="2">
        <v>46072</v>
      </c>
      <c r="B1264" t="s">
        <v>4</v>
      </c>
      <c r="C1264" t="s">
        <v>34</v>
      </c>
      <c r="D1264" t="s">
        <v>5</v>
      </c>
      <c r="E1264" t="s">
        <v>41</v>
      </c>
      <c r="F1264" t="s">
        <v>39</v>
      </c>
      <c r="G1264">
        <v>102</v>
      </c>
      <c r="H1264">
        <v>25</v>
      </c>
      <c r="I1264">
        <v>51</v>
      </c>
      <c r="J1264">
        <v>67</v>
      </c>
      <c r="K1264">
        <v>241</v>
      </c>
      <c r="L1264">
        <v>92.99</v>
      </c>
      <c r="M1264">
        <v>2336.06</v>
      </c>
      <c r="N1264">
        <v>66625</v>
      </c>
      <c r="O1264">
        <v>1195.53</v>
      </c>
      <c r="P1264" s="1">
        <v>-7.4999999999999997E-2</v>
      </c>
      <c r="Q1264">
        <f t="shared" si="95"/>
        <v>127</v>
      </c>
      <c r="R1264">
        <f t="shared" si="96"/>
        <v>92</v>
      </c>
      <c r="S1264" s="1">
        <f t="shared" si="97"/>
        <v>0.59842519685039375</v>
      </c>
      <c r="T1264">
        <f t="shared" si="98"/>
        <v>1.27</v>
      </c>
      <c r="U1264" t="str">
        <f t="shared" si="99"/>
        <v>Feb</v>
      </c>
    </row>
    <row r="1265" spans="1:21">
      <c r="A1265" s="2">
        <v>46094</v>
      </c>
      <c r="B1265" t="s">
        <v>4</v>
      </c>
      <c r="C1265" t="s">
        <v>40</v>
      </c>
      <c r="D1265" t="s">
        <v>10</v>
      </c>
      <c r="E1265" t="s">
        <v>47</v>
      </c>
      <c r="F1265" t="s">
        <v>45</v>
      </c>
      <c r="G1265">
        <v>105</v>
      </c>
      <c r="H1265">
        <v>5</v>
      </c>
      <c r="I1265">
        <v>23</v>
      </c>
      <c r="J1265">
        <v>133</v>
      </c>
      <c r="K1265">
        <v>297</v>
      </c>
      <c r="L1265">
        <v>129.13999999999999</v>
      </c>
      <c r="M1265">
        <v>2044.23</v>
      </c>
      <c r="N1265">
        <v>72116</v>
      </c>
      <c r="O1265">
        <v>1664.02</v>
      </c>
      <c r="P1265" s="1">
        <v>0.216</v>
      </c>
      <c r="Q1265">
        <f t="shared" si="95"/>
        <v>110</v>
      </c>
      <c r="R1265">
        <f t="shared" si="96"/>
        <v>138</v>
      </c>
      <c r="S1265" s="1">
        <f t="shared" si="97"/>
        <v>0.79090909090909089</v>
      </c>
      <c r="T1265">
        <f t="shared" si="98"/>
        <v>1.1000000000000001</v>
      </c>
      <c r="U1265" t="str">
        <f t="shared" si="99"/>
        <v>Mar</v>
      </c>
    </row>
    <row r="1266" spans="1:21">
      <c r="A1266" s="2">
        <v>46113</v>
      </c>
      <c r="B1266" t="s">
        <v>6</v>
      </c>
      <c r="C1266" t="s">
        <v>40</v>
      </c>
      <c r="D1266" t="s">
        <v>7</v>
      </c>
      <c r="E1266" t="s">
        <v>35</v>
      </c>
      <c r="F1266" t="s">
        <v>45</v>
      </c>
      <c r="G1266">
        <v>51</v>
      </c>
      <c r="H1266">
        <v>79</v>
      </c>
      <c r="I1266">
        <v>50</v>
      </c>
      <c r="J1266">
        <v>141</v>
      </c>
      <c r="K1266">
        <v>33</v>
      </c>
      <c r="L1266">
        <v>121.24</v>
      </c>
      <c r="M1266">
        <v>1982.63</v>
      </c>
      <c r="N1266">
        <v>71216</v>
      </c>
      <c r="O1266">
        <v>970.41</v>
      </c>
      <c r="P1266" s="1">
        <v>-0.98099999999999998</v>
      </c>
      <c r="Q1266">
        <f t="shared" si="95"/>
        <v>130</v>
      </c>
      <c r="R1266">
        <f t="shared" si="96"/>
        <v>220</v>
      </c>
      <c r="S1266" s="1">
        <f t="shared" si="97"/>
        <v>0.61538461538461542</v>
      </c>
      <c r="T1266">
        <f t="shared" si="98"/>
        <v>1.3</v>
      </c>
      <c r="U1266" t="str">
        <f t="shared" si="99"/>
        <v>Apr</v>
      </c>
    </row>
    <row r="1267" spans="1:21">
      <c r="A1267" s="2">
        <v>46085</v>
      </c>
      <c r="B1267" t="s">
        <v>6</v>
      </c>
      <c r="C1267" t="s">
        <v>43</v>
      </c>
      <c r="D1267" t="s">
        <v>11</v>
      </c>
      <c r="E1267" t="s">
        <v>47</v>
      </c>
      <c r="F1267" t="s">
        <v>45</v>
      </c>
      <c r="G1267">
        <v>11</v>
      </c>
      <c r="H1267">
        <v>28</v>
      </c>
      <c r="I1267">
        <v>38</v>
      </c>
      <c r="J1267">
        <v>21</v>
      </c>
      <c r="K1267">
        <v>208</v>
      </c>
      <c r="L1267">
        <v>112.6</v>
      </c>
      <c r="M1267">
        <v>1936.78</v>
      </c>
      <c r="N1267">
        <v>65857</v>
      </c>
      <c r="O1267">
        <v>1611.57</v>
      </c>
      <c r="P1267" s="1">
        <v>0.71099999999999997</v>
      </c>
      <c r="Q1267">
        <f t="shared" si="95"/>
        <v>39</v>
      </c>
      <c r="R1267">
        <f t="shared" si="96"/>
        <v>49</v>
      </c>
      <c r="S1267" s="1">
        <f t="shared" si="97"/>
        <v>2.564102564102564E-2</v>
      </c>
      <c r="T1267">
        <f t="shared" si="98"/>
        <v>0.39</v>
      </c>
      <c r="U1267" t="str">
        <f t="shared" si="99"/>
        <v>Mar</v>
      </c>
    </row>
    <row r="1268" spans="1:21">
      <c r="A1268" s="2">
        <v>46119</v>
      </c>
      <c r="B1268" t="s">
        <v>4</v>
      </c>
      <c r="C1268" t="s">
        <v>36</v>
      </c>
      <c r="D1268" t="s">
        <v>7</v>
      </c>
      <c r="E1268" t="s">
        <v>47</v>
      </c>
      <c r="F1268" t="s">
        <v>45</v>
      </c>
      <c r="G1268">
        <v>82</v>
      </c>
      <c r="H1268">
        <v>26</v>
      </c>
      <c r="I1268">
        <v>84</v>
      </c>
      <c r="J1268">
        <v>5</v>
      </c>
      <c r="K1268">
        <v>181</v>
      </c>
      <c r="L1268">
        <v>88.13</v>
      </c>
      <c r="M1268">
        <v>2077.94</v>
      </c>
      <c r="N1268">
        <v>71726</v>
      </c>
      <c r="O1268">
        <v>919.23</v>
      </c>
      <c r="P1268" s="1">
        <v>1.7999999999999999E-2</v>
      </c>
      <c r="Q1268">
        <f t="shared" si="95"/>
        <v>108</v>
      </c>
      <c r="R1268">
        <f t="shared" si="96"/>
        <v>31</v>
      </c>
      <c r="S1268" s="1">
        <f t="shared" si="97"/>
        <v>0.22222222222222221</v>
      </c>
      <c r="T1268">
        <f t="shared" si="98"/>
        <v>1.08</v>
      </c>
      <c r="U1268" t="str">
        <f t="shared" si="99"/>
        <v>Apr</v>
      </c>
    </row>
    <row r="1269" spans="1:21">
      <c r="A1269" s="2">
        <v>46108</v>
      </c>
      <c r="B1269" t="s">
        <v>6</v>
      </c>
      <c r="C1269" t="s">
        <v>50</v>
      </c>
      <c r="D1269" t="s">
        <v>5</v>
      </c>
      <c r="E1269" t="s">
        <v>41</v>
      </c>
      <c r="F1269" t="s">
        <v>45</v>
      </c>
      <c r="G1269">
        <v>104</v>
      </c>
      <c r="H1269">
        <v>28</v>
      </c>
      <c r="I1269">
        <v>89</v>
      </c>
      <c r="J1269">
        <v>58</v>
      </c>
      <c r="K1269">
        <v>239</v>
      </c>
      <c r="L1269">
        <v>122.03</v>
      </c>
      <c r="M1269">
        <v>1961.69</v>
      </c>
      <c r="N1269">
        <v>70775</v>
      </c>
      <c r="O1269">
        <v>1065.24</v>
      </c>
      <c r="P1269" s="1">
        <v>0.76700000000000002</v>
      </c>
      <c r="Q1269">
        <f t="shared" si="95"/>
        <v>132</v>
      </c>
      <c r="R1269">
        <f t="shared" si="96"/>
        <v>86</v>
      </c>
      <c r="S1269" s="1">
        <f t="shared" si="97"/>
        <v>0.32575757575757575</v>
      </c>
      <c r="T1269">
        <f t="shared" si="98"/>
        <v>1.32</v>
      </c>
      <c r="U1269" t="str">
        <f t="shared" si="99"/>
        <v>Mar</v>
      </c>
    </row>
    <row r="1270" spans="1:21">
      <c r="A1270" s="2">
        <v>46089</v>
      </c>
      <c r="B1270" t="s">
        <v>4</v>
      </c>
      <c r="C1270" t="s">
        <v>51</v>
      </c>
      <c r="D1270" t="s">
        <v>11</v>
      </c>
      <c r="E1270" t="s">
        <v>38</v>
      </c>
      <c r="F1270" t="s">
        <v>49</v>
      </c>
      <c r="G1270">
        <v>84</v>
      </c>
      <c r="H1270">
        <v>30</v>
      </c>
      <c r="I1270">
        <v>37</v>
      </c>
      <c r="J1270">
        <v>69</v>
      </c>
      <c r="K1270">
        <v>353</v>
      </c>
      <c r="L1270">
        <v>104.94</v>
      </c>
      <c r="M1270">
        <v>2427.33</v>
      </c>
      <c r="N1270">
        <v>75905</v>
      </c>
      <c r="O1270">
        <v>1288.74</v>
      </c>
      <c r="P1270" s="1">
        <v>0.58699999999999997</v>
      </c>
      <c r="Q1270">
        <f t="shared" si="95"/>
        <v>114</v>
      </c>
      <c r="R1270">
        <f t="shared" si="96"/>
        <v>99</v>
      </c>
      <c r="S1270" s="1">
        <f t="shared" si="97"/>
        <v>0.67543859649122806</v>
      </c>
      <c r="T1270">
        <f t="shared" si="98"/>
        <v>1.1399999999999999</v>
      </c>
      <c r="U1270" t="str">
        <f t="shared" si="99"/>
        <v>Mar</v>
      </c>
    </row>
    <row r="1271" spans="1:21">
      <c r="A1271" s="2">
        <v>46072</v>
      </c>
      <c r="B1271" t="s">
        <v>4</v>
      </c>
      <c r="C1271" t="s">
        <v>43</v>
      </c>
      <c r="D1271" t="s">
        <v>9</v>
      </c>
      <c r="E1271" t="s">
        <v>47</v>
      </c>
      <c r="F1271" t="s">
        <v>39</v>
      </c>
      <c r="G1271">
        <v>56</v>
      </c>
      <c r="H1271">
        <v>15</v>
      </c>
      <c r="I1271">
        <v>30</v>
      </c>
      <c r="J1271">
        <v>43</v>
      </c>
      <c r="K1271">
        <v>207</v>
      </c>
      <c r="L1271">
        <v>80.92</v>
      </c>
      <c r="M1271">
        <v>2316.0700000000002</v>
      </c>
      <c r="N1271">
        <v>65274</v>
      </c>
      <c r="O1271">
        <v>1340.74</v>
      </c>
      <c r="P1271" s="1">
        <v>-7.6999999999999999E-2</v>
      </c>
      <c r="Q1271">
        <f t="shared" si="95"/>
        <v>71</v>
      </c>
      <c r="R1271">
        <f t="shared" si="96"/>
        <v>58</v>
      </c>
      <c r="S1271" s="1">
        <f t="shared" si="97"/>
        <v>0.57746478873239437</v>
      </c>
      <c r="T1271">
        <f t="shared" si="98"/>
        <v>0.71</v>
      </c>
      <c r="U1271" t="str">
        <f t="shared" si="99"/>
        <v>Feb</v>
      </c>
    </row>
    <row r="1272" spans="1:21">
      <c r="A1272" s="2">
        <v>46086</v>
      </c>
      <c r="B1272" t="s">
        <v>6</v>
      </c>
      <c r="C1272" t="s">
        <v>40</v>
      </c>
      <c r="D1272" t="s">
        <v>10</v>
      </c>
      <c r="E1272" t="s">
        <v>41</v>
      </c>
      <c r="F1272" t="s">
        <v>39</v>
      </c>
      <c r="G1272">
        <v>46</v>
      </c>
      <c r="H1272">
        <v>64</v>
      </c>
      <c r="I1272">
        <v>69</v>
      </c>
      <c r="J1272">
        <v>90</v>
      </c>
      <c r="K1272">
        <v>70</v>
      </c>
      <c r="L1272">
        <v>86.41</v>
      </c>
      <c r="M1272">
        <v>2252.58</v>
      </c>
      <c r="N1272">
        <v>70811</v>
      </c>
      <c r="O1272">
        <v>1609.02</v>
      </c>
      <c r="P1272" s="1">
        <v>-0.81200000000000006</v>
      </c>
      <c r="Q1272">
        <f t="shared" si="95"/>
        <v>110</v>
      </c>
      <c r="R1272">
        <f t="shared" si="96"/>
        <v>154</v>
      </c>
      <c r="S1272" s="1">
        <f t="shared" si="97"/>
        <v>0.37272727272727274</v>
      </c>
      <c r="T1272">
        <f t="shared" si="98"/>
        <v>1.1000000000000001</v>
      </c>
      <c r="U1272" t="str">
        <f t="shared" si="99"/>
        <v>Mar</v>
      </c>
    </row>
    <row r="1273" spans="1:21">
      <c r="A1273" s="2">
        <v>46101</v>
      </c>
      <c r="B1273" t="s">
        <v>6</v>
      </c>
      <c r="C1273" t="s">
        <v>44</v>
      </c>
      <c r="D1273" t="s">
        <v>9</v>
      </c>
      <c r="E1273" t="s">
        <v>41</v>
      </c>
      <c r="F1273" t="s">
        <v>49</v>
      </c>
      <c r="G1273">
        <v>73</v>
      </c>
      <c r="H1273">
        <v>58</v>
      </c>
      <c r="I1273">
        <v>10</v>
      </c>
      <c r="J1273">
        <v>68</v>
      </c>
      <c r="K1273">
        <v>429</v>
      </c>
      <c r="L1273">
        <v>95.1</v>
      </c>
      <c r="M1273">
        <v>2135.38</v>
      </c>
      <c r="N1273">
        <v>75682</v>
      </c>
      <c r="O1273">
        <v>997.96</v>
      </c>
      <c r="P1273" s="1">
        <v>1.0999999999999999E-2</v>
      </c>
      <c r="Q1273">
        <f t="shared" si="95"/>
        <v>131</v>
      </c>
      <c r="R1273">
        <f t="shared" si="96"/>
        <v>126</v>
      </c>
      <c r="S1273" s="1">
        <f t="shared" si="97"/>
        <v>0.92366412213740456</v>
      </c>
      <c r="T1273">
        <f t="shared" si="98"/>
        <v>1.31</v>
      </c>
      <c r="U1273" t="str">
        <f t="shared" si="99"/>
        <v>Mar</v>
      </c>
    </row>
    <row r="1274" spans="1:21">
      <c r="A1274" s="2">
        <v>46071</v>
      </c>
      <c r="B1274" t="s">
        <v>6</v>
      </c>
      <c r="C1274" t="s">
        <v>40</v>
      </c>
      <c r="D1274" t="s">
        <v>5</v>
      </c>
      <c r="E1274" t="s">
        <v>41</v>
      </c>
      <c r="F1274" t="s">
        <v>39</v>
      </c>
      <c r="G1274">
        <v>92</v>
      </c>
      <c r="H1274">
        <v>0</v>
      </c>
      <c r="I1274">
        <v>77</v>
      </c>
      <c r="J1274">
        <v>157</v>
      </c>
      <c r="K1274">
        <v>36</v>
      </c>
      <c r="L1274">
        <v>136.51</v>
      </c>
      <c r="M1274">
        <v>2162.65</v>
      </c>
      <c r="N1274">
        <v>66337</v>
      </c>
      <c r="O1274">
        <v>943.96</v>
      </c>
      <c r="P1274" s="1">
        <v>-0.41199999999999998</v>
      </c>
      <c r="Q1274">
        <f t="shared" si="95"/>
        <v>92</v>
      </c>
      <c r="R1274">
        <f t="shared" si="96"/>
        <v>157</v>
      </c>
      <c r="S1274" s="1">
        <f t="shared" si="97"/>
        <v>0.16304347826086957</v>
      </c>
      <c r="T1274">
        <f t="shared" si="98"/>
        <v>0.92</v>
      </c>
      <c r="U1274" t="str">
        <f t="shared" si="99"/>
        <v>Feb</v>
      </c>
    </row>
    <row r="1275" spans="1:21">
      <c r="A1275" s="2">
        <v>46082</v>
      </c>
      <c r="B1275" t="s">
        <v>4</v>
      </c>
      <c r="C1275" t="s">
        <v>46</v>
      </c>
      <c r="D1275" t="s">
        <v>11</v>
      </c>
      <c r="E1275" t="s">
        <v>37</v>
      </c>
      <c r="F1275" t="s">
        <v>33</v>
      </c>
      <c r="G1275">
        <v>78</v>
      </c>
      <c r="H1275">
        <v>0</v>
      </c>
      <c r="I1275">
        <v>52</v>
      </c>
      <c r="J1275">
        <v>128</v>
      </c>
      <c r="K1275">
        <v>152</v>
      </c>
      <c r="L1275">
        <v>80.290000000000006</v>
      </c>
      <c r="M1275">
        <v>1826.37</v>
      </c>
      <c r="N1275">
        <v>68770</v>
      </c>
      <c r="O1275">
        <v>1762.68</v>
      </c>
      <c r="P1275" s="1">
        <v>-0.80700000000000005</v>
      </c>
      <c r="Q1275">
        <f t="shared" si="95"/>
        <v>78</v>
      </c>
      <c r="R1275">
        <f t="shared" si="96"/>
        <v>128</v>
      </c>
      <c r="S1275" s="1">
        <f t="shared" si="97"/>
        <v>0.33333333333333331</v>
      </c>
      <c r="T1275">
        <f t="shared" si="98"/>
        <v>0.78</v>
      </c>
      <c r="U1275" t="str">
        <f t="shared" si="99"/>
        <v>Mar</v>
      </c>
    </row>
    <row r="1276" spans="1:21">
      <c r="A1276" s="2">
        <v>46071</v>
      </c>
      <c r="B1276" t="s">
        <v>6</v>
      </c>
      <c r="C1276" t="s">
        <v>34</v>
      </c>
      <c r="D1276" t="s">
        <v>10</v>
      </c>
      <c r="E1276" t="s">
        <v>42</v>
      </c>
      <c r="F1276" t="s">
        <v>45</v>
      </c>
      <c r="G1276">
        <v>43</v>
      </c>
      <c r="H1276">
        <v>61</v>
      </c>
      <c r="I1276">
        <v>65</v>
      </c>
      <c r="J1276">
        <v>70</v>
      </c>
      <c r="K1276">
        <v>75</v>
      </c>
      <c r="L1276">
        <v>82.01</v>
      </c>
      <c r="M1276">
        <v>2042.34</v>
      </c>
      <c r="N1276">
        <v>72412</v>
      </c>
      <c r="O1276">
        <v>1359.63</v>
      </c>
      <c r="P1276" s="1">
        <v>0.745</v>
      </c>
      <c r="Q1276">
        <f t="shared" si="95"/>
        <v>104</v>
      </c>
      <c r="R1276">
        <f t="shared" si="96"/>
        <v>131</v>
      </c>
      <c r="S1276" s="1">
        <f t="shared" si="97"/>
        <v>0.375</v>
      </c>
      <c r="T1276">
        <f t="shared" si="98"/>
        <v>1.04</v>
      </c>
      <c r="U1276" t="str">
        <f t="shared" si="99"/>
        <v>Feb</v>
      </c>
    </row>
    <row r="1277" spans="1:21">
      <c r="A1277" s="2">
        <v>46117</v>
      </c>
      <c r="B1277" t="s">
        <v>6</v>
      </c>
      <c r="C1277" t="s">
        <v>34</v>
      </c>
      <c r="D1277" t="s">
        <v>11</v>
      </c>
      <c r="E1277" t="s">
        <v>32</v>
      </c>
      <c r="F1277" t="s">
        <v>39</v>
      </c>
      <c r="G1277">
        <v>38</v>
      </c>
      <c r="H1277">
        <v>31</v>
      </c>
      <c r="I1277">
        <v>15</v>
      </c>
      <c r="J1277">
        <v>38</v>
      </c>
      <c r="K1277">
        <v>315</v>
      </c>
      <c r="L1277">
        <v>81.86</v>
      </c>
      <c r="M1277">
        <v>1946.61</v>
      </c>
      <c r="N1277">
        <v>73281</v>
      </c>
      <c r="O1277">
        <v>970.65</v>
      </c>
      <c r="P1277" s="1">
        <v>0.86599999999999999</v>
      </c>
      <c r="Q1277">
        <f t="shared" si="95"/>
        <v>69</v>
      </c>
      <c r="R1277">
        <f t="shared" si="96"/>
        <v>69</v>
      </c>
      <c r="S1277" s="1">
        <f t="shared" si="97"/>
        <v>0.78260869565217395</v>
      </c>
      <c r="T1277">
        <f t="shared" si="98"/>
        <v>0.69</v>
      </c>
      <c r="U1277" t="str">
        <f t="shared" si="99"/>
        <v>Apr</v>
      </c>
    </row>
    <row r="1278" spans="1:21">
      <c r="A1278" s="2">
        <v>46074</v>
      </c>
      <c r="B1278" t="s">
        <v>4</v>
      </c>
      <c r="C1278" t="s">
        <v>43</v>
      </c>
      <c r="D1278" t="s">
        <v>11</v>
      </c>
      <c r="E1278" t="s">
        <v>47</v>
      </c>
      <c r="F1278" t="s">
        <v>39</v>
      </c>
      <c r="G1278">
        <v>50</v>
      </c>
      <c r="H1278">
        <v>40</v>
      </c>
      <c r="I1278">
        <v>20</v>
      </c>
      <c r="J1278">
        <v>147</v>
      </c>
      <c r="K1278">
        <v>179</v>
      </c>
      <c r="L1278">
        <v>89.9</v>
      </c>
      <c r="M1278">
        <v>2376.81</v>
      </c>
      <c r="N1278">
        <v>72234</v>
      </c>
      <c r="O1278">
        <v>1364.95</v>
      </c>
      <c r="P1278" s="1">
        <v>-0.64100000000000001</v>
      </c>
      <c r="Q1278">
        <f t="shared" si="95"/>
        <v>90</v>
      </c>
      <c r="R1278">
        <f t="shared" si="96"/>
        <v>187</v>
      </c>
      <c r="S1278" s="1">
        <f t="shared" si="97"/>
        <v>0.77777777777777779</v>
      </c>
      <c r="T1278">
        <f t="shared" si="98"/>
        <v>0.9</v>
      </c>
      <c r="U1278" t="str">
        <f t="shared" si="99"/>
        <v>Feb</v>
      </c>
    </row>
    <row r="1279" spans="1:21">
      <c r="A1279" s="2">
        <v>46090</v>
      </c>
      <c r="B1279" t="s">
        <v>4</v>
      </c>
      <c r="C1279" t="s">
        <v>40</v>
      </c>
      <c r="D1279" t="s">
        <v>9</v>
      </c>
      <c r="E1279" t="s">
        <v>38</v>
      </c>
      <c r="F1279" t="s">
        <v>39</v>
      </c>
      <c r="G1279">
        <v>71</v>
      </c>
      <c r="H1279">
        <v>61</v>
      </c>
      <c r="I1279">
        <v>5</v>
      </c>
      <c r="J1279">
        <v>39</v>
      </c>
      <c r="K1279">
        <v>382</v>
      </c>
      <c r="L1279">
        <v>81.84</v>
      </c>
      <c r="M1279">
        <v>2060.4</v>
      </c>
      <c r="N1279">
        <v>67622</v>
      </c>
      <c r="O1279">
        <v>1093.6600000000001</v>
      </c>
      <c r="P1279" s="1">
        <v>9.5000000000000001E-2</v>
      </c>
      <c r="Q1279">
        <f t="shared" si="95"/>
        <v>132</v>
      </c>
      <c r="R1279">
        <f t="shared" si="96"/>
        <v>100</v>
      </c>
      <c r="S1279" s="1">
        <f t="shared" si="97"/>
        <v>0.96212121212121215</v>
      </c>
      <c r="T1279">
        <f t="shared" si="98"/>
        <v>1.32</v>
      </c>
      <c r="U1279" t="str">
        <f t="shared" si="99"/>
        <v>Mar</v>
      </c>
    </row>
    <row r="1280" spans="1:21">
      <c r="A1280" s="2">
        <v>46097</v>
      </c>
      <c r="B1280" t="s">
        <v>4</v>
      </c>
      <c r="C1280" t="s">
        <v>48</v>
      </c>
      <c r="D1280" t="s">
        <v>5</v>
      </c>
      <c r="E1280" t="s">
        <v>47</v>
      </c>
      <c r="F1280" t="s">
        <v>49</v>
      </c>
      <c r="G1280">
        <v>10</v>
      </c>
      <c r="H1280">
        <v>41</v>
      </c>
      <c r="I1280">
        <v>44</v>
      </c>
      <c r="J1280">
        <v>33</v>
      </c>
      <c r="K1280">
        <v>155</v>
      </c>
      <c r="L1280">
        <v>104.84</v>
      </c>
      <c r="M1280">
        <v>2258.9499999999998</v>
      </c>
      <c r="N1280">
        <v>64117</v>
      </c>
      <c r="O1280">
        <v>1047.0999999999999</v>
      </c>
      <c r="P1280" s="1">
        <v>-0.502</v>
      </c>
      <c r="Q1280">
        <f t="shared" si="95"/>
        <v>51</v>
      </c>
      <c r="R1280">
        <f t="shared" si="96"/>
        <v>74</v>
      </c>
      <c r="S1280" s="1">
        <f t="shared" si="97"/>
        <v>0.13725490196078433</v>
      </c>
      <c r="T1280">
        <f t="shared" si="98"/>
        <v>0.51</v>
      </c>
      <c r="U1280" t="str">
        <f t="shared" si="99"/>
        <v>Mar</v>
      </c>
    </row>
    <row r="1281" spans="1:21">
      <c r="A1281" s="2">
        <v>46123</v>
      </c>
      <c r="B1281" t="s">
        <v>4</v>
      </c>
      <c r="C1281" t="s">
        <v>50</v>
      </c>
      <c r="D1281" t="s">
        <v>10</v>
      </c>
      <c r="E1281" t="s">
        <v>47</v>
      </c>
      <c r="F1281" t="s">
        <v>39</v>
      </c>
      <c r="G1281">
        <v>18</v>
      </c>
      <c r="H1281">
        <v>41</v>
      </c>
      <c r="I1281">
        <v>65</v>
      </c>
      <c r="J1281">
        <v>115</v>
      </c>
      <c r="K1281">
        <v>277</v>
      </c>
      <c r="L1281">
        <v>100.46</v>
      </c>
      <c r="M1281">
        <v>2270.66</v>
      </c>
      <c r="N1281">
        <v>72149</v>
      </c>
      <c r="O1281">
        <v>1363.36</v>
      </c>
      <c r="P1281" s="1">
        <v>0.81299999999999994</v>
      </c>
      <c r="Q1281">
        <f t="shared" si="95"/>
        <v>59</v>
      </c>
      <c r="R1281">
        <f t="shared" si="96"/>
        <v>156</v>
      </c>
      <c r="S1281" s="1">
        <f t="shared" si="97"/>
        <v>-0.10169491525423729</v>
      </c>
      <c r="T1281">
        <f t="shared" si="98"/>
        <v>0.59</v>
      </c>
      <c r="U1281" t="str">
        <f t="shared" si="99"/>
        <v>Apr</v>
      </c>
    </row>
    <row r="1282" spans="1:21">
      <c r="A1282" s="2">
        <v>46122</v>
      </c>
      <c r="B1282" t="s">
        <v>4</v>
      </c>
      <c r="C1282" t="s">
        <v>36</v>
      </c>
      <c r="D1282" t="s">
        <v>9</v>
      </c>
      <c r="E1282" t="s">
        <v>42</v>
      </c>
      <c r="F1282" t="s">
        <v>39</v>
      </c>
      <c r="G1282">
        <v>69</v>
      </c>
      <c r="H1282">
        <v>10</v>
      </c>
      <c r="I1282">
        <v>17</v>
      </c>
      <c r="J1282">
        <v>65</v>
      </c>
      <c r="K1282">
        <v>29</v>
      </c>
      <c r="L1282">
        <v>88.06</v>
      </c>
      <c r="M1282">
        <v>2123.1</v>
      </c>
      <c r="N1282">
        <v>72697</v>
      </c>
      <c r="O1282">
        <v>1486.27</v>
      </c>
      <c r="P1282" s="1">
        <v>-0.86199999999999999</v>
      </c>
      <c r="Q1282">
        <f t="shared" si="95"/>
        <v>79</v>
      </c>
      <c r="R1282">
        <f t="shared" si="96"/>
        <v>75</v>
      </c>
      <c r="S1282" s="1">
        <f t="shared" si="97"/>
        <v>0.78481012658227844</v>
      </c>
      <c r="T1282">
        <f t="shared" si="98"/>
        <v>0.79</v>
      </c>
      <c r="U1282" t="str">
        <f t="shared" si="99"/>
        <v>Apr</v>
      </c>
    </row>
    <row r="1283" spans="1:21">
      <c r="A1283" s="2">
        <v>46075</v>
      </c>
      <c r="B1283" t="s">
        <v>4</v>
      </c>
      <c r="C1283" t="s">
        <v>48</v>
      </c>
      <c r="D1283" t="s">
        <v>7</v>
      </c>
      <c r="E1283" t="s">
        <v>32</v>
      </c>
      <c r="F1283" t="s">
        <v>49</v>
      </c>
      <c r="G1283">
        <v>64</v>
      </c>
      <c r="H1283">
        <v>17</v>
      </c>
      <c r="I1283">
        <v>33</v>
      </c>
      <c r="J1283">
        <v>82</v>
      </c>
      <c r="K1283">
        <v>223</v>
      </c>
      <c r="L1283">
        <v>133.21</v>
      </c>
      <c r="M1283">
        <v>2126.61</v>
      </c>
      <c r="N1283">
        <v>72163</v>
      </c>
      <c r="O1283">
        <v>987.38</v>
      </c>
      <c r="P1283" s="1">
        <v>0.40300000000000002</v>
      </c>
      <c r="Q1283">
        <f t="shared" ref="Q1283:Q1346" si="100">G1283+H1283</f>
        <v>81</v>
      </c>
      <c r="R1283">
        <f t="shared" ref="R1283:R1346" si="101">J1283+H1283</f>
        <v>99</v>
      </c>
      <c r="S1283" s="1">
        <f t="shared" ref="S1283:S1346" si="102">(Q1283-I1283)/(Q1283)</f>
        <v>0.59259259259259256</v>
      </c>
      <c r="T1283">
        <f t="shared" ref="T1283:T1346" si="103">Q1283/100</f>
        <v>0.81</v>
      </c>
      <c r="U1283" t="str">
        <f t="shared" ref="U1283:U1346" si="104">TEXT(A1283,"mmm")</f>
        <v>Feb</v>
      </c>
    </row>
    <row r="1284" spans="1:21">
      <c r="A1284" s="2">
        <v>46069</v>
      </c>
      <c r="B1284" t="s">
        <v>4</v>
      </c>
      <c r="C1284" t="s">
        <v>31</v>
      </c>
      <c r="D1284" t="s">
        <v>10</v>
      </c>
      <c r="E1284" t="s">
        <v>37</v>
      </c>
      <c r="F1284" t="s">
        <v>39</v>
      </c>
      <c r="G1284">
        <v>18</v>
      </c>
      <c r="H1284">
        <v>5</v>
      </c>
      <c r="I1284">
        <v>30</v>
      </c>
      <c r="J1284">
        <v>152</v>
      </c>
      <c r="K1284">
        <v>172</v>
      </c>
      <c r="L1284">
        <v>95.02</v>
      </c>
      <c r="M1284">
        <v>1909.85</v>
      </c>
      <c r="N1284">
        <v>71040</v>
      </c>
      <c r="O1284">
        <v>1222.17</v>
      </c>
      <c r="P1284" s="1">
        <v>0.86899999999999999</v>
      </c>
      <c r="Q1284">
        <f t="shared" si="100"/>
        <v>23</v>
      </c>
      <c r="R1284">
        <f t="shared" si="101"/>
        <v>157</v>
      </c>
      <c r="S1284" s="1">
        <f t="shared" si="102"/>
        <v>-0.30434782608695654</v>
      </c>
      <c r="T1284">
        <f t="shared" si="103"/>
        <v>0.23</v>
      </c>
      <c r="U1284" t="str">
        <f t="shared" si="104"/>
        <v>Feb</v>
      </c>
    </row>
    <row r="1285" spans="1:21">
      <c r="A1285" s="2">
        <v>46081</v>
      </c>
      <c r="B1285" t="s">
        <v>6</v>
      </c>
      <c r="C1285" t="s">
        <v>40</v>
      </c>
      <c r="D1285" t="s">
        <v>11</v>
      </c>
      <c r="E1285" t="s">
        <v>41</v>
      </c>
      <c r="F1285" t="s">
        <v>49</v>
      </c>
      <c r="G1285">
        <v>76</v>
      </c>
      <c r="H1285">
        <v>57</v>
      </c>
      <c r="I1285">
        <v>72</v>
      </c>
      <c r="J1285">
        <v>140</v>
      </c>
      <c r="K1285">
        <v>426</v>
      </c>
      <c r="L1285">
        <v>117.32</v>
      </c>
      <c r="M1285">
        <v>2151.1999999999998</v>
      </c>
      <c r="N1285">
        <v>75168</v>
      </c>
      <c r="O1285">
        <v>1103.82</v>
      </c>
      <c r="P1285" s="1">
        <v>-0.77800000000000002</v>
      </c>
      <c r="Q1285">
        <f t="shared" si="100"/>
        <v>133</v>
      </c>
      <c r="R1285">
        <f t="shared" si="101"/>
        <v>197</v>
      </c>
      <c r="S1285" s="1">
        <f t="shared" si="102"/>
        <v>0.45864661654135336</v>
      </c>
      <c r="T1285">
        <f t="shared" si="103"/>
        <v>1.33</v>
      </c>
      <c r="U1285" t="str">
        <f t="shared" si="104"/>
        <v>Feb</v>
      </c>
    </row>
    <row r="1286" spans="1:21">
      <c r="A1286" s="2">
        <v>46121</v>
      </c>
      <c r="B1286" t="s">
        <v>6</v>
      </c>
      <c r="C1286" t="s">
        <v>44</v>
      </c>
      <c r="D1286" t="s">
        <v>9</v>
      </c>
      <c r="E1286" t="s">
        <v>37</v>
      </c>
      <c r="F1286" t="s">
        <v>45</v>
      </c>
      <c r="G1286">
        <v>67</v>
      </c>
      <c r="H1286">
        <v>78</v>
      </c>
      <c r="I1286">
        <v>64</v>
      </c>
      <c r="J1286">
        <v>157</v>
      </c>
      <c r="K1286">
        <v>379</v>
      </c>
      <c r="L1286">
        <v>85.04</v>
      </c>
      <c r="M1286">
        <v>1814.91</v>
      </c>
      <c r="N1286">
        <v>71348</v>
      </c>
      <c r="O1286">
        <v>986.01</v>
      </c>
      <c r="P1286" s="1">
        <v>-7.5999999999999998E-2</v>
      </c>
      <c r="Q1286">
        <f t="shared" si="100"/>
        <v>145</v>
      </c>
      <c r="R1286">
        <f t="shared" si="101"/>
        <v>235</v>
      </c>
      <c r="S1286" s="1">
        <f t="shared" si="102"/>
        <v>0.55862068965517242</v>
      </c>
      <c r="T1286">
        <f t="shared" si="103"/>
        <v>1.45</v>
      </c>
      <c r="U1286" t="str">
        <f t="shared" si="104"/>
        <v>Apr</v>
      </c>
    </row>
    <row r="1287" spans="1:21">
      <c r="A1287" s="2">
        <v>46087</v>
      </c>
      <c r="B1287" t="s">
        <v>4</v>
      </c>
      <c r="C1287" t="s">
        <v>44</v>
      </c>
      <c r="D1287" t="s">
        <v>10</v>
      </c>
      <c r="E1287" t="s">
        <v>42</v>
      </c>
      <c r="F1287" t="s">
        <v>49</v>
      </c>
      <c r="G1287">
        <v>92</v>
      </c>
      <c r="H1287">
        <v>34</v>
      </c>
      <c r="I1287">
        <v>29</v>
      </c>
      <c r="J1287">
        <v>132</v>
      </c>
      <c r="K1287">
        <v>436</v>
      </c>
      <c r="L1287">
        <v>139.88</v>
      </c>
      <c r="M1287">
        <v>2156.08</v>
      </c>
      <c r="N1287">
        <v>66797</v>
      </c>
      <c r="O1287">
        <v>1078.47</v>
      </c>
      <c r="P1287" s="1">
        <v>-0.43</v>
      </c>
      <c r="Q1287">
        <f t="shared" si="100"/>
        <v>126</v>
      </c>
      <c r="R1287">
        <f t="shared" si="101"/>
        <v>166</v>
      </c>
      <c r="S1287" s="1">
        <f t="shared" si="102"/>
        <v>0.76984126984126988</v>
      </c>
      <c r="T1287">
        <f t="shared" si="103"/>
        <v>1.26</v>
      </c>
      <c r="U1287" t="str">
        <f t="shared" si="104"/>
        <v>Mar</v>
      </c>
    </row>
    <row r="1288" spans="1:21">
      <c r="A1288" s="2">
        <v>46106</v>
      </c>
      <c r="B1288" t="s">
        <v>6</v>
      </c>
      <c r="C1288" t="s">
        <v>43</v>
      </c>
      <c r="D1288" t="s">
        <v>7</v>
      </c>
      <c r="E1288" t="s">
        <v>42</v>
      </c>
      <c r="F1288" t="s">
        <v>33</v>
      </c>
      <c r="G1288">
        <v>45</v>
      </c>
      <c r="H1288">
        <v>63</v>
      </c>
      <c r="I1288">
        <v>22</v>
      </c>
      <c r="J1288">
        <v>86</v>
      </c>
      <c r="K1288">
        <v>161</v>
      </c>
      <c r="L1288">
        <v>114.18</v>
      </c>
      <c r="M1288">
        <v>2413.59</v>
      </c>
      <c r="N1288">
        <v>67671</v>
      </c>
      <c r="O1288">
        <v>1353.23</v>
      </c>
      <c r="P1288" s="1">
        <v>0.14099999999999999</v>
      </c>
      <c r="Q1288">
        <f t="shared" si="100"/>
        <v>108</v>
      </c>
      <c r="R1288">
        <f t="shared" si="101"/>
        <v>149</v>
      </c>
      <c r="S1288" s="1">
        <f t="shared" si="102"/>
        <v>0.79629629629629628</v>
      </c>
      <c r="T1288">
        <f t="shared" si="103"/>
        <v>1.08</v>
      </c>
      <c r="U1288" t="str">
        <f t="shared" si="104"/>
        <v>Mar</v>
      </c>
    </row>
    <row r="1289" spans="1:21">
      <c r="A1289" s="2">
        <v>46072</v>
      </c>
      <c r="B1289" t="s">
        <v>4</v>
      </c>
      <c r="C1289" t="s">
        <v>43</v>
      </c>
      <c r="D1289" t="s">
        <v>5</v>
      </c>
      <c r="E1289" t="s">
        <v>47</v>
      </c>
      <c r="F1289" t="s">
        <v>33</v>
      </c>
      <c r="G1289">
        <v>42</v>
      </c>
      <c r="H1289">
        <v>58</v>
      </c>
      <c r="I1289">
        <v>26</v>
      </c>
      <c r="J1289">
        <v>6</v>
      </c>
      <c r="K1289">
        <v>225</v>
      </c>
      <c r="L1289">
        <v>82.49</v>
      </c>
      <c r="M1289">
        <v>2043.91</v>
      </c>
      <c r="N1289">
        <v>66233</v>
      </c>
      <c r="O1289">
        <v>1314.5</v>
      </c>
      <c r="P1289" s="1">
        <v>0.316</v>
      </c>
      <c r="Q1289">
        <f t="shared" si="100"/>
        <v>100</v>
      </c>
      <c r="R1289">
        <f t="shared" si="101"/>
        <v>64</v>
      </c>
      <c r="S1289" s="1">
        <f t="shared" si="102"/>
        <v>0.74</v>
      </c>
      <c r="T1289">
        <f t="shared" si="103"/>
        <v>1</v>
      </c>
      <c r="U1289" t="str">
        <f t="shared" si="104"/>
        <v>Feb</v>
      </c>
    </row>
    <row r="1290" spans="1:21">
      <c r="A1290" s="2">
        <v>46125</v>
      </c>
      <c r="B1290" t="s">
        <v>6</v>
      </c>
      <c r="C1290" t="s">
        <v>46</v>
      </c>
      <c r="D1290" t="s">
        <v>9</v>
      </c>
      <c r="E1290" t="s">
        <v>42</v>
      </c>
      <c r="F1290" t="s">
        <v>49</v>
      </c>
      <c r="G1290">
        <v>61</v>
      </c>
      <c r="H1290">
        <v>28</v>
      </c>
      <c r="I1290">
        <v>36</v>
      </c>
      <c r="J1290">
        <v>2</v>
      </c>
      <c r="K1290">
        <v>311</v>
      </c>
      <c r="L1290">
        <v>118.47</v>
      </c>
      <c r="M1290">
        <v>2172.7199999999998</v>
      </c>
      <c r="N1290">
        <v>69255</v>
      </c>
      <c r="O1290">
        <v>990.89</v>
      </c>
      <c r="P1290" s="1">
        <v>-0.31</v>
      </c>
      <c r="Q1290">
        <f t="shared" si="100"/>
        <v>89</v>
      </c>
      <c r="R1290">
        <f t="shared" si="101"/>
        <v>30</v>
      </c>
      <c r="S1290" s="1">
        <f t="shared" si="102"/>
        <v>0.5955056179775281</v>
      </c>
      <c r="T1290">
        <f t="shared" si="103"/>
        <v>0.89</v>
      </c>
      <c r="U1290" t="str">
        <f t="shared" si="104"/>
        <v>Apr</v>
      </c>
    </row>
    <row r="1291" spans="1:21">
      <c r="A1291" s="2">
        <v>46084</v>
      </c>
      <c r="B1291" t="s">
        <v>4</v>
      </c>
      <c r="C1291" t="s">
        <v>50</v>
      </c>
      <c r="D1291" t="s">
        <v>10</v>
      </c>
      <c r="E1291" t="s">
        <v>37</v>
      </c>
      <c r="F1291" t="s">
        <v>49</v>
      </c>
      <c r="G1291">
        <v>8</v>
      </c>
      <c r="H1291">
        <v>46</v>
      </c>
      <c r="I1291">
        <v>8</v>
      </c>
      <c r="J1291">
        <v>58</v>
      </c>
      <c r="K1291">
        <v>381</v>
      </c>
      <c r="L1291">
        <v>136.13999999999999</v>
      </c>
      <c r="M1291">
        <v>2440.4899999999998</v>
      </c>
      <c r="N1291">
        <v>66285</v>
      </c>
      <c r="O1291">
        <v>1346.6</v>
      </c>
      <c r="P1291" s="1">
        <v>-0.67500000000000004</v>
      </c>
      <c r="Q1291">
        <f t="shared" si="100"/>
        <v>54</v>
      </c>
      <c r="R1291">
        <f t="shared" si="101"/>
        <v>104</v>
      </c>
      <c r="S1291" s="1">
        <f t="shared" si="102"/>
        <v>0.85185185185185186</v>
      </c>
      <c r="T1291">
        <f t="shared" si="103"/>
        <v>0.54</v>
      </c>
      <c r="U1291" t="str">
        <f t="shared" si="104"/>
        <v>Mar</v>
      </c>
    </row>
    <row r="1292" spans="1:21">
      <c r="A1292" s="2">
        <v>46104</v>
      </c>
      <c r="B1292" t="s">
        <v>6</v>
      </c>
      <c r="C1292" t="s">
        <v>40</v>
      </c>
      <c r="D1292" t="s">
        <v>5</v>
      </c>
      <c r="E1292" t="s">
        <v>42</v>
      </c>
      <c r="F1292" t="s">
        <v>49</v>
      </c>
      <c r="G1292">
        <v>114</v>
      </c>
      <c r="H1292">
        <v>48</v>
      </c>
      <c r="I1292">
        <v>67</v>
      </c>
      <c r="J1292">
        <v>17</v>
      </c>
      <c r="K1292">
        <v>307</v>
      </c>
      <c r="L1292">
        <v>124.21</v>
      </c>
      <c r="M1292">
        <v>1918.75</v>
      </c>
      <c r="N1292">
        <v>74350</v>
      </c>
      <c r="O1292">
        <v>1604.44</v>
      </c>
      <c r="P1292" s="1">
        <v>-0.98899999999999999</v>
      </c>
      <c r="Q1292">
        <f t="shared" si="100"/>
        <v>162</v>
      </c>
      <c r="R1292">
        <f t="shared" si="101"/>
        <v>65</v>
      </c>
      <c r="S1292" s="1">
        <f t="shared" si="102"/>
        <v>0.5864197530864198</v>
      </c>
      <c r="T1292">
        <f t="shared" si="103"/>
        <v>1.62</v>
      </c>
      <c r="U1292" t="str">
        <f t="shared" si="104"/>
        <v>Mar</v>
      </c>
    </row>
    <row r="1293" spans="1:21">
      <c r="A1293" s="2">
        <v>46079</v>
      </c>
      <c r="B1293" t="s">
        <v>6</v>
      </c>
      <c r="C1293" t="s">
        <v>48</v>
      </c>
      <c r="D1293" t="s">
        <v>5</v>
      </c>
      <c r="E1293" t="s">
        <v>38</v>
      </c>
      <c r="F1293" t="s">
        <v>49</v>
      </c>
      <c r="G1293">
        <v>50</v>
      </c>
      <c r="H1293">
        <v>55</v>
      </c>
      <c r="I1293">
        <v>70</v>
      </c>
      <c r="J1293">
        <v>20</v>
      </c>
      <c r="K1293">
        <v>101</v>
      </c>
      <c r="L1293">
        <v>124.55</v>
      </c>
      <c r="M1293">
        <v>1943.8</v>
      </c>
      <c r="N1293">
        <v>67638</v>
      </c>
      <c r="O1293">
        <v>1167.5899999999999</v>
      </c>
      <c r="P1293" s="1">
        <v>-0.26700000000000002</v>
      </c>
      <c r="Q1293">
        <f t="shared" si="100"/>
        <v>105</v>
      </c>
      <c r="R1293">
        <f t="shared" si="101"/>
        <v>75</v>
      </c>
      <c r="S1293" s="1">
        <f t="shared" si="102"/>
        <v>0.33333333333333331</v>
      </c>
      <c r="T1293">
        <f t="shared" si="103"/>
        <v>1.05</v>
      </c>
      <c r="U1293" t="str">
        <f t="shared" si="104"/>
        <v>Feb</v>
      </c>
    </row>
    <row r="1294" spans="1:21">
      <c r="A1294" s="2">
        <v>46087</v>
      </c>
      <c r="B1294" t="s">
        <v>6</v>
      </c>
      <c r="C1294" t="s">
        <v>48</v>
      </c>
      <c r="D1294" t="s">
        <v>9</v>
      </c>
      <c r="E1294" t="s">
        <v>41</v>
      </c>
      <c r="F1294" t="s">
        <v>45</v>
      </c>
      <c r="G1294">
        <v>15</v>
      </c>
      <c r="H1294">
        <v>11</v>
      </c>
      <c r="I1294">
        <v>44</v>
      </c>
      <c r="J1294">
        <v>159</v>
      </c>
      <c r="K1294">
        <v>328</v>
      </c>
      <c r="L1294">
        <v>113.01</v>
      </c>
      <c r="M1294">
        <v>2065.4299999999998</v>
      </c>
      <c r="N1294">
        <v>75201</v>
      </c>
      <c r="O1294">
        <v>1588.1</v>
      </c>
      <c r="P1294" s="1">
        <v>0.66300000000000003</v>
      </c>
      <c r="Q1294">
        <f t="shared" si="100"/>
        <v>26</v>
      </c>
      <c r="R1294">
        <f t="shared" si="101"/>
        <v>170</v>
      </c>
      <c r="S1294" s="1">
        <f t="shared" si="102"/>
        <v>-0.69230769230769229</v>
      </c>
      <c r="T1294">
        <f t="shared" si="103"/>
        <v>0.26</v>
      </c>
      <c r="U1294" t="str">
        <f t="shared" si="104"/>
        <v>Mar</v>
      </c>
    </row>
    <row r="1295" spans="1:21">
      <c r="A1295" s="2">
        <v>46076</v>
      </c>
      <c r="B1295" t="s">
        <v>4</v>
      </c>
      <c r="C1295" t="s">
        <v>46</v>
      </c>
      <c r="D1295" t="s">
        <v>11</v>
      </c>
      <c r="E1295" t="s">
        <v>38</v>
      </c>
      <c r="F1295" t="s">
        <v>45</v>
      </c>
      <c r="G1295">
        <v>28</v>
      </c>
      <c r="H1295">
        <v>55</v>
      </c>
      <c r="I1295">
        <v>3</v>
      </c>
      <c r="J1295">
        <v>8</v>
      </c>
      <c r="K1295">
        <v>406</v>
      </c>
      <c r="L1295">
        <v>114.82</v>
      </c>
      <c r="M1295">
        <v>2418.9299999999998</v>
      </c>
      <c r="N1295">
        <v>67463</v>
      </c>
      <c r="O1295">
        <v>1673.49</v>
      </c>
      <c r="P1295" s="1">
        <v>-0.44</v>
      </c>
      <c r="Q1295">
        <f t="shared" si="100"/>
        <v>83</v>
      </c>
      <c r="R1295">
        <f t="shared" si="101"/>
        <v>63</v>
      </c>
      <c r="S1295" s="1">
        <f t="shared" si="102"/>
        <v>0.96385542168674698</v>
      </c>
      <c r="T1295">
        <f t="shared" si="103"/>
        <v>0.83</v>
      </c>
      <c r="U1295" t="str">
        <f t="shared" si="104"/>
        <v>Feb</v>
      </c>
    </row>
    <row r="1296" spans="1:21">
      <c r="A1296" s="2">
        <v>46102</v>
      </c>
      <c r="B1296" t="s">
        <v>4</v>
      </c>
      <c r="C1296" t="s">
        <v>50</v>
      </c>
      <c r="D1296" t="s">
        <v>11</v>
      </c>
      <c r="E1296" t="s">
        <v>37</v>
      </c>
      <c r="F1296" t="s">
        <v>49</v>
      </c>
      <c r="G1296">
        <v>32</v>
      </c>
      <c r="H1296">
        <v>30</v>
      </c>
      <c r="I1296">
        <v>24</v>
      </c>
      <c r="J1296">
        <v>78</v>
      </c>
      <c r="K1296">
        <v>109</v>
      </c>
      <c r="L1296">
        <v>115.2</v>
      </c>
      <c r="M1296">
        <v>1818.53</v>
      </c>
      <c r="N1296">
        <v>73887</v>
      </c>
      <c r="O1296">
        <v>1208.69</v>
      </c>
      <c r="P1296" s="1">
        <v>0.67300000000000004</v>
      </c>
      <c r="Q1296">
        <f t="shared" si="100"/>
        <v>62</v>
      </c>
      <c r="R1296">
        <f t="shared" si="101"/>
        <v>108</v>
      </c>
      <c r="S1296" s="1">
        <f t="shared" si="102"/>
        <v>0.61290322580645162</v>
      </c>
      <c r="T1296">
        <f t="shared" si="103"/>
        <v>0.62</v>
      </c>
      <c r="U1296" t="str">
        <f t="shared" si="104"/>
        <v>Mar</v>
      </c>
    </row>
    <row r="1297" spans="1:21">
      <c r="A1297" s="2">
        <v>46083</v>
      </c>
      <c r="B1297" t="s">
        <v>6</v>
      </c>
      <c r="C1297" t="s">
        <v>48</v>
      </c>
      <c r="D1297" t="s">
        <v>11</v>
      </c>
      <c r="E1297" t="s">
        <v>42</v>
      </c>
      <c r="F1297" t="s">
        <v>39</v>
      </c>
      <c r="G1297">
        <v>67</v>
      </c>
      <c r="H1297">
        <v>79</v>
      </c>
      <c r="I1297">
        <v>57</v>
      </c>
      <c r="J1297">
        <v>83</v>
      </c>
      <c r="K1297">
        <v>95</v>
      </c>
      <c r="L1297">
        <v>97.62</v>
      </c>
      <c r="M1297">
        <v>1920.13</v>
      </c>
      <c r="N1297">
        <v>73106</v>
      </c>
      <c r="O1297">
        <v>1385.92</v>
      </c>
      <c r="P1297" s="1">
        <v>0.436</v>
      </c>
      <c r="Q1297">
        <f t="shared" si="100"/>
        <v>146</v>
      </c>
      <c r="R1297">
        <f t="shared" si="101"/>
        <v>162</v>
      </c>
      <c r="S1297" s="1">
        <f t="shared" si="102"/>
        <v>0.6095890410958904</v>
      </c>
      <c r="T1297">
        <f t="shared" si="103"/>
        <v>1.46</v>
      </c>
      <c r="U1297" t="str">
        <f t="shared" si="104"/>
        <v>Mar</v>
      </c>
    </row>
    <row r="1298" spans="1:21">
      <c r="A1298" s="2">
        <v>46108</v>
      </c>
      <c r="B1298" t="s">
        <v>6</v>
      </c>
      <c r="C1298" t="s">
        <v>44</v>
      </c>
      <c r="D1298" t="s">
        <v>11</v>
      </c>
      <c r="E1298" t="s">
        <v>37</v>
      </c>
      <c r="F1298" t="s">
        <v>45</v>
      </c>
      <c r="G1298">
        <v>75</v>
      </c>
      <c r="H1298">
        <v>32</v>
      </c>
      <c r="I1298">
        <v>6</v>
      </c>
      <c r="J1298">
        <v>68</v>
      </c>
      <c r="K1298">
        <v>202</v>
      </c>
      <c r="L1298">
        <v>84.58</v>
      </c>
      <c r="M1298">
        <v>2141.52</v>
      </c>
      <c r="N1298">
        <v>71577</v>
      </c>
      <c r="O1298">
        <v>923.34</v>
      </c>
      <c r="P1298" s="1">
        <v>4.2000000000000003E-2</v>
      </c>
      <c r="Q1298">
        <f t="shared" si="100"/>
        <v>107</v>
      </c>
      <c r="R1298">
        <f t="shared" si="101"/>
        <v>100</v>
      </c>
      <c r="S1298" s="1">
        <f t="shared" si="102"/>
        <v>0.94392523364485981</v>
      </c>
      <c r="T1298">
        <f t="shared" si="103"/>
        <v>1.07</v>
      </c>
      <c r="U1298" t="str">
        <f t="shared" si="104"/>
        <v>Mar</v>
      </c>
    </row>
    <row r="1299" spans="1:21">
      <c r="A1299" s="2">
        <v>46094</v>
      </c>
      <c r="B1299" t="s">
        <v>4</v>
      </c>
      <c r="C1299" t="s">
        <v>36</v>
      </c>
      <c r="D1299" t="s">
        <v>11</v>
      </c>
      <c r="E1299" t="s">
        <v>38</v>
      </c>
      <c r="F1299" t="s">
        <v>49</v>
      </c>
      <c r="G1299">
        <v>3</v>
      </c>
      <c r="H1299">
        <v>6</v>
      </c>
      <c r="I1299">
        <v>71</v>
      </c>
      <c r="J1299">
        <v>61</v>
      </c>
      <c r="K1299">
        <v>83</v>
      </c>
      <c r="L1299">
        <v>99.87</v>
      </c>
      <c r="M1299">
        <v>2349.3000000000002</v>
      </c>
      <c r="N1299">
        <v>66018</v>
      </c>
      <c r="O1299">
        <v>1564.34</v>
      </c>
      <c r="P1299" s="1">
        <v>0.42199999999999999</v>
      </c>
      <c r="Q1299">
        <f t="shared" si="100"/>
        <v>9</v>
      </c>
      <c r="R1299">
        <f t="shared" si="101"/>
        <v>67</v>
      </c>
      <c r="S1299" s="1">
        <f t="shared" si="102"/>
        <v>-6.8888888888888893</v>
      </c>
      <c r="T1299">
        <f t="shared" si="103"/>
        <v>0.09</v>
      </c>
      <c r="U1299" t="str">
        <f t="shared" si="104"/>
        <v>Mar</v>
      </c>
    </row>
    <row r="1300" spans="1:21">
      <c r="A1300" s="2">
        <v>46071</v>
      </c>
      <c r="B1300" t="s">
        <v>6</v>
      </c>
      <c r="C1300" t="s">
        <v>43</v>
      </c>
      <c r="D1300" t="s">
        <v>5</v>
      </c>
      <c r="E1300" t="s">
        <v>47</v>
      </c>
      <c r="F1300" t="s">
        <v>33</v>
      </c>
      <c r="G1300">
        <v>86</v>
      </c>
      <c r="H1300">
        <v>55</v>
      </c>
      <c r="I1300">
        <v>44</v>
      </c>
      <c r="J1300">
        <v>47</v>
      </c>
      <c r="K1300">
        <v>369</v>
      </c>
      <c r="L1300">
        <v>130.04</v>
      </c>
      <c r="M1300">
        <v>2209.1999999999998</v>
      </c>
      <c r="N1300">
        <v>75362</v>
      </c>
      <c r="O1300">
        <v>1187.7</v>
      </c>
      <c r="P1300" s="1">
        <v>0.64</v>
      </c>
      <c r="Q1300">
        <f t="shared" si="100"/>
        <v>141</v>
      </c>
      <c r="R1300">
        <f t="shared" si="101"/>
        <v>102</v>
      </c>
      <c r="S1300" s="1">
        <f t="shared" si="102"/>
        <v>0.68794326241134751</v>
      </c>
      <c r="T1300">
        <f t="shared" si="103"/>
        <v>1.41</v>
      </c>
      <c r="U1300" t="str">
        <f t="shared" si="104"/>
        <v>Feb</v>
      </c>
    </row>
    <row r="1301" spans="1:21">
      <c r="A1301" s="2">
        <v>46093</v>
      </c>
      <c r="B1301" t="s">
        <v>6</v>
      </c>
      <c r="C1301" t="s">
        <v>50</v>
      </c>
      <c r="D1301" t="s">
        <v>9</v>
      </c>
      <c r="E1301" t="s">
        <v>38</v>
      </c>
      <c r="F1301" t="s">
        <v>33</v>
      </c>
      <c r="G1301">
        <v>100</v>
      </c>
      <c r="H1301">
        <v>63</v>
      </c>
      <c r="I1301">
        <v>53</v>
      </c>
      <c r="J1301">
        <v>144</v>
      </c>
      <c r="K1301">
        <v>277</v>
      </c>
      <c r="L1301">
        <v>112.65</v>
      </c>
      <c r="M1301">
        <v>2174.0300000000002</v>
      </c>
      <c r="N1301">
        <v>69519</v>
      </c>
      <c r="O1301">
        <v>1426.56</v>
      </c>
      <c r="P1301" s="1">
        <v>-0.96599999999999997</v>
      </c>
      <c r="Q1301">
        <f t="shared" si="100"/>
        <v>163</v>
      </c>
      <c r="R1301">
        <f t="shared" si="101"/>
        <v>207</v>
      </c>
      <c r="S1301" s="1">
        <f t="shared" si="102"/>
        <v>0.67484662576687116</v>
      </c>
      <c r="T1301">
        <f t="shared" si="103"/>
        <v>1.63</v>
      </c>
      <c r="U1301" t="str">
        <f t="shared" si="104"/>
        <v>Mar</v>
      </c>
    </row>
    <row r="1302" spans="1:21">
      <c r="A1302" s="2">
        <v>46096</v>
      </c>
      <c r="B1302" t="s">
        <v>6</v>
      </c>
      <c r="C1302" t="s">
        <v>48</v>
      </c>
      <c r="D1302" t="s">
        <v>11</v>
      </c>
      <c r="E1302" t="s">
        <v>37</v>
      </c>
      <c r="F1302" t="s">
        <v>45</v>
      </c>
      <c r="G1302">
        <v>53</v>
      </c>
      <c r="H1302">
        <v>1</v>
      </c>
      <c r="I1302">
        <v>1</v>
      </c>
      <c r="J1302">
        <v>82</v>
      </c>
      <c r="K1302">
        <v>37</v>
      </c>
      <c r="L1302">
        <v>84.75</v>
      </c>
      <c r="M1302">
        <v>2211</v>
      </c>
      <c r="N1302">
        <v>73256</v>
      </c>
      <c r="O1302">
        <v>1260.54</v>
      </c>
      <c r="P1302" s="1">
        <v>0.627</v>
      </c>
      <c r="Q1302">
        <f t="shared" si="100"/>
        <v>54</v>
      </c>
      <c r="R1302">
        <f t="shared" si="101"/>
        <v>83</v>
      </c>
      <c r="S1302" s="1">
        <f t="shared" si="102"/>
        <v>0.98148148148148151</v>
      </c>
      <c r="T1302">
        <f t="shared" si="103"/>
        <v>0.54</v>
      </c>
      <c r="U1302" t="str">
        <f t="shared" si="104"/>
        <v>Mar</v>
      </c>
    </row>
    <row r="1303" spans="1:21">
      <c r="A1303" s="2">
        <v>46070</v>
      </c>
      <c r="B1303" t="s">
        <v>4</v>
      </c>
      <c r="C1303" t="s">
        <v>46</v>
      </c>
      <c r="D1303" t="s">
        <v>5</v>
      </c>
      <c r="E1303" t="s">
        <v>42</v>
      </c>
      <c r="F1303" t="s">
        <v>49</v>
      </c>
      <c r="G1303">
        <v>28</v>
      </c>
      <c r="H1303">
        <v>37</v>
      </c>
      <c r="I1303">
        <v>74</v>
      </c>
      <c r="J1303">
        <v>70</v>
      </c>
      <c r="K1303">
        <v>153</v>
      </c>
      <c r="L1303">
        <v>111.03</v>
      </c>
      <c r="M1303">
        <v>2403.4899999999998</v>
      </c>
      <c r="N1303">
        <v>75406</v>
      </c>
      <c r="O1303">
        <v>1618</v>
      </c>
      <c r="P1303" s="1">
        <v>-0.95899999999999996</v>
      </c>
      <c r="Q1303">
        <f t="shared" si="100"/>
        <v>65</v>
      </c>
      <c r="R1303">
        <f t="shared" si="101"/>
        <v>107</v>
      </c>
      <c r="S1303" s="1">
        <f t="shared" si="102"/>
        <v>-0.13846153846153847</v>
      </c>
      <c r="T1303">
        <f t="shared" si="103"/>
        <v>0.65</v>
      </c>
      <c r="U1303" t="str">
        <f t="shared" si="104"/>
        <v>Feb</v>
      </c>
    </row>
    <row r="1304" spans="1:21">
      <c r="A1304" s="2">
        <v>46101</v>
      </c>
      <c r="B1304" t="s">
        <v>4</v>
      </c>
      <c r="C1304" t="s">
        <v>44</v>
      </c>
      <c r="D1304" t="s">
        <v>5</v>
      </c>
      <c r="E1304" t="s">
        <v>37</v>
      </c>
      <c r="F1304" t="s">
        <v>49</v>
      </c>
      <c r="G1304">
        <v>91</v>
      </c>
      <c r="H1304">
        <v>30</v>
      </c>
      <c r="I1304">
        <v>22</v>
      </c>
      <c r="J1304">
        <v>3</v>
      </c>
      <c r="K1304">
        <v>225</v>
      </c>
      <c r="L1304">
        <v>88.62</v>
      </c>
      <c r="M1304">
        <v>2419.38</v>
      </c>
      <c r="N1304">
        <v>67862</v>
      </c>
      <c r="O1304">
        <v>1441.9</v>
      </c>
      <c r="P1304" s="1">
        <v>0.17899999999999999</v>
      </c>
      <c r="Q1304">
        <f t="shared" si="100"/>
        <v>121</v>
      </c>
      <c r="R1304">
        <f t="shared" si="101"/>
        <v>33</v>
      </c>
      <c r="S1304" s="1">
        <f t="shared" si="102"/>
        <v>0.81818181818181823</v>
      </c>
      <c r="T1304">
        <f t="shared" si="103"/>
        <v>1.21</v>
      </c>
      <c r="U1304" t="str">
        <f t="shared" si="104"/>
        <v>Mar</v>
      </c>
    </row>
    <row r="1305" spans="1:21">
      <c r="A1305" s="2">
        <v>46109</v>
      </c>
      <c r="B1305" t="s">
        <v>6</v>
      </c>
      <c r="C1305" t="s">
        <v>46</v>
      </c>
      <c r="D1305" t="s">
        <v>5</v>
      </c>
      <c r="E1305" t="s">
        <v>32</v>
      </c>
      <c r="F1305" t="s">
        <v>33</v>
      </c>
      <c r="G1305">
        <v>28</v>
      </c>
      <c r="H1305">
        <v>9</v>
      </c>
      <c r="I1305">
        <v>9</v>
      </c>
      <c r="J1305">
        <v>39</v>
      </c>
      <c r="K1305">
        <v>55</v>
      </c>
      <c r="L1305">
        <v>83.67</v>
      </c>
      <c r="M1305">
        <v>2152.69</v>
      </c>
      <c r="N1305">
        <v>75767</v>
      </c>
      <c r="O1305">
        <v>995.93</v>
      </c>
      <c r="P1305" s="1">
        <v>3.1E-2</v>
      </c>
      <c r="Q1305">
        <f t="shared" si="100"/>
        <v>37</v>
      </c>
      <c r="R1305">
        <f t="shared" si="101"/>
        <v>48</v>
      </c>
      <c r="S1305" s="1">
        <f t="shared" si="102"/>
        <v>0.7567567567567568</v>
      </c>
      <c r="T1305">
        <f t="shared" si="103"/>
        <v>0.37</v>
      </c>
      <c r="U1305" t="str">
        <f t="shared" si="104"/>
        <v>Mar</v>
      </c>
    </row>
    <row r="1306" spans="1:21">
      <c r="A1306" s="2">
        <v>46111</v>
      </c>
      <c r="B1306" t="s">
        <v>6</v>
      </c>
      <c r="C1306" t="s">
        <v>40</v>
      </c>
      <c r="D1306" t="s">
        <v>7</v>
      </c>
      <c r="E1306" t="s">
        <v>32</v>
      </c>
      <c r="F1306" t="s">
        <v>33</v>
      </c>
      <c r="G1306">
        <v>24</v>
      </c>
      <c r="H1306">
        <v>72</v>
      </c>
      <c r="I1306">
        <v>25</v>
      </c>
      <c r="J1306">
        <v>158</v>
      </c>
      <c r="K1306">
        <v>320</v>
      </c>
      <c r="L1306">
        <v>95.59</v>
      </c>
      <c r="M1306">
        <v>1879.63</v>
      </c>
      <c r="N1306">
        <v>70458</v>
      </c>
      <c r="O1306">
        <v>1633.82</v>
      </c>
      <c r="P1306" s="1">
        <v>0.73099999999999998</v>
      </c>
      <c r="Q1306">
        <f t="shared" si="100"/>
        <v>96</v>
      </c>
      <c r="R1306">
        <f t="shared" si="101"/>
        <v>230</v>
      </c>
      <c r="S1306" s="1">
        <f t="shared" si="102"/>
        <v>0.73958333333333337</v>
      </c>
      <c r="T1306">
        <f t="shared" si="103"/>
        <v>0.96</v>
      </c>
      <c r="U1306" t="str">
        <f t="shared" si="104"/>
        <v>Mar</v>
      </c>
    </row>
    <row r="1307" spans="1:21">
      <c r="A1307" s="2">
        <v>46098</v>
      </c>
      <c r="B1307" t="s">
        <v>4</v>
      </c>
      <c r="C1307" t="s">
        <v>50</v>
      </c>
      <c r="D1307" t="s">
        <v>7</v>
      </c>
      <c r="E1307" t="s">
        <v>47</v>
      </c>
      <c r="F1307" t="s">
        <v>33</v>
      </c>
      <c r="G1307">
        <v>84</v>
      </c>
      <c r="H1307">
        <v>14</v>
      </c>
      <c r="I1307">
        <v>48</v>
      </c>
      <c r="J1307">
        <v>151</v>
      </c>
      <c r="K1307">
        <v>72</v>
      </c>
      <c r="L1307">
        <v>125.32</v>
      </c>
      <c r="M1307">
        <v>2494.84</v>
      </c>
      <c r="N1307">
        <v>68306</v>
      </c>
      <c r="O1307">
        <v>915.31</v>
      </c>
      <c r="P1307" s="1">
        <v>-0.80200000000000005</v>
      </c>
      <c r="Q1307">
        <f t="shared" si="100"/>
        <v>98</v>
      </c>
      <c r="R1307">
        <f t="shared" si="101"/>
        <v>165</v>
      </c>
      <c r="S1307" s="1">
        <f t="shared" si="102"/>
        <v>0.51020408163265307</v>
      </c>
      <c r="T1307">
        <f t="shared" si="103"/>
        <v>0.98</v>
      </c>
      <c r="U1307" t="str">
        <f t="shared" si="104"/>
        <v>Mar</v>
      </c>
    </row>
    <row r="1308" spans="1:21">
      <c r="A1308" s="2">
        <v>46090</v>
      </c>
      <c r="B1308" t="s">
        <v>4</v>
      </c>
      <c r="C1308" t="s">
        <v>50</v>
      </c>
      <c r="D1308" t="s">
        <v>11</v>
      </c>
      <c r="E1308" t="s">
        <v>37</v>
      </c>
      <c r="F1308" t="s">
        <v>33</v>
      </c>
      <c r="G1308">
        <v>8</v>
      </c>
      <c r="H1308">
        <v>29</v>
      </c>
      <c r="I1308">
        <v>46</v>
      </c>
      <c r="J1308">
        <v>6</v>
      </c>
      <c r="K1308">
        <v>373</v>
      </c>
      <c r="L1308">
        <v>112.7</v>
      </c>
      <c r="M1308">
        <v>1961.86</v>
      </c>
      <c r="N1308">
        <v>66805</v>
      </c>
      <c r="O1308">
        <v>1707.75</v>
      </c>
      <c r="P1308" s="1">
        <v>0.48899999999999999</v>
      </c>
      <c r="Q1308">
        <f t="shared" si="100"/>
        <v>37</v>
      </c>
      <c r="R1308">
        <f t="shared" si="101"/>
        <v>35</v>
      </c>
      <c r="S1308" s="1">
        <f t="shared" si="102"/>
        <v>-0.24324324324324326</v>
      </c>
      <c r="T1308">
        <f t="shared" si="103"/>
        <v>0.37</v>
      </c>
      <c r="U1308" t="str">
        <f t="shared" si="104"/>
        <v>Mar</v>
      </c>
    </row>
    <row r="1309" spans="1:21">
      <c r="A1309" s="2">
        <v>46093</v>
      </c>
      <c r="B1309" t="s">
        <v>4</v>
      </c>
      <c r="C1309" t="s">
        <v>43</v>
      </c>
      <c r="D1309" t="s">
        <v>7</v>
      </c>
      <c r="E1309" t="s">
        <v>37</v>
      </c>
      <c r="F1309" t="s">
        <v>33</v>
      </c>
      <c r="G1309">
        <v>14</v>
      </c>
      <c r="H1309">
        <v>3</v>
      </c>
      <c r="I1309">
        <v>32</v>
      </c>
      <c r="J1309">
        <v>54</v>
      </c>
      <c r="K1309">
        <v>282</v>
      </c>
      <c r="L1309">
        <v>80.84</v>
      </c>
      <c r="M1309">
        <v>2124.7600000000002</v>
      </c>
      <c r="N1309">
        <v>71975</v>
      </c>
      <c r="O1309">
        <v>1680.29</v>
      </c>
      <c r="P1309" s="1">
        <v>0.625</v>
      </c>
      <c r="Q1309">
        <f t="shared" si="100"/>
        <v>17</v>
      </c>
      <c r="R1309">
        <f t="shared" si="101"/>
        <v>57</v>
      </c>
      <c r="S1309" s="1">
        <f t="shared" si="102"/>
        <v>-0.88235294117647056</v>
      </c>
      <c r="T1309">
        <f t="shared" si="103"/>
        <v>0.17</v>
      </c>
      <c r="U1309" t="str">
        <f t="shared" si="104"/>
        <v>Mar</v>
      </c>
    </row>
    <row r="1310" spans="1:21">
      <c r="A1310" s="2">
        <v>46120</v>
      </c>
      <c r="B1310" t="s">
        <v>4</v>
      </c>
      <c r="C1310" t="s">
        <v>48</v>
      </c>
      <c r="D1310" t="s">
        <v>5</v>
      </c>
      <c r="E1310" t="s">
        <v>47</v>
      </c>
      <c r="F1310" t="s">
        <v>45</v>
      </c>
      <c r="G1310">
        <v>96</v>
      </c>
      <c r="H1310">
        <v>11</v>
      </c>
      <c r="I1310">
        <v>2</v>
      </c>
      <c r="J1310">
        <v>123</v>
      </c>
      <c r="K1310">
        <v>80</v>
      </c>
      <c r="L1310">
        <v>121.44</v>
      </c>
      <c r="M1310">
        <v>2321.88</v>
      </c>
      <c r="N1310">
        <v>71528</v>
      </c>
      <c r="O1310">
        <v>1706.57</v>
      </c>
      <c r="P1310" s="1">
        <v>0.377</v>
      </c>
      <c r="Q1310">
        <f t="shared" si="100"/>
        <v>107</v>
      </c>
      <c r="R1310">
        <f t="shared" si="101"/>
        <v>134</v>
      </c>
      <c r="S1310" s="1">
        <f t="shared" si="102"/>
        <v>0.98130841121495327</v>
      </c>
      <c r="T1310">
        <f t="shared" si="103"/>
        <v>1.07</v>
      </c>
      <c r="U1310" t="str">
        <f t="shared" si="104"/>
        <v>Apr</v>
      </c>
    </row>
    <row r="1311" spans="1:21">
      <c r="A1311" s="2">
        <v>46109</v>
      </c>
      <c r="B1311" t="s">
        <v>4</v>
      </c>
      <c r="C1311" t="s">
        <v>50</v>
      </c>
      <c r="D1311" t="s">
        <v>10</v>
      </c>
      <c r="E1311" t="s">
        <v>35</v>
      </c>
      <c r="F1311" t="s">
        <v>39</v>
      </c>
      <c r="G1311">
        <v>62</v>
      </c>
      <c r="H1311">
        <v>57</v>
      </c>
      <c r="I1311">
        <v>61</v>
      </c>
      <c r="J1311">
        <v>59</v>
      </c>
      <c r="K1311">
        <v>419</v>
      </c>
      <c r="L1311">
        <v>137.47</v>
      </c>
      <c r="M1311">
        <v>2218.2600000000002</v>
      </c>
      <c r="N1311">
        <v>71421</v>
      </c>
      <c r="O1311">
        <v>1151.72</v>
      </c>
      <c r="P1311" s="1">
        <v>1.0999999999999999E-2</v>
      </c>
      <c r="Q1311">
        <f t="shared" si="100"/>
        <v>119</v>
      </c>
      <c r="R1311">
        <f t="shared" si="101"/>
        <v>116</v>
      </c>
      <c r="S1311" s="1">
        <f t="shared" si="102"/>
        <v>0.48739495798319327</v>
      </c>
      <c r="T1311">
        <f t="shared" si="103"/>
        <v>1.19</v>
      </c>
      <c r="U1311" t="str">
        <f t="shared" si="104"/>
        <v>Mar</v>
      </c>
    </row>
    <row r="1312" spans="1:21">
      <c r="A1312" s="2">
        <v>46090</v>
      </c>
      <c r="B1312" t="s">
        <v>4</v>
      </c>
      <c r="C1312" t="s">
        <v>34</v>
      </c>
      <c r="D1312" t="s">
        <v>9</v>
      </c>
      <c r="E1312" t="s">
        <v>35</v>
      </c>
      <c r="F1312" t="s">
        <v>45</v>
      </c>
      <c r="G1312">
        <v>93</v>
      </c>
      <c r="H1312">
        <v>36</v>
      </c>
      <c r="I1312">
        <v>68</v>
      </c>
      <c r="J1312">
        <v>53</v>
      </c>
      <c r="K1312">
        <v>129</v>
      </c>
      <c r="L1312">
        <v>107.34</v>
      </c>
      <c r="M1312">
        <v>2018.1</v>
      </c>
      <c r="N1312">
        <v>74889</v>
      </c>
      <c r="O1312">
        <v>1067.22</v>
      </c>
      <c r="P1312" s="1">
        <v>0.69799999999999995</v>
      </c>
      <c r="Q1312">
        <f t="shared" si="100"/>
        <v>129</v>
      </c>
      <c r="R1312">
        <f t="shared" si="101"/>
        <v>89</v>
      </c>
      <c r="S1312" s="1">
        <f t="shared" si="102"/>
        <v>0.47286821705426357</v>
      </c>
      <c r="T1312">
        <f t="shared" si="103"/>
        <v>1.29</v>
      </c>
      <c r="U1312" t="str">
        <f t="shared" si="104"/>
        <v>Mar</v>
      </c>
    </row>
    <row r="1313" spans="1:21">
      <c r="A1313" s="2">
        <v>46111</v>
      </c>
      <c r="B1313" t="s">
        <v>6</v>
      </c>
      <c r="C1313" t="s">
        <v>46</v>
      </c>
      <c r="D1313" t="s">
        <v>11</v>
      </c>
      <c r="E1313" t="s">
        <v>38</v>
      </c>
      <c r="F1313" t="s">
        <v>33</v>
      </c>
      <c r="G1313">
        <v>98</v>
      </c>
      <c r="H1313">
        <v>5</v>
      </c>
      <c r="I1313">
        <v>38</v>
      </c>
      <c r="J1313">
        <v>47</v>
      </c>
      <c r="K1313">
        <v>365</v>
      </c>
      <c r="L1313">
        <v>84.69</v>
      </c>
      <c r="M1313">
        <v>2249.83</v>
      </c>
      <c r="N1313">
        <v>68529</v>
      </c>
      <c r="O1313">
        <v>1539.23</v>
      </c>
      <c r="P1313" s="1">
        <v>0.45500000000000002</v>
      </c>
      <c r="Q1313">
        <f t="shared" si="100"/>
        <v>103</v>
      </c>
      <c r="R1313">
        <f t="shared" si="101"/>
        <v>52</v>
      </c>
      <c r="S1313" s="1">
        <f t="shared" si="102"/>
        <v>0.6310679611650486</v>
      </c>
      <c r="T1313">
        <f t="shared" si="103"/>
        <v>1.03</v>
      </c>
      <c r="U1313" t="str">
        <f t="shared" si="104"/>
        <v>Mar</v>
      </c>
    </row>
    <row r="1314" spans="1:21">
      <c r="A1314" s="2">
        <v>46075</v>
      </c>
      <c r="B1314" t="s">
        <v>4</v>
      </c>
      <c r="C1314" t="s">
        <v>44</v>
      </c>
      <c r="D1314" t="s">
        <v>11</v>
      </c>
      <c r="E1314" t="s">
        <v>38</v>
      </c>
      <c r="F1314" t="s">
        <v>39</v>
      </c>
      <c r="G1314">
        <v>33</v>
      </c>
      <c r="H1314">
        <v>49</v>
      </c>
      <c r="I1314">
        <v>39</v>
      </c>
      <c r="J1314">
        <v>45</v>
      </c>
      <c r="K1314">
        <v>273</v>
      </c>
      <c r="L1314">
        <v>108.15</v>
      </c>
      <c r="M1314">
        <v>2260.9699999999998</v>
      </c>
      <c r="N1314">
        <v>73321</v>
      </c>
      <c r="O1314">
        <v>1734.4</v>
      </c>
      <c r="P1314" s="1">
        <v>-0.73</v>
      </c>
      <c r="Q1314">
        <f t="shared" si="100"/>
        <v>82</v>
      </c>
      <c r="R1314">
        <f t="shared" si="101"/>
        <v>94</v>
      </c>
      <c r="S1314" s="1">
        <f t="shared" si="102"/>
        <v>0.52439024390243905</v>
      </c>
      <c r="T1314">
        <f t="shared" si="103"/>
        <v>0.82</v>
      </c>
      <c r="U1314" t="str">
        <f t="shared" si="104"/>
        <v>Feb</v>
      </c>
    </row>
    <row r="1315" spans="1:21">
      <c r="A1315" s="2">
        <v>46092</v>
      </c>
      <c r="B1315" t="s">
        <v>4</v>
      </c>
      <c r="C1315" t="s">
        <v>46</v>
      </c>
      <c r="D1315" t="s">
        <v>10</v>
      </c>
      <c r="E1315" t="s">
        <v>42</v>
      </c>
      <c r="F1315" t="s">
        <v>49</v>
      </c>
      <c r="G1315">
        <v>17</v>
      </c>
      <c r="H1315">
        <v>34</v>
      </c>
      <c r="I1315">
        <v>83</v>
      </c>
      <c r="J1315">
        <v>153</v>
      </c>
      <c r="K1315">
        <v>308</v>
      </c>
      <c r="L1315">
        <v>114.52</v>
      </c>
      <c r="M1315">
        <v>2289.48</v>
      </c>
      <c r="N1315">
        <v>66262</v>
      </c>
      <c r="O1315">
        <v>1552.68</v>
      </c>
      <c r="P1315" s="1">
        <v>-9.4E-2</v>
      </c>
      <c r="Q1315">
        <f t="shared" si="100"/>
        <v>51</v>
      </c>
      <c r="R1315">
        <f t="shared" si="101"/>
        <v>187</v>
      </c>
      <c r="S1315" s="1">
        <f t="shared" si="102"/>
        <v>-0.62745098039215685</v>
      </c>
      <c r="T1315">
        <f t="shared" si="103"/>
        <v>0.51</v>
      </c>
      <c r="U1315" t="str">
        <f t="shared" si="104"/>
        <v>Mar</v>
      </c>
    </row>
    <row r="1316" spans="1:21">
      <c r="A1316" s="2">
        <v>46099</v>
      </c>
      <c r="B1316" t="s">
        <v>6</v>
      </c>
      <c r="C1316" t="s">
        <v>36</v>
      </c>
      <c r="D1316" t="s">
        <v>9</v>
      </c>
      <c r="E1316" t="s">
        <v>32</v>
      </c>
      <c r="F1316" t="s">
        <v>45</v>
      </c>
      <c r="G1316">
        <v>22</v>
      </c>
      <c r="H1316">
        <v>8</v>
      </c>
      <c r="I1316">
        <v>39</v>
      </c>
      <c r="J1316">
        <v>6</v>
      </c>
      <c r="K1316">
        <v>172</v>
      </c>
      <c r="L1316">
        <v>109.16</v>
      </c>
      <c r="M1316">
        <v>2262.16</v>
      </c>
      <c r="N1316">
        <v>75937</v>
      </c>
      <c r="O1316">
        <v>1450.66</v>
      </c>
      <c r="P1316" s="1">
        <v>0.19800000000000001</v>
      </c>
      <c r="Q1316">
        <f t="shared" si="100"/>
        <v>30</v>
      </c>
      <c r="R1316">
        <f t="shared" si="101"/>
        <v>14</v>
      </c>
      <c r="S1316" s="1">
        <f t="shared" si="102"/>
        <v>-0.3</v>
      </c>
      <c r="T1316">
        <f t="shared" si="103"/>
        <v>0.3</v>
      </c>
      <c r="U1316" t="str">
        <f t="shared" si="104"/>
        <v>Mar</v>
      </c>
    </row>
    <row r="1317" spans="1:21">
      <c r="A1317" s="2">
        <v>46078</v>
      </c>
      <c r="B1317" t="s">
        <v>4</v>
      </c>
      <c r="C1317" t="s">
        <v>46</v>
      </c>
      <c r="D1317" t="s">
        <v>5</v>
      </c>
      <c r="E1317" t="s">
        <v>35</v>
      </c>
      <c r="F1317" t="s">
        <v>33</v>
      </c>
      <c r="G1317">
        <v>85</v>
      </c>
      <c r="H1317">
        <v>33</v>
      </c>
      <c r="I1317">
        <v>2</v>
      </c>
      <c r="J1317">
        <v>84</v>
      </c>
      <c r="K1317">
        <v>224</v>
      </c>
      <c r="L1317">
        <v>87.9</v>
      </c>
      <c r="M1317">
        <v>2357.5500000000002</v>
      </c>
      <c r="N1317">
        <v>68614</v>
      </c>
      <c r="O1317">
        <v>1112.0899999999999</v>
      </c>
      <c r="P1317" s="1">
        <v>0.28899999999999998</v>
      </c>
      <c r="Q1317">
        <f t="shared" si="100"/>
        <v>118</v>
      </c>
      <c r="R1317">
        <f t="shared" si="101"/>
        <v>117</v>
      </c>
      <c r="S1317" s="1">
        <f t="shared" si="102"/>
        <v>0.98305084745762716</v>
      </c>
      <c r="T1317">
        <f t="shared" si="103"/>
        <v>1.18</v>
      </c>
      <c r="U1317" t="str">
        <f t="shared" si="104"/>
        <v>Feb</v>
      </c>
    </row>
    <row r="1318" spans="1:21">
      <c r="A1318" s="2">
        <v>46083</v>
      </c>
      <c r="B1318" t="s">
        <v>4</v>
      </c>
      <c r="C1318" t="s">
        <v>43</v>
      </c>
      <c r="D1318" t="s">
        <v>10</v>
      </c>
      <c r="E1318" t="s">
        <v>35</v>
      </c>
      <c r="F1318" t="s">
        <v>45</v>
      </c>
      <c r="G1318">
        <v>111</v>
      </c>
      <c r="H1318">
        <v>59</v>
      </c>
      <c r="I1318">
        <v>27</v>
      </c>
      <c r="J1318">
        <v>52</v>
      </c>
      <c r="K1318">
        <v>312</v>
      </c>
      <c r="L1318">
        <v>133.83000000000001</v>
      </c>
      <c r="M1318">
        <v>2394.3000000000002</v>
      </c>
      <c r="N1318">
        <v>65228</v>
      </c>
      <c r="O1318">
        <v>995.9</v>
      </c>
      <c r="P1318" s="1">
        <v>7.9000000000000001E-2</v>
      </c>
      <c r="Q1318">
        <f t="shared" si="100"/>
        <v>170</v>
      </c>
      <c r="R1318">
        <f t="shared" si="101"/>
        <v>111</v>
      </c>
      <c r="S1318" s="1">
        <f t="shared" si="102"/>
        <v>0.8411764705882353</v>
      </c>
      <c r="T1318">
        <f t="shared" si="103"/>
        <v>1.7</v>
      </c>
      <c r="U1318" t="str">
        <f t="shared" si="104"/>
        <v>Mar</v>
      </c>
    </row>
    <row r="1319" spans="1:21">
      <c r="A1319" s="2">
        <v>46126</v>
      </c>
      <c r="B1319" t="s">
        <v>6</v>
      </c>
      <c r="C1319" t="s">
        <v>40</v>
      </c>
      <c r="D1319" t="s">
        <v>7</v>
      </c>
      <c r="E1319" t="s">
        <v>38</v>
      </c>
      <c r="F1319" t="s">
        <v>39</v>
      </c>
      <c r="G1319">
        <v>98</v>
      </c>
      <c r="H1319">
        <v>29</v>
      </c>
      <c r="I1319">
        <v>27</v>
      </c>
      <c r="J1319">
        <v>54</v>
      </c>
      <c r="K1319">
        <v>405</v>
      </c>
      <c r="L1319">
        <v>138.43</v>
      </c>
      <c r="M1319">
        <v>2311.59</v>
      </c>
      <c r="N1319">
        <v>66795</v>
      </c>
      <c r="O1319">
        <v>1382.87</v>
      </c>
      <c r="P1319" s="1">
        <v>-0.23</v>
      </c>
      <c r="Q1319">
        <f t="shared" si="100"/>
        <v>127</v>
      </c>
      <c r="R1319">
        <f t="shared" si="101"/>
        <v>83</v>
      </c>
      <c r="S1319" s="1">
        <f t="shared" si="102"/>
        <v>0.78740157480314965</v>
      </c>
      <c r="T1319">
        <f t="shared" si="103"/>
        <v>1.27</v>
      </c>
      <c r="U1319" t="str">
        <f t="shared" si="104"/>
        <v>Apr</v>
      </c>
    </row>
    <row r="1320" spans="1:21">
      <c r="A1320" s="2">
        <v>46115</v>
      </c>
      <c r="B1320" t="s">
        <v>6</v>
      </c>
      <c r="C1320" t="s">
        <v>43</v>
      </c>
      <c r="D1320" t="s">
        <v>5</v>
      </c>
      <c r="E1320" t="s">
        <v>32</v>
      </c>
      <c r="F1320" t="s">
        <v>33</v>
      </c>
      <c r="G1320">
        <v>59</v>
      </c>
      <c r="H1320">
        <v>30</v>
      </c>
      <c r="I1320">
        <v>85</v>
      </c>
      <c r="J1320">
        <v>133</v>
      </c>
      <c r="K1320">
        <v>8</v>
      </c>
      <c r="L1320">
        <v>98.15</v>
      </c>
      <c r="M1320">
        <v>2223.6</v>
      </c>
      <c r="N1320">
        <v>67686</v>
      </c>
      <c r="O1320">
        <v>1531.31</v>
      </c>
      <c r="P1320" s="1">
        <v>-0.247</v>
      </c>
      <c r="Q1320">
        <f t="shared" si="100"/>
        <v>89</v>
      </c>
      <c r="R1320">
        <f t="shared" si="101"/>
        <v>163</v>
      </c>
      <c r="S1320" s="1">
        <f t="shared" si="102"/>
        <v>4.49438202247191E-2</v>
      </c>
      <c r="T1320">
        <f t="shared" si="103"/>
        <v>0.89</v>
      </c>
      <c r="U1320" t="str">
        <f t="shared" si="104"/>
        <v>Apr</v>
      </c>
    </row>
    <row r="1321" spans="1:21">
      <c r="A1321" s="2">
        <v>46099</v>
      </c>
      <c r="B1321" t="s">
        <v>6</v>
      </c>
      <c r="C1321" t="s">
        <v>31</v>
      </c>
      <c r="D1321" t="s">
        <v>10</v>
      </c>
      <c r="E1321" t="s">
        <v>37</v>
      </c>
      <c r="F1321" t="s">
        <v>45</v>
      </c>
      <c r="G1321">
        <v>98</v>
      </c>
      <c r="H1321">
        <v>10</v>
      </c>
      <c r="I1321">
        <v>62</v>
      </c>
      <c r="J1321">
        <v>87</v>
      </c>
      <c r="K1321">
        <v>346</v>
      </c>
      <c r="L1321">
        <v>134.55000000000001</v>
      </c>
      <c r="M1321">
        <v>2051.06</v>
      </c>
      <c r="N1321">
        <v>70647</v>
      </c>
      <c r="O1321">
        <v>1479.02</v>
      </c>
      <c r="P1321" s="1">
        <v>-1.6E-2</v>
      </c>
      <c r="Q1321">
        <f t="shared" si="100"/>
        <v>108</v>
      </c>
      <c r="R1321">
        <f t="shared" si="101"/>
        <v>97</v>
      </c>
      <c r="S1321" s="1">
        <f t="shared" si="102"/>
        <v>0.42592592592592593</v>
      </c>
      <c r="T1321">
        <f t="shared" si="103"/>
        <v>1.08</v>
      </c>
      <c r="U1321" t="str">
        <f t="shared" si="104"/>
        <v>Mar</v>
      </c>
    </row>
    <row r="1322" spans="1:21">
      <c r="A1322" s="2">
        <v>46093</v>
      </c>
      <c r="B1322" t="s">
        <v>6</v>
      </c>
      <c r="C1322" t="s">
        <v>50</v>
      </c>
      <c r="D1322" t="s">
        <v>10</v>
      </c>
      <c r="E1322" t="s">
        <v>41</v>
      </c>
      <c r="F1322" t="s">
        <v>45</v>
      </c>
      <c r="G1322">
        <v>25</v>
      </c>
      <c r="H1322">
        <v>44</v>
      </c>
      <c r="I1322">
        <v>64</v>
      </c>
      <c r="J1322">
        <v>77</v>
      </c>
      <c r="K1322">
        <v>324</v>
      </c>
      <c r="L1322">
        <v>138.83000000000001</v>
      </c>
      <c r="M1322">
        <v>1901.25</v>
      </c>
      <c r="N1322">
        <v>71328</v>
      </c>
      <c r="O1322">
        <v>1386.96</v>
      </c>
      <c r="P1322" s="1">
        <v>-0.64200000000000002</v>
      </c>
      <c r="Q1322">
        <f t="shared" si="100"/>
        <v>69</v>
      </c>
      <c r="R1322">
        <f t="shared" si="101"/>
        <v>121</v>
      </c>
      <c r="S1322" s="1">
        <f t="shared" si="102"/>
        <v>7.2463768115942032E-2</v>
      </c>
      <c r="T1322">
        <f t="shared" si="103"/>
        <v>0.69</v>
      </c>
      <c r="U1322" t="str">
        <f t="shared" si="104"/>
        <v>Mar</v>
      </c>
    </row>
    <row r="1323" spans="1:21">
      <c r="A1323" s="2">
        <v>46090</v>
      </c>
      <c r="B1323" t="s">
        <v>4</v>
      </c>
      <c r="C1323" t="s">
        <v>34</v>
      </c>
      <c r="D1323" t="s">
        <v>9</v>
      </c>
      <c r="E1323" t="s">
        <v>47</v>
      </c>
      <c r="F1323" t="s">
        <v>39</v>
      </c>
      <c r="G1323">
        <v>2</v>
      </c>
      <c r="H1323">
        <v>75</v>
      </c>
      <c r="I1323">
        <v>36</v>
      </c>
      <c r="J1323">
        <v>100</v>
      </c>
      <c r="K1323">
        <v>316</v>
      </c>
      <c r="L1323">
        <v>128.72999999999999</v>
      </c>
      <c r="M1323">
        <v>2215.71</v>
      </c>
      <c r="N1323">
        <v>70717</v>
      </c>
      <c r="O1323">
        <v>1548.23</v>
      </c>
      <c r="P1323" s="1">
        <v>-0.253</v>
      </c>
      <c r="Q1323">
        <f t="shared" si="100"/>
        <v>77</v>
      </c>
      <c r="R1323">
        <f t="shared" si="101"/>
        <v>175</v>
      </c>
      <c r="S1323" s="1">
        <f t="shared" si="102"/>
        <v>0.53246753246753242</v>
      </c>
      <c r="T1323">
        <f t="shared" si="103"/>
        <v>0.77</v>
      </c>
      <c r="U1323" t="str">
        <f t="shared" si="104"/>
        <v>Mar</v>
      </c>
    </row>
    <row r="1324" spans="1:21">
      <c r="A1324" s="2">
        <v>46104</v>
      </c>
      <c r="B1324" t="s">
        <v>6</v>
      </c>
      <c r="C1324" t="s">
        <v>31</v>
      </c>
      <c r="D1324" t="s">
        <v>10</v>
      </c>
      <c r="E1324" t="s">
        <v>32</v>
      </c>
      <c r="F1324" t="s">
        <v>49</v>
      </c>
      <c r="G1324">
        <v>93</v>
      </c>
      <c r="H1324">
        <v>25</v>
      </c>
      <c r="I1324">
        <v>27</v>
      </c>
      <c r="J1324">
        <v>95</v>
      </c>
      <c r="K1324">
        <v>94</v>
      </c>
      <c r="L1324">
        <v>124.6</v>
      </c>
      <c r="M1324">
        <v>2112.4699999999998</v>
      </c>
      <c r="N1324">
        <v>66246</v>
      </c>
      <c r="O1324">
        <v>1716.29</v>
      </c>
      <c r="P1324" s="1">
        <v>0.59499999999999997</v>
      </c>
      <c r="Q1324">
        <f t="shared" si="100"/>
        <v>118</v>
      </c>
      <c r="R1324">
        <f t="shared" si="101"/>
        <v>120</v>
      </c>
      <c r="S1324" s="1">
        <f t="shared" si="102"/>
        <v>0.77118644067796616</v>
      </c>
      <c r="T1324">
        <f t="shared" si="103"/>
        <v>1.18</v>
      </c>
      <c r="U1324" t="str">
        <f t="shared" si="104"/>
        <v>Mar</v>
      </c>
    </row>
    <row r="1325" spans="1:21">
      <c r="A1325" s="2">
        <v>46090</v>
      </c>
      <c r="B1325" t="s">
        <v>6</v>
      </c>
      <c r="C1325" t="s">
        <v>51</v>
      </c>
      <c r="D1325" t="s">
        <v>5</v>
      </c>
      <c r="E1325" t="s">
        <v>41</v>
      </c>
      <c r="F1325" t="s">
        <v>39</v>
      </c>
      <c r="G1325">
        <v>95</v>
      </c>
      <c r="H1325">
        <v>28</v>
      </c>
      <c r="I1325">
        <v>54</v>
      </c>
      <c r="J1325">
        <v>5</v>
      </c>
      <c r="K1325">
        <v>205</v>
      </c>
      <c r="L1325">
        <v>87.51</v>
      </c>
      <c r="M1325">
        <v>2285.08</v>
      </c>
      <c r="N1325">
        <v>64104</v>
      </c>
      <c r="O1325">
        <v>1036.29</v>
      </c>
      <c r="P1325" s="1">
        <v>0.183</v>
      </c>
      <c r="Q1325">
        <f t="shared" si="100"/>
        <v>123</v>
      </c>
      <c r="R1325">
        <f t="shared" si="101"/>
        <v>33</v>
      </c>
      <c r="S1325" s="1">
        <f t="shared" si="102"/>
        <v>0.56097560975609762</v>
      </c>
      <c r="T1325">
        <f t="shared" si="103"/>
        <v>1.23</v>
      </c>
      <c r="U1325" t="str">
        <f t="shared" si="104"/>
        <v>Mar</v>
      </c>
    </row>
    <row r="1326" spans="1:21">
      <c r="A1326" s="2">
        <v>46099</v>
      </c>
      <c r="B1326" t="s">
        <v>6</v>
      </c>
      <c r="C1326" t="s">
        <v>43</v>
      </c>
      <c r="D1326" t="s">
        <v>9</v>
      </c>
      <c r="E1326" t="s">
        <v>35</v>
      </c>
      <c r="F1326" t="s">
        <v>49</v>
      </c>
      <c r="G1326">
        <v>15</v>
      </c>
      <c r="H1326">
        <v>74</v>
      </c>
      <c r="I1326">
        <v>3</v>
      </c>
      <c r="J1326">
        <v>32</v>
      </c>
      <c r="K1326">
        <v>229</v>
      </c>
      <c r="L1326">
        <v>101.56</v>
      </c>
      <c r="M1326">
        <v>1860.28</v>
      </c>
      <c r="N1326">
        <v>73707</v>
      </c>
      <c r="O1326">
        <v>1277.49</v>
      </c>
      <c r="P1326" s="1">
        <v>-0.63700000000000001</v>
      </c>
      <c r="Q1326">
        <f t="shared" si="100"/>
        <v>89</v>
      </c>
      <c r="R1326">
        <f t="shared" si="101"/>
        <v>106</v>
      </c>
      <c r="S1326" s="1">
        <f t="shared" si="102"/>
        <v>0.9662921348314607</v>
      </c>
      <c r="T1326">
        <f t="shared" si="103"/>
        <v>0.89</v>
      </c>
      <c r="U1326" t="str">
        <f t="shared" si="104"/>
        <v>Mar</v>
      </c>
    </row>
    <row r="1327" spans="1:21">
      <c r="A1327" s="2">
        <v>46098</v>
      </c>
      <c r="B1327" t="s">
        <v>6</v>
      </c>
      <c r="C1327" t="s">
        <v>36</v>
      </c>
      <c r="D1327" t="s">
        <v>10</v>
      </c>
      <c r="E1327" t="s">
        <v>47</v>
      </c>
      <c r="F1327" t="s">
        <v>39</v>
      </c>
      <c r="G1327">
        <v>14</v>
      </c>
      <c r="H1327">
        <v>70</v>
      </c>
      <c r="I1327">
        <v>61</v>
      </c>
      <c r="J1327">
        <v>132</v>
      </c>
      <c r="K1327">
        <v>5</v>
      </c>
      <c r="L1327">
        <v>121.63</v>
      </c>
      <c r="M1327">
        <v>1872.83</v>
      </c>
      <c r="N1327">
        <v>67826</v>
      </c>
      <c r="O1327">
        <v>1194.25</v>
      </c>
      <c r="P1327" s="1">
        <v>0.81200000000000006</v>
      </c>
      <c r="Q1327">
        <f t="shared" si="100"/>
        <v>84</v>
      </c>
      <c r="R1327">
        <f t="shared" si="101"/>
        <v>202</v>
      </c>
      <c r="S1327" s="1">
        <f t="shared" si="102"/>
        <v>0.27380952380952384</v>
      </c>
      <c r="T1327">
        <f t="shared" si="103"/>
        <v>0.84</v>
      </c>
      <c r="U1327" t="str">
        <f t="shared" si="104"/>
        <v>Mar</v>
      </c>
    </row>
    <row r="1328" spans="1:21">
      <c r="A1328" s="2">
        <v>46072</v>
      </c>
      <c r="B1328" t="s">
        <v>6</v>
      </c>
      <c r="C1328" t="s">
        <v>48</v>
      </c>
      <c r="D1328" t="s">
        <v>11</v>
      </c>
      <c r="E1328" t="s">
        <v>41</v>
      </c>
      <c r="F1328" t="s">
        <v>49</v>
      </c>
      <c r="G1328">
        <v>108</v>
      </c>
      <c r="H1328">
        <v>67</v>
      </c>
      <c r="I1328">
        <v>4</v>
      </c>
      <c r="J1328">
        <v>53</v>
      </c>
      <c r="K1328">
        <v>314</v>
      </c>
      <c r="L1328">
        <v>95.45</v>
      </c>
      <c r="M1328">
        <v>1903.4</v>
      </c>
      <c r="N1328">
        <v>67008</v>
      </c>
      <c r="O1328">
        <v>960.7</v>
      </c>
      <c r="P1328" s="1">
        <v>-0.90100000000000002</v>
      </c>
      <c r="Q1328">
        <f t="shared" si="100"/>
        <v>175</v>
      </c>
      <c r="R1328">
        <f t="shared" si="101"/>
        <v>120</v>
      </c>
      <c r="S1328" s="1">
        <f t="shared" si="102"/>
        <v>0.97714285714285709</v>
      </c>
      <c r="T1328">
        <f t="shared" si="103"/>
        <v>1.75</v>
      </c>
      <c r="U1328" t="str">
        <f t="shared" si="104"/>
        <v>Feb</v>
      </c>
    </row>
    <row r="1329" spans="1:21">
      <c r="A1329" s="2">
        <v>46073</v>
      </c>
      <c r="B1329" t="s">
        <v>6</v>
      </c>
      <c r="C1329" t="s">
        <v>31</v>
      </c>
      <c r="D1329" t="s">
        <v>11</v>
      </c>
      <c r="E1329" t="s">
        <v>41</v>
      </c>
      <c r="F1329" t="s">
        <v>49</v>
      </c>
      <c r="G1329">
        <v>9</v>
      </c>
      <c r="H1329">
        <v>3</v>
      </c>
      <c r="I1329">
        <v>42</v>
      </c>
      <c r="J1329">
        <v>25</v>
      </c>
      <c r="K1329">
        <v>255</v>
      </c>
      <c r="L1329">
        <v>82.84</v>
      </c>
      <c r="M1329">
        <v>2219.1999999999998</v>
      </c>
      <c r="N1329">
        <v>74586</v>
      </c>
      <c r="O1329">
        <v>1452.7</v>
      </c>
      <c r="P1329" s="1">
        <v>-0.17199999999999999</v>
      </c>
      <c r="Q1329">
        <f t="shared" si="100"/>
        <v>12</v>
      </c>
      <c r="R1329">
        <f t="shared" si="101"/>
        <v>28</v>
      </c>
      <c r="S1329" s="1">
        <f t="shared" si="102"/>
        <v>-2.5</v>
      </c>
      <c r="T1329">
        <f t="shared" si="103"/>
        <v>0.12</v>
      </c>
      <c r="U1329" t="str">
        <f t="shared" si="104"/>
        <v>Feb</v>
      </c>
    </row>
    <row r="1330" spans="1:21">
      <c r="A1330" s="2">
        <v>46123</v>
      </c>
      <c r="B1330" t="s">
        <v>4</v>
      </c>
      <c r="C1330" t="s">
        <v>46</v>
      </c>
      <c r="D1330" t="s">
        <v>5</v>
      </c>
      <c r="E1330" t="s">
        <v>35</v>
      </c>
      <c r="F1330" t="s">
        <v>45</v>
      </c>
      <c r="G1330">
        <v>27</v>
      </c>
      <c r="H1330">
        <v>29</v>
      </c>
      <c r="I1330">
        <v>13</v>
      </c>
      <c r="J1330">
        <v>2</v>
      </c>
      <c r="K1330">
        <v>330</v>
      </c>
      <c r="L1330">
        <v>128.94999999999999</v>
      </c>
      <c r="M1330">
        <v>2057.36</v>
      </c>
      <c r="N1330">
        <v>67551</v>
      </c>
      <c r="O1330">
        <v>1426.5</v>
      </c>
      <c r="P1330" s="1">
        <v>0.3</v>
      </c>
      <c r="Q1330">
        <f t="shared" si="100"/>
        <v>56</v>
      </c>
      <c r="R1330">
        <f t="shared" si="101"/>
        <v>31</v>
      </c>
      <c r="S1330" s="1">
        <f t="shared" si="102"/>
        <v>0.7678571428571429</v>
      </c>
      <c r="T1330">
        <f t="shared" si="103"/>
        <v>0.56000000000000005</v>
      </c>
      <c r="U1330" t="str">
        <f t="shared" si="104"/>
        <v>Apr</v>
      </c>
    </row>
    <row r="1331" spans="1:21">
      <c r="A1331" s="2">
        <v>46096</v>
      </c>
      <c r="B1331" t="s">
        <v>6</v>
      </c>
      <c r="C1331" t="s">
        <v>44</v>
      </c>
      <c r="D1331" t="s">
        <v>5</v>
      </c>
      <c r="E1331" t="s">
        <v>47</v>
      </c>
      <c r="F1331" t="s">
        <v>45</v>
      </c>
      <c r="G1331">
        <v>38</v>
      </c>
      <c r="H1331">
        <v>49</v>
      </c>
      <c r="I1331">
        <v>26</v>
      </c>
      <c r="J1331">
        <v>31</v>
      </c>
      <c r="K1331">
        <v>68</v>
      </c>
      <c r="L1331">
        <v>111.06</v>
      </c>
      <c r="M1331">
        <v>2187.39</v>
      </c>
      <c r="N1331">
        <v>73580</v>
      </c>
      <c r="O1331">
        <v>987.38</v>
      </c>
      <c r="P1331" s="1">
        <v>-0.23</v>
      </c>
      <c r="Q1331">
        <f t="shared" si="100"/>
        <v>87</v>
      </c>
      <c r="R1331">
        <f t="shared" si="101"/>
        <v>80</v>
      </c>
      <c r="S1331" s="1">
        <f t="shared" si="102"/>
        <v>0.70114942528735635</v>
      </c>
      <c r="T1331">
        <f t="shared" si="103"/>
        <v>0.87</v>
      </c>
      <c r="U1331" t="str">
        <f t="shared" si="104"/>
        <v>Mar</v>
      </c>
    </row>
    <row r="1332" spans="1:21">
      <c r="A1332" s="2">
        <v>46104</v>
      </c>
      <c r="B1332" t="s">
        <v>4</v>
      </c>
      <c r="C1332" t="s">
        <v>36</v>
      </c>
      <c r="D1332" t="s">
        <v>7</v>
      </c>
      <c r="E1332" t="s">
        <v>37</v>
      </c>
      <c r="F1332" t="s">
        <v>39</v>
      </c>
      <c r="G1332">
        <v>107</v>
      </c>
      <c r="H1332">
        <v>34</v>
      </c>
      <c r="I1332">
        <v>15</v>
      </c>
      <c r="J1332">
        <v>54</v>
      </c>
      <c r="K1332">
        <v>187</v>
      </c>
      <c r="L1332">
        <v>106.6</v>
      </c>
      <c r="M1332">
        <v>2142.41</v>
      </c>
      <c r="N1332">
        <v>75253</v>
      </c>
      <c r="O1332">
        <v>993.53</v>
      </c>
      <c r="P1332" s="1">
        <v>0.13200000000000001</v>
      </c>
      <c r="Q1332">
        <f t="shared" si="100"/>
        <v>141</v>
      </c>
      <c r="R1332">
        <f t="shared" si="101"/>
        <v>88</v>
      </c>
      <c r="S1332" s="1">
        <f t="shared" si="102"/>
        <v>0.8936170212765957</v>
      </c>
      <c r="T1332">
        <f t="shared" si="103"/>
        <v>1.41</v>
      </c>
      <c r="U1332" t="str">
        <f t="shared" si="104"/>
        <v>Mar</v>
      </c>
    </row>
    <row r="1333" spans="1:21">
      <c r="A1333" s="2">
        <v>46083</v>
      </c>
      <c r="B1333" t="s">
        <v>6</v>
      </c>
      <c r="C1333" t="s">
        <v>48</v>
      </c>
      <c r="D1333" t="s">
        <v>9</v>
      </c>
      <c r="E1333" t="s">
        <v>41</v>
      </c>
      <c r="F1333" t="s">
        <v>45</v>
      </c>
      <c r="G1333">
        <v>28</v>
      </c>
      <c r="H1333">
        <v>16</v>
      </c>
      <c r="I1333">
        <v>55</v>
      </c>
      <c r="J1333">
        <v>31</v>
      </c>
      <c r="K1333">
        <v>126</v>
      </c>
      <c r="L1333">
        <v>95.54</v>
      </c>
      <c r="M1333">
        <v>2358.35</v>
      </c>
      <c r="N1333">
        <v>64062</v>
      </c>
      <c r="O1333">
        <v>1283.04</v>
      </c>
      <c r="P1333" s="1">
        <v>-0.89200000000000002</v>
      </c>
      <c r="Q1333">
        <f t="shared" si="100"/>
        <v>44</v>
      </c>
      <c r="R1333">
        <f t="shared" si="101"/>
        <v>47</v>
      </c>
      <c r="S1333" s="1">
        <f t="shared" si="102"/>
        <v>-0.25</v>
      </c>
      <c r="T1333">
        <f t="shared" si="103"/>
        <v>0.44</v>
      </c>
      <c r="U1333" t="str">
        <f t="shared" si="104"/>
        <v>Mar</v>
      </c>
    </row>
    <row r="1334" spans="1:21">
      <c r="A1334" s="2">
        <v>46084</v>
      </c>
      <c r="B1334" t="s">
        <v>4</v>
      </c>
      <c r="C1334" t="s">
        <v>44</v>
      </c>
      <c r="D1334" t="s">
        <v>10</v>
      </c>
      <c r="E1334" t="s">
        <v>38</v>
      </c>
      <c r="F1334" t="s">
        <v>49</v>
      </c>
      <c r="G1334">
        <v>38</v>
      </c>
      <c r="H1334">
        <v>26</v>
      </c>
      <c r="I1334">
        <v>65</v>
      </c>
      <c r="J1334">
        <v>116</v>
      </c>
      <c r="K1334">
        <v>407</v>
      </c>
      <c r="L1334">
        <v>132.46</v>
      </c>
      <c r="M1334">
        <v>2288.4299999999998</v>
      </c>
      <c r="N1334">
        <v>72943</v>
      </c>
      <c r="O1334">
        <v>1482.75</v>
      </c>
      <c r="P1334" s="1">
        <v>0.67800000000000005</v>
      </c>
      <c r="Q1334">
        <f t="shared" si="100"/>
        <v>64</v>
      </c>
      <c r="R1334">
        <f t="shared" si="101"/>
        <v>142</v>
      </c>
      <c r="S1334" s="1">
        <f t="shared" si="102"/>
        <v>-1.5625E-2</v>
      </c>
      <c r="T1334">
        <f t="shared" si="103"/>
        <v>0.64</v>
      </c>
      <c r="U1334" t="str">
        <f t="shared" si="104"/>
        <v>Mar</v>
      </c>
    </row>
    <row r="1335" spans="1:21">
      <c r="A1335" s="2">
        <v>46113</v>
      </c>
      <c r="B1335" t="s">
        <v>4</v>
      </c>
      <c r="C1335" t="s">
        <v>31</v>
      </c>
      <c r="D1335" t="s">
        <v>9</v>
      </c>
      <c r="E1335" t="s">
        <v>37</v>
      </c>
      <c r="F1335" t="s">
        <v>49</v>
      </c>
      <c r="G1335">
        <v>20</v>
      </c>
      <c r="H1335">
        <v>53</v>
      </c>
      <c r="I1335">
        <v>71</v>
      </c>
      <c r="J1335">
        <v>60</v>
      </c>
      <c r="K1335">
        <v>103</v>
      </c>
      <c r="L1335">
        <v>119.55</v>
      </c>
      <c r="M1335">
        <v>2137.11</v>
      </c>
      <c r="N1335">
        <v>75206</v>
      </c>
      <c r="O1335">
        <v>1739.5</v>
      </c>
      <c r="P1335" s="1">
        <v>0.93200000000000005</v>
      </c>
      <c r="Q1335">
        <f t="shared" si="100"/>
        <v>73</v>
      </c>
      <c r="R1335">
        <f t="shared" si="101"/>
        <v>113</v>
      </c>
      <c r="S1335" s="1">
        <f t="shared" si="102"/>
        <v>2.7397260273972601E-2</v>
      </c>
      <c r="T1335">
        <f t="shared" si="103"/>
        <v>0.73</v>
      </c>
      <c r="U1335" t="str">
        <f t="shared" si="104"/>
        <v>Apr</v>
      </c>
    </row>
    <row r="1336" spans="1:21">
      <c r="A1336" s="2">
        <v>46089</v>
      </c>
      <c r="B1336" t="s">
        <v>6</v>
      </c>
      <c r="C1336" t="s">
        <v>46</v>
      </c>
      <c r="D1336" t="s">
        <v>11</v>
      </c>
      <c r="E1336" t="s">
        <v>37</v>
      </c>
      <c r="F1336" t="s">
        <v>49</v>
      </c>
      <c r="G1336">
        <v>32</v>
      </c>
      <c r="H1336">
        <v>24</v>
      </c>
      <c r="I1336">
        <v>24</v>
      </c>
      <c r="J1336">
        <v>30</v>
      </c>
      <c r="K1336">
        <v>62</v>
      </c>
      <c r="L1336">
        <v>114.54</v>
      </c>
      <c r="M1336">
        <v>1989.92</v>
      </c>
      <c r="N1336">
        <v>72004</v>
      </c>
      <c r="O1336">
        <v>1299.95</v>
      </c>
      <c r="P1336" s="1">
        <v>0.94799999999999995</v>
      </c>
      <c r="Q1336">
        <f t="shared" si="100"/>
        <v>56</v>
      </c>
      <c r="R1336">
        <f t="shared" si="101"/>
        <v>54</v>
      </c>
      <c r="S1336" s="1">
        <f t="shared" si="102"/>
        <v>0.5714285714285714</v>
      </c>
      <c r="T1336">
        <f t="shared" si="103"/>
        <v>0.56000000000000005</v>
      </c>
      <c r="U1336" t="str">
        <f t="shared" si="104"/>
        <v>Mar</v>
      </c>
    </row>
    <row r="1337" spans="1:21">
      <c r="A1337" s="2">
        <v>46070</v>
      </c>
      <c r="B1337" t="s">
        <v>6</v>
      </c>
      <c r="C1337" t="s">
        <v>43</v>
      </c>
      <c r="D1337" t="s">
        <v>10</v>
      </c>
      <c r="E1337" t="s">
        <v>35</v>
      </c>
      <c r="F1337" t="s">
        <v>39</v>
      </c>
      <c r="G1337">
        <v>108</v>
      </c>
      <c r="H1337">
        <v>48</v>
      </c>
      <c r="I1337">
        <v>55</v>
      </c>
      <c r="J1337">
        <v>49</v>
      </c>
      <c r="K1337">
        <v>110</v>
      </c>
      <c r="L1337">
        <v>81.69</v>
      </c>
      <c r="M1337">
        <v>2217.98</v>
      </c>
      <c r="N1337">
        <v>75854</v>
      </c>
      <c r="O1337">
        <v>1357.43</v>
      </c>
      <c r="P1337" s="1">
        <v>-9.0999999999999998E-2</v>
      </c>
      <c r="Q1337">
        <f t="shared" si="100"/>
        <v>156</v>
      </c>
      <c r="R1337">
        <f t="shared" si="101"/>
        <v>97</v>
      </c>
      <c r="S1337" s="1">
        <f t="shared" si="102"/>
        <v>0.64743589743589747</v>
      </c>
      <c r="T1337">
        <f t="shared" si="103"/>
        <v>1.56</v>
      </c>
      <c r="U1337" t="str">
        <f t="shared" si="104"/>
        <v>Feb</v>
      </c>
    </row>
    <row r="1338" spans="1:21">
      <c r="A1338" s="2">
        <v>46089</v>
      </c>
      <c r="B1338" t="s">
        <v>6</v>
      </c>
      <c r="C1338" t="s">
        <v>48</v>
      </c>
      <c r="D1338" t="s">
        <v>5</v>
      </c>
      <c r="E1338" t="s">
        <v>35</v>
      </c>
      <c r="F1338" t="s">
        <v>45</v>
      </c>
      <c r="G1338">
        <v>93</v>
      </c>
      <c r="H1338">
        <v>52</v>
      </c>
      <c r="I1338">
        <v>64</v>
      </c>
      <c r="J1338">
        <v>86</v>
      </c>
      <c r="K1338">
        <v>30</v>
      </c>
      <c r="L1338">
        <v>93.75</v>
      </c>
      <c r="M1338">
        <v>2466.33</v>
      </c>
      <c r="N1338">
        <v>65532</v>
      </c>
      <c r="O1338">
        <v>994.24</v>
      </c>
      <c r="P1338" s="1">
        <v>0.53900000000000003</v>
      </c>
      <c r="Q1338">
        <f t="shared" si="100"/>
        <v>145</v>
      </c>
      <c r="R1338">
        <f t="shared" si="101"/>
        <v>138</v>
      </c>
      <c r="S1338" s="1">
        <f t="shared" si="102"/>
        <v>0.55862068965517242</v>
      </c>
      <c r="T1338">
        <f t="shared" si="103"/>
        <v>1.45</v>
      </c>
      <c r="U1338" t="str">
        <f t="shared" si="104"/>
        <v>Mar</v>
      </c>
    </row>
    <row r="1339" spans="1:21">
      <c r="A1339" s="2">
        <v>46097</v>
      </c>
      <c r="B1339" t="s">
        <v>6</v>
      </c>
      <c r="C1339" t="s">
        <v>46</v>
      </c>
      <c r="D1339" t="s">
        <v>5</v>
      </c>
      <c r="E1339" t="s">
        <v>41</v>
      </c>
      <c r="F1339" t="s">
        <v>45</v>
      </c>
      <c r="G1339">
        <v>92</v>
      </c>
      <c r="H1339">
        <v>75</v>
      </c>
      <c r="I1339">
        <v>21</v>
      </c>
      <c r="J1339">
        <v>111</v>
      </c>
      <c r="K1339">
        <v>231</v>
      </c>
      <c r="L1339">
        <v>108.43</v>
      </c>
      <c r="M1339">
        <v>2081.08</v>
      </c>
      <c r="N1339">
        <v>67429</v>
      </c>
      <c r="O1339">
        <v>1516.88</v>
      </c>
      <c r="P1339" s="1">
        <v>0.76100000000000001</v>
      </c>
      <c r="Q1339">
        <f t="shared" si="100"/>
        <v>167</v>
      </c>
      <c r="R1339">
        <f t="shared" si="101"/>
        <v>186</v>
      </c>
      <c r="S1339" s="1">
        <f t="shared" si="102"/>
        <v>0.87425149700598803</v>
      </c>
      <c r="T1339">
        <f t="shared" si="103"/>
        <v>1.67</v>
      </c>
      <c r="U1339" t="str">
        <f t="shared" si="104"/>
        <v>Mar</v>
      </c>
    </row>
    <row r="1340" spans="1:21">
      <c r="A1340" s="2">
        <v>46072</v>
      </c>
      <c r="B1340" t="s">
        <v>4</v>
      </c>
      <c r="C1340" t="s">
        <v>43</v>
      </c>
      <c r="D1340" t="s">
        <v>11</v>
      </c>
      <c r="E1340" t="s">
        <v>35</v>
      </c>
      <c r="F1340" t="s">
        <v>49</v>
      </c>
      <c r="G1340">
        <v>115</v>
      </c>
      <c r="H1340">
        <v>78</v>
      </c>
      <c r="I1340">
        <v>12</v>
      </c>
      <c r="J1340">
        <v>45</v>
      </c>
      <c r="K1340">
        <v>315</v>
      </c>
      <c r="L1340">
        <v>110.64</v>
      </c>
      <c r="M1340">
        <v>2374.9</v>
      </c>
      <c r="N1340">
        <v>73385</v>
      </c>
      <c r="O1340">
        <v>1718.46</v>
      </c>
      <c r="P1340" s="1">
        <v>-0.91800000000000004</v>
      </c>
      <c r="Q1340">
        <f t="shared" si="100"/>
        <v>193</v>
      </c>
      <c r="R1340">
        <f t="shared" si="101"/>
        <v>123</v>
      </c>
      <c r="S1340" s="1">
        <f t="shared" si="102"/>
        <v>0.93782383419689119</v>
      </c>
      <c r="T1340">
        <f t="shared" si="103"/>
        <v>1.93</v>
      </c>
      <c r="U1340" t="str">
        <f t="shared" si="104"/>
        <v>Feb</v>
      </c>
    </row>
    <row r="1341" spans="1:21">
      <c r="A1341" s="2">
        <v>46114</v>
      </c>
      <c r="B1341" t="s">
        <v>4</v>
      </c>
      <c r="C1341" t="s">
        <v>43</v>
      </c>
      <c r="D1341" t="s">
        <v>10</v>
      </c>
      <c r="E1341" t="s">
        <v>38</v>
      </c>
      <c r="F1341" t="s">
        <v>45</v>
      </c>
      <c r="G1341">
        <v>32</v>
      </c>
      <c r="H1341">
        <v>10</v>
      </c>
      <c r="I1341">
        <v>8</v>
      </c>
      <c r="J1341">
        <v>7</v>
      </c>
      <c r="K1341">
        <v>281</v>
      </c>
      <c r="L1341">
        <v>102.01</v>
      </c>
      <c r="M1341">
        <v>2374.14</v>
      </c>
      <c r="N1341">
        <v>75833</v>
      </c>
      <c r="O1341">
        <v>1280.46</v>
      </c>
      <c r="P1341" s="1">
        <v>-0.503</v>
      </c>
      <c r="Q1341">
        <f t="shared" si="100"/>
        <v>42</v>
      </c>
      <c r="R1341">
        <f t="shared" si="101"/>
        <v>17</v>
      </c>
      <c r="S1341" s="1">
        <f t="shared" si="102"/>
        <v>0.80952380952380953</v>
      </c>
      <c r="T1341">
        <f t="shared" si="103"/>
        <v>0.42</v>
      </c>
      <c r="U1341" t="str">
        <f t="shared" si="104"/>
        <v>Apr</v>
      </c>
    </row>
    <row r="1342" spans="1:21">
      <c r="A1342" s="2">
        <v>46089</v>
      </c>
      <c r="B1342" t="s">
        <v>4</v>
      </c>
      <c r="C1342" t="s">
        <v>43</v>
      </c>
      <c r="D1342" t="s">
        <v>5</v>
      </c>
      <c r="E1342" t="s">
        <v>47</v>
      </c>
      <c r="F1342" t="s">
        <v>39</v>
      </c>
      <c r="G1342">
        <v>104</v>
      </c>
      <c r="H1342">
        <v>55</v>
      </c>
      <c r="I1342">
        <v>26</v>
      </c>
      <c r="J1342">
        <v>142</v>
      </c>
      <c r="K1342">
        <v>211</v>
      </c>
      <c r="L1342">
        <v>89.35</v>
      </c>
      <c r="M1342">
        <v>1899.28</v>
      </c>
      <c r="N1342">
        <v>69958</v>
      </c>
      <c r="O1342">
        <v>900.67</v>
      </c>
      <c r="P1342" s="1">
        <v>0.14499999999999999</v>
      </c>
      <c r="Q1342">
        <f t="shared" si="100"/>
        <v>159</v>
      </c>
      <c r="R1342">
        <f t="shared" si="101"/>
        <v>197</v>
      </c>
      <c r="S1342" s="1">
        <f t="shared" si="102"/>
        <v>0.83647798742138368</v>
      </c>
      <c r="T1342">
        <f t="shared" si="103"/>
        <v>1.59</v>
      </c>
      <c r="U1342" t="str">
        <f t="shared" si="104"/>
        <v>Mar</v>
      </c>
    </row>
    <row r="1343" spans="1:21">
      <c r="A1343" s="2">
        <v>46113</v>
      </c>
      <c r="B1343" t="s">
        <v>4</v>
      </c>
      <c r="C1343" t="s">
        <v>40</v>
      </c>
      <c r="D1343" t="s">
        <v>11</v>
      </c>
      <c r="E1343" t="s">
        <v>35</v>
      </c>
      <c r="F1343" t="s">
        <v>33</v>
      </c>
      <c r="G1343">
        <v>34</v>
      </c>
      <c r="H1343">
        <v>33</v>
      </c>
      <c r="I1343">
        <v>67</v>
      </c>
      <c r="J1343">
        <v>121</v>
      </c>
      <c r="K1343">
        <v>36</v>
      </c>
      <c r="L1343">
        <v>130.13999999999999</v>
      </c>
      <c r="M1343">
        <v>2110.33</v>
      </c>
      <c r="N1343">
        <v>70106</v>
      </c>
      <c r="O1343">
        <v>942.65</v>
      </c>
      <c r="P1343" s="1">
        <v>-0.71799999999999997</v>
      </c>
      <c r="Q1343">
        <f t="shared" si="100"/>
        <v>67</v>
      </c>
      <c r="R1343">
        <f t="shared" si="101"/>
        <v>154</v>
      </c>
      <c r="S1343" s="1">
        <f t="shared" si="102"/>
        <v>0</v>
      </c>
      <c r="T1343">
        <f t="shared" si="103"/>
        <v>0.67</v>
      </c>
      <c r="U1343" t="str">
        <f t="shared" si="104"/>
        <v>Apr</v>
      </c>
    </row>
    <row r="1344" spans="1:21">
      <c r="A1344" s="2">
        <v>46117</v>
      </c>
      <c r="B1344" t="s">
        <v>4</v>
      </c>
      <c r="C1344" t="s">
        <v>46</v>
      </c>
      <c r="D1344" t="s">
        <v>7</v>
      </c>
      <c r="E1344" t="s">
        <v>35</v>
      </c>
      <c r="F1344" t="s">
        <v>49</v>
      </c>
      <c r="G1344">
        <v>62</v>
      </c>
      <c r="H1344">
        <v>12</v>
      </c>
      <c r="I1344">
        <v>78</v>
      </c>
      <c r="J1344">
        <v>46</v>
      </c>
      <c r="K1344">
        <v>374</v>
      </c>
      <c r="L1344">
        <v>138.08000000000001</v>
      </c>
      <c r="M1344">
        <v>2007.21</v>
      </c>
      <c r="N1344">
        <v>65795</v>
      </c>
      <c r="O1344">
        <v>1634.86</v>
      </c>
      <c r="P1344" s="1">
        <v>0.89800000000000002</v>
      </c>
      <c r="Q1344">
        <f t="shared" si="100"/>
        <v>74</v>
      </c>
      <c r="R1344">
        <f t="shared" si="101"/>
        <v>58</v>
      </c>
      <c r="S1344" s="1">
        <f t="shared" si="102"/>
        <v>-5.4054054054054057E-2</v>
      </c>
      <c r="T1344">
        <f t="shared" si="103"/>
        <v>0.74</v>
      </c>
      <c r="U1344" t="str">
        <f t="shared" si="104"/>
        <v>Apr</v>
      </c>
    </row>
    <row r="1345" spans="1:21">
      <c r="A1345" s="2">
        <v>46075</v>
      </c>
      <c r="B1345" t="s">
        <v>6</v>
      </c>
      <c r="C1345" t="s">
        <v>31</v>
      </c>
      <c r="D1345" t="s">
        <v>5</v>
      </c>
      <c r="E1345" t="s">
        <v>35</v>
      </c>
      <c r="F1345" t="s">
        <v>49</v>
      </c>
      <c r="G1345">
        <v>28</v>
      </c>
      <c r="H1345">
        <v>76</v>
      </c>
      <c r="I1345">
        <v>69</v>
      </c>
      <c r="J1345">
        <v>71</v>
      </c>
      <c r="K1345">
        <v>191</v>
      </c>
      <c r="L1345">
        <v>108.77</v>
      </c>
      <c r="M1345">
        <v>2224.44</v>
      </c>
      <c r="N1345">
        <v>74079</v>
      </c>
      <c r="O1345">
        <v>1567.7</v>
      </c>
      <c r="P1345" s="1">
        <v>-0.122</v>
      </c>
      <c r="Q1345">
        <f t="shared" si="100"/>
        <v>104</v>
      </c>
      <c r="R1345">
        <f t="shared" si="101"/>
        <v>147</v>
      </c>
      <c r="S1345" s="1">
        <f t="shared" si="102"/>
        <v>0.33653846153846156</v>
      </c>
      <c r="T1345">
        <f t="shared" si="103"/>
        <v>1.04</v>
      </c>
      <c r="U1345" t="str">
        <f t="shared" si="104"/>
        <v>Feb</v>
      </c>
    </row>
    <row r="1346" spans="1:21">
      <c r="A1346" s="2">
        <v>46088</v>
      </c>
      <c r="B1346" t="s">
        <v>6</v>
      </c>
      <c r="C1346" t="s">
        <v>46</v>
      </c>
      <c r="D1346" t="s">
        <v>10</v>
      </c>
      <c r="E1346" t="s">
        <v>42</v>
      </c>
      <c r="F1346" t="s">
        <v>33</v>
      </c>
      <c r="G1346">
        <v>82</v>
      </c>
      <c r="H1346">
        <v>36</v>
      </c>
      <c r="I1346">
        <v>69</v>
      </c>
      <c r="J1346">
        <v>128</v>
      </c>
      <c r="K1346">
        <v>178</v>
      </c>
      <c r="L1346">
        <v>139.63</v>
      </c>
      <c r="M1346">
        <v>1964.14</v>
      </c>
      <c r="N1346">
        <v>70969</v>
      </c>
      <c r="O1346">
        <v>1414.25</v>
      </c>
      <c r="P1346" s="1">
        <v>0.66600000000000004</v>
      </c>
      <c r="Q1346">
        <f t="shared" si="100"/>
        <v>118</v>
      </c>
      <c r="R1346">
        <f t="shared" si="101"/>
        <v>164</v>
      </c>
      <c r="S1346" s="1">
        <f t="shared" si="102"/>
        <v>0.4152542372881356</v>
      </c>
      <c r="T1346">
        <f t="shared" si="103"/>
        <v>1.18</v>
      </c>
      <c r="U1346" t="str">
        <f t="shared" si="104"/>
        <v>Mar</v>
      </c>
    </row>
    <row r="1347" spans="1:21">
      <c r="A1347" s="2">
        <v>46088</v>
      </c>
      <c r="B1347" t="s">
        <v>6</v>
      </c>
      <c r="C1347" t="s">
        <v>31</v>
      </c>
      <c r="D1347" t="s">
        <v>5</v>
      </c>
      <c r="E1347" t="s">
        <v>32</v>
      </c>
      <c r="F1347" t="s">
        <v>49</v>
      </c>
      <c r="G1347">
        <v>102</v>
      </c>
      <c r="H1347">
        <v>75</v>
      </c>
      <c r="I1347">
        <v>29</v>
      </c>
      <c r="J1347">
        <v>46</v>
      </c>
      <c r="K1347">
        <v>42</v>
      </c>
      <c r="L1347">
        <v>88.33</v>
      </c>
      <c r="M1347">
        <v>2324.23</v>
      </c>
      <c r="N1347">
        <v>74150</v>
      </c>
      <c r="O1347">
        <v>1675.11</v>
      </c>
      <c r="P1347" s="1">
        <v>-0.126</v>
      </c>
      <c r="Q1347">
        <f t="shared" ref="Q1347:Q1410" si="105">G1347+H1347</f>
        <v>177</v>
      </c>
      <c r="R1347">
        <f t="shared" ref="R1347:R1410" si="106">J1347+H1347</f>
        <v>121</v>
      </c>
      <c r="S1347" s="1">
        <f t="shared" ref="S1347:S1410" si="107">(Q1347-I1347)/(Q1347)</f>
        <v>0.83615819209039544</v>
      </c>
      <c r="T1347">
        <f t="shared" ref="T1347:T1410" si="108">Q1347/100</f>
        <v>1.77</v>
      </c>
      <c r="U1347" t="str">
        <f t="shared" ref="U1347:U1410" si="109">TEXT(A1347,"mmm")</f>
        <v>Mar</v>
      </c>
    </row>
    <row r="1348" spans="1:21">
      <c r="A1348" s="2">
        <v>46088</v>
      </c>
      <c r="B1348" t="s">
        <v>4</v>
      </c>
      <c r="C1348" t="s">
        <v>44</v>
      </c>
      <c r="D1348" t="s">
        <v>9</v>
      </c>
      <c r="E1348" t="s">
        <v>38</v>
      </c>
      <c r="F1348" t="s">
        <v>45</v>
      </c>
      <c r="G1348">
        <v>39</v>
      </c>
      <c r="H1348">
        <v>12</v>
      </c>
      <c r="I1348">
        <v>75</v>
      </c>
      <c r="J1348">
        <v>30</v>
      </c>
      <c r="K1348">
        <v>165</v>
      </c>
      <c r="L1348">
        <v>94.37</v>
      </c>
      <c r="M1348">
        <v>2221.9</v>
      </c>
      <c r="N1348">
        <v>70137</v>
      </c>
      <c r="O1348">
        <v>1423.59</v>
      </c>
      <c r="P1348" s="1">
        <v>-0.78700000000000003</v>
      </c>
      <c r="Q1348">
        <f t="shared" si="105"/>
        <v>51</v>
      </c>
      <c r="R1348">
        <f t="shared" si="106"/>
        <v>42</v>
      </c>
      <c r="S1348" s="1">
        <f t="shared" si="107"/>
        <v>-0.47058823529411764</v>
      </c>
      <c r="T1348">
        <f t="shared" si="108"/>
        <v>0.51</v>
      </c>
      <c r="U1348" t="str">
        <f t="shared" si="109"/>
        <v>Mar</v>
      </c>
    </row>
    <row r="1349" spans="1:21">
      <c r="A1349" s="2">
        <v>46114</v>
      </c>
      <c r="B1349" t="s">
        <v>6</v>
      </c>
      <c r="C1349" t="s">
        <v>44</v>
      </c>
      <c r="D1349" t="s">
        <v>9</v>
      </c>
      <c r="E1349" t="s">
        <v>32</v>
      </c>
      <c r="F1349" t="s">
        <v>49</v>
      </c>
      <c r="G1349">
        <v>119</v>
      </c>
      <c r="H1349">
        <v>46</v>
      </c>
      <c r="I1349">
        <v>5</v>
      </c>
      <c r="J1349">
        <v>14</v>
      </c>
      <c r="K1349">
        <v>277</v>
      </c>
      <c r="L1349">
        <v>123.85</v>
      </c>
      <c r="M1349">
        <v>2100.87</v>
      </c>
      <c r="N1349">
        <v>69975</v>
      </c>
      <c r="O1349">
        <v>1518.5</v>
      </c>
      <c r="P1349" s="1">
        <v>-0.125</v>
      </c>
      <c r="Q1349">
        <f t="shared" si="105"/>
        <v>165</v>
      </c>
      <c r="R1349">
        <f t="shared" si="106"/>
        <v>60</v>
      </c>
      <c r="S1349" s="1">
        <f t="shared" si="107"/>
        <v>0.96969696969696972</v>
      </c>
      <c r="T1349">
        <f t="shared" si="108"/>
        <v>1.65</v>
      </c>
      <c r="U1349" t="str">
        <f t="shared" si="109"/>
        <v>Apr</v>
      </c>
    </row>
    <row r="1350" spans="1:21">
      <c r="A1350" s="2">
        <v>46082</v>
      </c>
      <c r="B1350" t="s">
        <v>4</v>
      </c>
      <c r="C1350" t="s">
        <v>31</v>
      </c>
      <c r="D1350" t="s">
        <v>11</v>
      </c>
      <c r="E1350" t="s">
        <v>32</v>
      </c>
      <c r="F1350" t="s">
        <v>45</v>
      </c>
      <c r="G1350">
        <v>58</v>
      </c>
      <c r="H1350">
        <v>52</v>
      </c>
      <c r="I1350">
        <v>69</v>
      </c>
      <c r="J1350">
        <v>26</v>
      </c>
      <c r="K1350">
        <v>217</v>
      </c>
      <c r="L1350">
        <v>138.01</v>
      </c>
      <c r="M1350">
        <v>2262.39</v>
      </c>
      <c r="N1350">
        <v>70633</v>
      </c>
      <c r="O1350">
        <v>1198.07</v>
      </c>
      <c r="P1350" s="1">
        <v>0.30399999999999999</v>
      </c>
      <c r="Q1350">
        <f t="shared" si="105"/>
        <v>110</v>
      </c>
      <c r="R1350">
        <f t="shared" si="106"/>
        <v>78</v>
      </c>
      <c r="S1350" s="1">
        <f t="shared" si="107"/>
        <v>0.37272727272727274</v>
      </c>
      <c r="T1350">
        <f t="shared" si="108"/>
        <v>1.1000000000000001</v>
      </c>
      <c r="U1350" t="str">
        <f t="shared" si="109"/>
        <v>Mar</v>
      </c>
    </row>
    <row r="1351" spans="1:21">
      <c r="A1351" s="2">
        <v>46070</v>
      </c>
      <c r="B1351" t="s">
        <v>4</v>
      </c>
      <c r="C1351" t="s">
        <v>50</v>
      </c>
      <c r="D1351" t="s">
        <v>7</v>
      </c>
      <c r="E1351" t="s">
        <v>32</v>
      </c>
      <c r="F1351" t="s">
        <v>45</v>
      </c>
      <c r="G1351">
        <v>2</v>
      </c>
      <c r="H1351">
        <v>33</v>
      </c>
      <c r="I1351">
        <v>80</v>
      </c>
      <c r="J1351">
        <v>44</v>
      </c>
      <c r="K1351">
        <v>354</v>
      </c>
      <c r="L1351">
        <v>109.87</v>
      </c>
      <c r="M1351">
        <v>2186.13</v>
      </c>
      <c r="N1351">
        <v>67476</v>
      </c>
      <c r="O1351">
        <v>945.19</v>
      </c>
      <c r="P1351" s="1">
        <v>0.151</v>
      </c>
      <c r="Q1351">
        <f t="shared" si="105"/>
        <v>35</v>
      </c>
      <c r="R1351">
        <f t="shared" si="106"/>
        <v>77</v>
      </c>
      <c r="S1351" s="1">
        <f t="shared" si="107"/>
        <v>-1.2857142857142858</v>
      </c>
      <c r="T1351">
        <f t="shared" si="108"/>
        <v>0.35</v>
      </c>
      <c r="U1351" t="str">
        <f t="shared" si="109"/>
        <v>Feb</v>
      </c>
    </row>
    <row r="1352" spans="1:21">
      <c r="A1352" s="2">
        <v>46115</v>
      </c>
      <c r="B1352" t="s">
        <v>4</v>
      </c>
      <c r="C1352" t="s">
        <v>50</v>
      </c>
      <c r="D1352" t="s">
        <v>9</v>
      </c>
      <c r="E1352" t="s">
        <v>32</v>
      </c>
      <c r="F1352" t="s">
        <v>45</v>
      </c>
      <c r="G1352">
        <v>95</v>
      </c>
      <c r="H1352">
        <v>70</v>
      </c>
      <c r="I1352">
        <v>31</v>
      </c>
      <c r="J1352">
        <v>32</v>
      </c>
      <c r="K1352">
        <v>376</v>
      </c>
      <c r="L1352">
        <v>122.16</v>
      </c>
      <c r="M1352">
        <v>1849.19</v>
      </c>
      <c r="N1352">
        <v>69427</v>
      </c>
      <c r="O1352">
        <v>915.48</v>
      </c>
      <c r="P1352" s="1">
        <v>-0.99299999999999999</v>
      </c>
      <c r="Q1352">
        <f t="shared" si="105"/>
        <v>165</v>
      </c>
      <c r="R1352">
        <f t="shared" si="106"/>
        <v>102</v>
      </c>
      <c r="S1352" s="1">
        <f t="shared" si="107"/>
        <v>0.81212121212121213</v>
      </c>
      <c r="T1352">
        <f t="shared" si="108"/>
        <v>1.65</v>
      </c>
      <c r="U1352" t="str">
        <f t="shared" si="109"/>
        <v>Apr</v>
      </c>
    </row>
    <row r="1353" spans="1:21">
      <c r="A1353" s="2">
        <v>46076</v>
      </c>
      <c r="B1353" t="s">
        <v>4</v>
      </c>
      <c r="C1353" t="s">
        <v>51</v>
      </c>
      <c r="D1353" t="s">
        <v>5</v>
      </c>
      <c r="E1353" t="s">
        <v>32</v>
      </c>
      <c r="F1353" t="s">
        <v>49</v>
      </c>
      <c r="G1353">
        <v>16</v>
      </c>
      <c r="H1353">
        <v>2</v>
      </c>
      <c r="I1353">
        <v>51</v>
      </c>
      <c r="J1353">
        <v>12</v>
      </c>
      <c r="K1353">
        <v>146</v>
      </c>
      <c r="L1353">
        <v>128.81</v>
      </c>
      <c r="M1353">
        <v>2359.4899999999998</v>
      </c>
      <c r="N1353">
        <v>66508</v>
      </c>
      <c r="O1353">
        <v>1348.81</v>
      </c>
      <c r="P1353" s="1">
        <v>-0.20300000000000001</v>
      </c>
      <c r="Q1353">
        <f t="shared" si="105"/>
        <v>18</v>
      </c>
      <c r="R1353">
        <f t="shared" si="106"/>
        <v>14</v>
      </c>
      <c r="S1353" s="1">
        <f t="shared" si="107"/>
        <v>-1.8333333333333333</v>
      </c>
      <c r="T1353">
        <f t="shared" si="108"/>
        <v>0.18</v>
      </c>
      <c r="U1353" t="str">
        <f t="shared" si="109"/>
        <v>Feb</v>
      </c>
    </row>
    <row r="1354" spans="1:21">
      <c r="A1354" s="2">
        <v>46075</v>
      </c>
      <c r="B1354" t="s">
        <v>4</v>
      </c>
      <c r="C1354" t="s">
        <v>43</v>
      </c>
      <c r="D1354" t="s">
        <v>9</v>
      </c>
      <c r="E1354" t="s">
        <v>35</v>
      </c>
      <c r="F1354" t="s">
        <v>39</v>
      </c>
      <c r="G1354">
        <v>32</v>
      </c>
      <c r="H1354">
        <v>54</v>
      </c>
      <c r="I1354">
        <v>76</v>
      </c>
      <c r="J1354">
        <v>28</v>
      </c>
      <c r="K1354">
        <v>85</v>
      </c>
      <c r="L1354">
        <v>101.12</v>
      </c>
      <c r="M1354">
        <v>2024.87</v>
      </c>
      <c r="N1354">
        <v>75878</v>
      </c>
      <c r="O1354">
        <v>1525.21</v>
      </c>
      <c r="P1354" s="1">
        <v>-0.84199999999999997</v>
      </c>
      <c r="Q1354">
        <f t="shared" si="105"/>
        <v>86</v>
      </c>
      <c r="R1354">
        <f t="shared" si="106"/>
        <v>82</v>
      </c>
      <c r="S1354" s="1">
        <f t="shared" si="107"/>
        <v>0.11627906976744186</v>
      </c>
      <c r="T1354">
        <f t="shared" si="108"/>
        <v>0.86</v>
      </c>
      <c r="U1354" t="str">
        <f t="shared" si="109"/>
        <v>Feb</v>
      </c>
    </row>
    <row r="1355" spans="1:21">
      <c r="A1355" s="2">
        <v>46090</v>
      </c>
      <c r="B1355" t="s">
        <v>4</v>
      </c>
      <c r="C1355" t="s">
        <v>43</v>
      </c>
      <c r="D1355" t="s">
        <v>10</v>
      </c>
      <c r="E1355" t="s">
        <v>38</v>
      </c>
      <c r="F1355" t="s">
        <v>39</v>
      </c>
      <c r="G1355">
        <v>76</v>
      </c>
      <c r="H1355">
        <v>78</v>
      </c>
      <c r="I1355">
        <v>0</v>
      </c>
      <c r="J1355">
        <v>148</v>
      </c>
      <c r="K1355">
        <v>362</v>
      </c>
      <c r="L1355">
        <v>126.72</v>
      </c>
      <c r="M1355">
        <v>2128.15</v>
      </c>
      <c r="N1355">
        <v>72556</v>
      </c>
      <c r="O1355">
        <v>1552.92</v>
      </c>
      <c r="P1355" s="1">
        <v>-0.121</v>
      </c>
      <c r="Q1355">
        <f t="shared" si="105"/>
        <v>154</v>
      </c>
      <c r="R1355">
        <f t="shared" si="106"/>
        <v>226</v>
      </c>
      <c r="S1355" s="1">
        <f t="shared" si="107"/>
        <v>1</v>
      </c>
      <c r="T1355">
        <f t="shared" si="108"/>
        <v>1.54</v>
      </c>
      <c r="U1355" t="str">
        <f t="shared" si="109"/>
        <v>Mar</v>
      </c>
    </row>
    <row r="1356" spans="1:21">
      <c r="A1356" s="2">
        <v>46106</v>
      </c>
      <c r="B1356" t="s">
        <v>4</v>
      </c>
      <c r="C1356" t="s">
        <v>50</v>
      </c>
      <c r="D1356" t="s">
        <v>9</v>
      </c>
      <c r="E1356" t="s">
        <v>42</v>
      </c>
      <c r="F1356" t="s">
        <v>45</v>
      </c>
      <c r="G1356">
        <v>117</v>
      </c>
      <c r="H1356">
        <v>26</v>
      </c>
      <c r="I1356">
        <v>22</v>
      </c>
      <c r="J1356">
        <v>137</v>
      </c>
      <c r="K1356">
        <v>25</v>
      </c>
      <c r="L1356">
        <v>135.11000000000001</v>
      </c>
      <c r="M1356">
        <v>2470.9499999999998</v>
      </c>
      <c r="N1356">
        <v>75897</v>
      </c>
      <c r="O1356">
        <v>1768.21</v>
      </c>
      <c r="P1356" s="1">
        <v>-0.29499999999999998</v>
      </c>
      <c r="Q1356">
        <f t="shared" si="105"/>
        <v>143</v>
      </c>
      <c r="R1356">
        <f t="shared" si="106"/>
        <v>163</v>
      </c>
      <c r="S1356" s="1">
        <f t="shared" si="107"/>
        <v>0.84615384615384615</v>
      </c>
      <c r="T1356">
        <f t="shared" si="108"/>
        <v>1.43</v>
      </c>
      <c r="U1356" t="str">
        <f t="shared" si="109"/>
        <v>Mar</v>
      </c>
    </row>
    <row r="1357" spans="1:21">
      <c r="A1357" s="2">
        <v>46081</v>
      </c>
      <c r="B1357" t="s">
        <v>4</v>
      </c>
      <c r="C1357" t="s">
        <v>50</v>
      </c>
      <c r="D1357" t="s">
        <v>7</v>
      </c>
      <c r="E1357" t="s">
        <v>38</v>
      </c>
      <c r="F1357" t="s">
        <v>39</v>
      </c>
      <c r="G1357">
        <v>61</v>
      </c>
      <c r="H1357">
        <v>78</v>
      </c>
      <c r="I1357">
        <v>6</v>
      </c>
      <c r="J1357">
        <v>119</v>
      </c>
      <c r="K1357">
        <v>120</v>
      </c>
      <c r="L1357">
        <v>134.13999999999999</v>
      </c>
      <c r="M1357">
        <v>2484.2199999999998</v>
      </c>
      <c r="N1357">
        <v>65116</v>
      </c>
      <c r="O1357">
        <v>1788.98</v>
      </c>
      <c r="P1357" s="1">
        <v>0.82699999999999996</v>
      </c>
      <c r="Q1357">
        <f t="shared" si="105"/>
        <v>139</v>
      </c>
      <c r="R1357">
        <f t="shared" si="106"/>
        <v>197</v>
      </c>
      <c r="S1357" s="1">
        <f t="shared" si="107"/>
        <v>0.95683453237410077</v>
      </c>
      <c r="T1357">
        <f t="shared" si="108"/>
        <v>1.39</v>
      </c>
      <c r="U1357" t="str">
        <f t="shared" si="109"/>
        <v>Feb</v>
      </c>
    </row>
    <row r="1358" spans="1:21">
      <c r="A1358" s="2">
        <v>46081</v>
      </c>
      <c r="B1358" t="s">
        <v>6</v>
      </c>
      <c r="C1358" t="s">
        <v>51</v>
      </c>
      <c r="D1358" t="s">
        <v>11</v>
      </c>
      <c r="E1358" t="s">
        <v>38</v>
      </c>
      <c r="F1358" t="s">
        <v>45</v>
      </c>
      <c r="G1358">
        <v>50</v>
      </c>
      <c r="H1358">
        <v>38</v>
      </c>
      <c r="I1358">
        <v>4</v>
      </c>
      <c r="J1358">
        <v>102</v>
      </c>
      <c r="K1358">
        <v>391</v>
      </c>
      <c r="L1358">
        <v>131.30000000000001</v>
      </c>
      <c r="M1358">
        <v>2073.4499999999998</v>
      </c>
      <c r="N1358">
        <v>68423</v>
      </c>
      <c r="O1358">
        <v>1432.46</v>
      </c>
      <c r="P1358" s="1">
        <v>0.37</v>
      </c>
      <c r="Q1358">
        <f t="shared" si="105"/>
        <v>88</v>
      </c>
      <c r="R1358">
        <f t="shared" si="106"/>
        <v>140</v>
      </c>
      <c r="S1358" s="1">
        <f t="shared" si="107"/>
        <v>0.95454545454545459</v>
      </c>
      <c r="T1358">
        <f t="shared" si="108"/>
        <v>0.88</v>
      </c>
      <c r="U1358" t="str">
        <f t="shared" si="109"/>
        <v>Feb</v>
      </c>
    </row>
    <row r="1359" spans="1:21">
      <c r="A1359" s="2">
        <v>46092</v>
      </c>
      <c r="B1359" t="s">
        <v>6</v>
      </c>
      <c r="C1359" t="s">
        <v>51</v>
      </c>
      <c r="D1359" t="s">
        <v>11</v>
      </c>
      <c r="E1359" t="s">
        <v>42</v>
      </c>
      <c r="F1359" t="s">
        <v>39</v>
      </c>
      <c r="G1359">
        <v>110</v>
      </c>
      <c r="H1359">
        <v>27</v>
      </c>
      <c r="I1359">
        <v>34</v>
      </c>
      <c r="J1359">
        <v>127</v>
      </c>
      <c r="K1359">
        <v>109</v>
      </c>
      <c r="L1359">
        <v>135.82</v>
      </c>
      <c r="M1359">
        <v>2326.42</v>
      </c>
      <c r="N1359">
        <v>67200</v>
      </c>
      <c r="O1359">
        <v>1664.12</v>
      </c>
      <c r="P1359" s="1">
        <v>-0.58799999999999997</v>
      </c>
      <c r="Q1359">
        <f t="shared" si="105"/>
        <v>137</v>
      </c>
      <c r="R1359">
        <f t="shared" si="106"/>
        <v>154</v>
      </c>
      <c r="S1359" s="1">
        <f t="shared" si="107"/>
        <v>0.75182481751824815</v>
      </c>
      <c r="T1359">
        <f t="shared" si="108"/>
        <v>1.37</v>
      </c>
      <c r="U1359" t="str">
        <f t="shared" si="109"/>
        <v>Mar</v>
      </c>
    </row>
    <row r="1360" spans="1:21">
      <c r="A1360" s="2">
        <v>46082</v>
      </c>
      <c r="B1360" t="s">
        <v>4</v>
      </c>
      <c r="C1360" t="s">
        <v>44</v>
      </c>
      <c r="D1360" t="s">
        <v>5</v>
      </c>
      <c r="E1360" t="s">
        <v>41</v>
      </c>
      <c r="F1360" t="s">
        <v>45</v>
      </c>
      <c r="G1360">
        <v>95</v>
      </c>
      <c r="H1360">
        <v>42</v>
      </c>
      <c r="I1360">
        <v>1</v>
      </c>
      <c r="J1360">
        <v>24</v>
      </c>
      <c r="K1360">
        <v>414</v>
      </c>
      <c r="L1360">
        <v>89.66</v>
      </c>
      <c r="M1360">
        <v>2168.3000000000002</v>
      </c>
      <c r="N1360">
        <v>67794</v>
      </c>
      <c r="O1360">
        <v>1650.98</v>
      </c>
      <c r="P1360" s="1">
        <v>1.2999999999999999E-2</v>
      </c>
      <c r="Q1360">
        <f t="shared" si="105"/>
        <v>137</v>
      </c>
      <c r="R1360">
        <f t="shared" si="106"/>
        <v>66</v>
      </c>
      <c r="S1360" s="1">
        <f t="shared" si="107"/>
        <v>0.99270072992700731</v>
      </c>
      <c r="T1360">
        <f t="shared" si="108"/>
        <v>1.37</v>
      </c>
      <c r="U1360" t="str">
        <f t="shared" si="109"/>
        <v>Mar</v>
      </c>
    </row>
    <row r="1361" spans="1:21">
      <c r="A1361" s="2">
        <v>46084</v>
      </c>
      <c r="B1361" t="s">
        <v>4</v>
      </c>
      <c r="C1361" t="s">
        <v>48</v>
      </c>
      <c r="D1361" t="s">
        <v>9</v>
      </c>
      <c r="E1361" t="s">
        <v>35</v>
      </c>
      <c r="F1361" t="s">
        <v>49</v>
      </c>
      <c r="G1361">
        <v>65</v>
      </c>
      <c r="H1361">
        <v>59</v>
      </c>
      <c r="I1361">
        <v>56</v>
      </c>
      <c r="J1361">
        <v>89</v>
      </c>
      <c r="K1361">
        <v>198</v>
      </c>
      <c r="L1361">
        <v>87</v>
      </c>
      <c r="M1361">
        <v>2382.25</v>
      </c>
      <c r="N1361">
        <v>70880</v>
      </c>
      <c r="O1361">
        <v>1665.67</v>
      </c>
      <c r="P1361" s="1">
        <v>-0.70899999999999996</v>
      </c>
      <c r="Q1361">
        <f t="shared" si="105"/>
        <v>124</v>
      </c>
      <c r="R1361">
        <f t="shared" si="106"/>
        <v>148</v>
      </c>
      <c r="S1361" s="1">
        <f t="shared" si="107"/>
        <v>0.54838709677419351</v>
      </c>
      <c r="T1361">
        <f t="shared" si="108"/>
        <v>1.24</v>
      </c>
      <c r="U1361" t="str">
        <f t="shared" si="109"/>
        <v>Mar</v>
      </c>
    </row>
    <row r="1362" spans="1:21">
      <c r="A1362" s="2">
        <v>46074</v>
      </c>
      <c r="B1362" t="s">
        <v>6</v>
      </c>
      <c r="C1362" t="s">
        <v>36</v>
      </c>
      <c r="D1362" t="s">
        <v>5</v>
      </c>
      <c r="E1362" t="s">
        <v>41</v>
      </c>
      <c r="F1362" t="s">
        <v>39</v>
      </c>
      <c r="G1362">
        <v>22</v>
      </c>
      <c r="H1362">
        <v>50</v>
      </c>
      <c r="I1362">
        <v>37</v>
      </c>
      <c r="J1362">
        <v>120</v>
      </c>
      <c r="K1362">
        <v>156</v>
      </c>
      <c r="L1362">
        <v>133.21</v>
      </c>
      <c r="M1362">
        <v>2444.17</v>
      </c>
      <c r="N1362">
        <v>72287</v>
      </c>
      <c r="O1362">
        <v>1361.2</v>
      </c>
      <c r="P1362" s="1">
        <v>0.223</v>
      </c>
      <c r="Q1362">
        <f t="shared" si="105"/>
        <v>72</v>
      </c>
      <c r="R1362">
        <f t="shared" si="106"/>
        <v>170</v>
      </c>
      <c r="S1362" s="1">
        <f t="shared" si="107"/>
        <v>0.4861111111111111</v>
      </c>
      <c r="T1362">
        <f t="shared" si="108"/>
        <v>0.72</v>
      </c>
      <c r="U1362" t="str">
        <f t="shared" si="109"/>
        <v>Feb</v>
      </c>
    </row>
    <row r="1363" spans="1:21">
      <c r="A1363" s="2">
        <v>46096</v>
      </c>
      <c r="B1363" t="s">
        <v>6</v>
      </c>
      <c r="C1363" t="s">
        <v>43</v>
      </c>
      <c r="D1363" t="s">
        <v>11</v>
      </c>
      <c r="E1363" t="s">
        <v>41</v>
      </c>
      <c r="F1363" t="s">
        <v>33</v>
      </c>
      <c r="G1363">
        <v>38</v>
      </c>
      <c r="H1363">
        <v>31</v>
      </c>
      <c r="I1363">
        <v>19</v>
      </c>
      <c r="J1363">
        <v>38</v>
      </c>
      <c r="K1363">
        <v>361</v>
      </c>
      <c r="L1363">
        <v>83.27</v>
      </c>
      <c r="M1363">
        <v>2326.37</v>
      </c>
      <c r="N1363">
        <v>72525</v>
      </c>
      <c r="O1363">
        <v>1554.97</v>
      </c>
      <c r="P1363" s="1">
        <v>0.61199999999999999</v>
      </c>
      <c r="Q1363">
        <f t="shared" si="105"/>
        <v>69</v>
      </c>
      <c r="R1363">
        <f t="shared" si="106"/>
        <v>69</v>
      </c>
      <c r="S1363" s="1">
        <f t="shared" si="107"/>
        <v>0.72463768115942029</v>
      </c>
      <c r="T1363">
        <f t="shared" si="108"/>
        <v>0.69</v>
      </c>
      <c r="U1363" t="str">
        <f t="shared" si="109"/>
        <v>Mar</v>
      </c>
    </row>
    <row r="1364" spans="1:21">
      <c r="A1364" s="2">
        <v>46118</v>
      </c>
      <c r="B1364" t="s">
        <v>4</v>
      </c>
      <c r="C1364" t="s">
        <v>36</v>
      </c>
      <c r="D1364" t="s">
        <v>9</v>
      </c>
      <c r="E1364" t="s">
        <v>42</v>
      </c>
      <c r="F1364" t="s">
        <v>39</v>
      </c>
      <c r="G1364">
        <v>34</v>
      </c>
      <c r="H1364">
        <v>16</v>
      </c>
      <c r="I1364">
        <v>33</v>
      </c>
      <c r="J1364">
        <v>142</v>
      </c>
      <c r="K1364">
        <v>419</v>
      </c>
      <c r="L1364">
        <v>139.94</v>
      </c>
      <c r="M1364">
        <v>2479.33</v>
      </c>
      <c r="N1364">
        <v>72182</v>
      </c>
      <c r="O1364">
        <v>1735.34</v>
      </c>
      <c r="P1364" s="1">
        <v>4.2000000000000003E-2</v>
      </c>
      <c r="Q1364">
        <f t="shared" si="105"/>
        <v>50</v>
      </c>
      <c r="R1364">
        <f t="shared" si="106"/>
        <v>158</v>
      </c>
      <c r="S1364" s="1">
        <f t="shared" si="107"/>
        <v>0.34</v>
      </c>
      <c r="T1364">
        <f t="shared" si="108"/>
        <v>0.5</v>
      </c>
      <c r="U1364" t="str">
        <f t="shared" si="109"/>
        <v>Apr</v>
      </c>
    </row>
    <row r="1365" spans="1:21">
      <c r="A1365" s="2">
        <v>46106</v>
      </c>
      <c r="B1365" t="s">
        <v>6</v>
      </c>
      <c r="C1365" t="s">
        <v>36</v>
      </c>
      <c r="D1365" t="s">
        <v>10</v>
      </c>
      <c r="E1365" t="s">
        <v>35</v>
      </c>
      <c r="F1365" t="s">
        <v>45</v>
      </c>
      <c r="G1365">
        <v>13</v>
      </c>
      <c r="H1365">
        <v>32</v>
      </c>
      <c r="I1365">
        <v>57</v>
      </c>
      <c r="J1365">
        <v>3</v>
      </c>
      <c r="K1365">
        <v>361</v>
      </c>
      <c r="L1365">
        <v>128.94999999999999</v>
      </c>
      <c r="M1365">
        <v>2353.85</v>
      </c>
      <c r="N1365">
        <v>71779</v>
      </c>
      <c r="O1365">
        <v>1781.77</v>
      </c>
      <c r="P1365" s="1">
        <v>-0.40899999999999997</v>
      </c>
      <c r="Q1365">
        <f t="shared" si="105"/>
        <v>45</v>
      </c>
      <c r="R1365">
        <f t="shared" si="106"/>
        <v>35</v>
      </c>
      <c r="S1365" s="1">
        <f t="shared" si="107"/>
        <v>-0.26666666666666666</v>
      </c>
      <c r="T1365">
        <f t="shared" si="108"/>
        <v>0.45</v>
      </c>
      <c r="U1365" t="str">
        <f t="shared" si="109"/>
        <v>Mar</v>
      </c>
    </row>
    <row r="1366" spans="1:21">
      <c r="A1366" s="2">
        <v>46124</v>
      </c>
      <c r="B1366" t="s">
        <v>6</v>
      </c>
      <c r="C1366" t="s">
        <v>43</v>
      </c>
      <c r="D1366" t="s">
        <v>9</v>
      </c>
      <c r="E1366" t="s">
        <v>32</v>
      </c>
      <c r="F1366" t="s">
        <v>39</v>
      </c>
      <c r="G1366">
        <v>78</v>
      </c>
      <c r="H1366">
        <v>55</v>
      </c>
      <c r="I1366">
        <v>72</v>
      </c>
      <c r="J1366">
        <v>103</v>
      </c>
      <c r="K1366">
        <v>251</v>
      </c>
      <c r="L1366">
        <v>98.98</v>
      </c>
      <c r="M1366">
        <v>1983.03</v>
      </c>
      <c r="N1366">
        <v>70764</v>
      </c>
      <c r="O1366">
        <v>1434.95</v>
      </c>
      <c r="P1366" s="1">
        <v>0.27200000000000002</v>
      </c>
      <c r="Q1366">
        <f t="shared" si="105"/>
        <v>133</v>
      </c>
      <c r="R1366">
        <f t="shared" si="106"/>
        <v>158</v>
      </c>
      <c r="S1366" s="1">
        <f t="shared" si="107"/>
        <v>0.45864661654135336</v>
      </c>
      <c r="T1366">
        <f t="shared" si="108"/>
        <v>1.33</v>
      </c>
      <c r="U1366" t="str">
        <f t="shared" si="109"/>
        <v>Apr</v>
      </c>
    </row>
    <row r="1367" spans="1:21">
      <c r="A1367" s="2">
        <v>46072</v>
      </c>
      <c r="B1367" t="s">
        <v>4</v>
      </c>
      <c r="C1367" t="s">
        <v>50</v>
      </c>
      <c r="D1367" t="s">
        <v>10</v>
      </c>
      <c r="E1367" t="s">
        <v>47</v>
      </c>
      <c r="F1367" t="s">
        <v>45</v>
      </c>
      <c r="G1367">
        <v>0</v>
      </c>
      <c r="H1367">
        <v>21</v>
      </c>
      <c r="I1367">
        <v>43</v>
      </c>
      <c r="J1367">
        <v>75</v>
      </c>
      <c r="K1367">
        <v>273</v>
      </c>
      <c r="L1367">
        <v>119.15</v>
      </c>
      <c r="M1367">
        <v>2407.66</v>
      </c>
      <c r="N1367">
        <v>73979</v>
      </c>
      <c r="O1367">
        <v>1580.09</v>
      </c>
      <c r="P1367" s="1">
        <v>0.36299999999999999</v>
      </c>
      <c r="Q1367">
        <f t="shared" si="105"/>
        <v>21</v>
      </c>
      <c r="R1367">
        <f t="shared" si="106"/>
        <v>96</v>
      </c>
      <c r="S1367" s="1">
        <f t="shared" si="107"/>
        <v>-1.0476190476190477</v>
      </c>
      <c r="T1367">
        <f t="shared" si="108"/>
        <v>0.21</v>
      </c>
      <c r="U1367" t="str">
        <f t="shared" si="109"/>
        <v>Feb</v>
      </c>
    </row>
    <row r="1368" spans="1:21">
      <c r="A1368" s="2">
        <v>46115</v>
      </c>
      <c r="B1368" t="s">
        <v>6</v>
      </c>
      <c r="C1368" t="s">
        <v>48</v>
      </c>
      <c r="D1368" t="s">
        <v>11</v>
      </c>
      <c r="E1368" t="s">
        <v>35</v>
      </c>
      <c r="F1368" t="s">
        <v>33</v>
      </c>
      <c r="G1368">
        <v>45</v>
      </c>
      <c r="H1368">
        <v>61</v>
      </c>
      <c r="I1368">
        <v>62</v>
      </c>
      <c r="J1368">
        <v>151</v>
      </c>
      <c r="K1368">
        <v>137</v>
      </c>
      <c r="L1368">
        <v>82.34</v>
      </c>
      <c r="M1368">
        <v>2246.77</v>
      </c>
      <c r="N1368">
        <v>69905</v>
      </c>
      <c r="O1368">
        <v>1456.83</v>
      </c>
      <c r="P1368" s="1">
        <v>-0.66900000000000004</v>
      </c>
      <c r="Q1368">
        <f t="shared" si="105"/>
        <v>106</v>
      </c>
      <c r="R1368">
        <f t="shared" si="106"/>
        <v>212</v>
      </c>
      <c r="S1368" s="1">
        <f t="shared" si="107"/>
        <v>0.41509433962264153</v>
      </c>
      <c r="T1368">
        <f t="shared" si="108"/>
        <v>1.06</v>
      </c>
      <c r="U1368" t="str">
        <f t="shared" si="109"/>
        <v>Apr</v>
      </c>
    </row>
    <row r="1369" spans="1:21">
      <c r="A1369" s="2">
        <v>46114</v>
      </c>
      <c r="B1369" t="s">
        <v>4</v>
      </c>
      <c r="C1369" t="s">
        <v>43</v>
      </c>
      <c r="D1369" t="s">
        <v>9</v>
      </c>
      <c r="E1369" t="s">
        <v>47</v>
      </c>
      <c r="F1369" t="s">
        <v>39</v>
      </c>
      <c r="G1369">
        <v>107</v>
      </c>
      <c r="H1369">
        <v>23</v>
      </c>
      <c r="I1369">
        <v>46</v>
      </c>
      <c r="J1369">
        <v>113</v>
      </c>
      <c r="K1369">
        <v>281</v>
      </c>
      <c r="L1369">
        <v>124.89</v>
      </c>
      <c r="M1369">
        <v>1954.58</v>
      </c>
      <c r="N1369">
        <v>69656</v>
      </c>
      <c r="O1369">
        <v>1628</v>
      </c>
      <c r="P1369" s="1">
        <v>0.48199999999999998</v>
      </c>
      <c r="Q1369">
        <f t="shared" si="105"/>
        <v>130</v>
      </c>
      <c r="R1369">
        <f t="shared" si="106"/>
        <v>136</v>
      </c>
      <c r="S1369" s="1">
        <f t="shared" si="107"/>
        <v>0.64615384615384619</v>
      </c>
      <c r="T1369">
        <f t="shared" si="108"/>
        <v>1.3</v>
      </c>
      <c r="U1369" t="str">
        <f t="shared" si="109"/>
        <v>Apr</v>
      </c>
    </row>
    <row r="1370" spans="1:21">
      <c r="A1370" s="2">
        <v>46107</v>
      </c>
      <c r="B1370" t="s">
        <v>4</v>
      </c>
      <c r="C1370" t="s">
        <v>43</v>
      </c>
      <c r="D1370" t="s">
        <v>11</v>
      </c>
      <c r="E1370" t="s">
        <v>42</v>
      </c>
      <c r="F1370" t="s">
        <v>49</v>
      </c>
      <c r="G1370">
        <v>93</v>
      </c>
      <c r="H1370">
        <v>63</v>
      </c>
      <c r="I1370">
        <v>9</v>
      </c>
      <c r="J1370">
        <v>99</v>
      </c>
      <c r="K1370">
        <v>196</v>
      </c>
      <c r="L1370">
        <v>99.61</v>
      </c>
      <c r="M1370">
        <v>1972.62</v>
      </c>
      <c r="N1370">
        <v>70628</v>
      </c>
      <c r="O1370">
        <v>1182.9100000000001</v>
      </c>
      <c r="P1370" s="1">
        <v>0.32900000000000001</v>
      </c>
      <c r="Q1370">
        <f t="shared" si="105"/>
        <v>156</v>
      </c>
      <c r="R1370">
        <f t="shared" si="106"/>
        <v>162</v>
      </c>
      <c r="S1370" s="1">
        <f t="shared" si="107"/>
        <v>0.94230769230769229</v>
      </c>
      <c r="T1370">
        <f t="shared" si="108"/>
        <v>1.56</v>
      </c>
      <c r="U1370" t="str">
        <f t="shared" si="109"/>
        <v>Mar</v>
      </c>
    </row>
    <row r="1371" spans="1:21">
      <c r="A1371" s="2">
        <v>46124</v>
      </c>
      <c r="B1371" t="s">
        <v>4</v>
      </c>
      <c r="C1371" t="s">
        <v>48</v>
      </c>
      <c r="D1371" t="s">
        <v>10</v>
      </c>
      <c r="E1371" t="s">
        <v>38</v>
      </c>
      <c r="F1371" t="s">
        <v>49</v>
      </c>
      <c r="G1371">
        <v>42</v>
      </c>
      <c r="H1371">
        <v>12</v>
      </c>
      <c r="I1371">
        <v>40</v>
      </c>
      <c r="J1371">
        <v>62</v>
      </c>
      <c r="K1371">
        <v>8</v>
      </c>
      <c r="L1371">
        <v>105.02</v>
      </c>
      <c r="M1371">
        <v>1956.53</v>
      </c>
      <c r="N1371">
        <v>71606</v>
      </c>
      <c r="O1371">
        <v>1199.93</v>
      </c>
      <c r="P1371" s="1">
        <v>-0.36699999999999999</v>
      </c>
      <c r="Q1371">
        <f t="shared" si="105"/>
        <v>54</v>
      </c>
      <c r="R1371">
        <f t="shared" si="106"/>
        <v>74</v>
      </c>
      <c r="S1371" s="1">
        <f t="shared" si="107"/>
        <v>0.25925925925925924</v>
      </c>
      <c r="T1371">
        <f t="shared" si="108"/>
        <v>0.54</v>
      </c>
      <c r="U1371" t="str">
        <f t="shared" si="109"/>
        <v>Apr</v>
      </c>
    </row>
    <row r="1372" spans="1:21">
      <c r="A1372" s="2">
        <v>46110</v>
      </c>
      <c r="B1372" t="s">
        <v>6</v>
      </c>
      <c r="C1372" t="s">
        <v>36</v>
      </c>
      <c r="D1372" t="s">
        <v>10</v>
      </c>
      <c r="E1372" t="s">
        <v>47</v>
      </c>
      <c r="F1372" t="s">
        <v>45</v>
      </c>
      <c r="G1372">
        <v>24</v>
      </c>
      <c r="H1372">
        <v>8</v>
      </c>
      <c r="I1372">
        <v>81</v>
      </c>
      <c r="J1372">
        <v>79</v>
      </c>
      <c r="K1372">
        <v>356</v>
      </c>
      <c r="L1372">
        <v>107.76</v>
      </c>
      <c r="M1372">
        <v>2348.98</v>
      </c>
      <c r="N1372">
        <v>64489</v>
      </c>
      <c r="O1372">
        <v>1327.86</v>
      </c>
      <c r="P1372" s="1">
        <v>0.46500000000000002</v>
      </c>
      <c r="Q1372">
        <f t="shared" si="105"/>
        <v>32</v>
      </c>
      <c r="R1372">
        <f t="shared" si="106"/>
        <v>87</v>
      </c>
      <c r="S1372" s="1">
        <f t="shared" si="107"/>
        <v>-1.53125</v>
      </c>
      <c r="T1372">
        <f t="shared" si="108"/>
        <v>0.32</v>
      </c>
      <c r="U1372" t="str">
        <f t="shared" si="109"/>
        <v>Mar</v>
      </c>
    </row>
    <row r="1373" spans="1:21">
      <c r="A1373" s="2">
        <v>46071</v>
      </c>
      <c r="B1373" t="s">
        <v>4</v>
      </c>
      <c r="C1373" t="s">
        <v>51</v>
      </c>
      <c r="D1373" t="s">
        <v>9</v>
      </c>
      <c r="E1373" t="s">
        <v>38</v>
      </c>
      <c r="F1373" t="s">
        <v>33</v>
      </c>
      <c r="G1373">
        <v>91</v>
      </c>
      <c r="H1373">
        <v>21</v>
      </c>
      <c r="I1373">
        <v>43</v>
      </c>
      <c r="J1373">
        <v>61</v>
      </c>
      <c r="K1373">
        <v>7</v>
      </c>
      <c r="L1373">
        <v>81.540000000000006</v>
      </c>
      <c r="M1373">
        <v>2231.04</v>
      </c>
      <c r="N1373">
        <v>74086</v>
      </c>
      <c r="O1373">
        <v>1585.1</v>
      </c>
      <c r="P1373" s="1">
        <v>0.23599999999999999</v>
      </c>
      <c r="Q1373">
        <f t="shared" si="105"/>
        <v>112</v>
      </c>
      <c r="R1373">
        <f t="shared" si="106"/>
        <v>82</v>
      </c>
      <c r="S1373" s="1">
        <f t="shared" si="107"/>
        <v>0.6160714285714286</v>
      </c>
      <c r="T1373">
        <f t="shared" si="108"/>
        <v>1.1200000000000001</v>
      </c>
      <c r="U1373" t="str">
        <f t="shared" si="109"/>
        <v>Feb</v>
      </c>
    </row>
    <row r="1374" spans="1:21">
      <c r="A1374" s="2">
        <v>46087</v>
      </c>
      <c r="B1374" t="s">
        <v>4</v>
      </c>
      <c r="C1374" t="s">
        <v>51</v>
      </c>
      <c r="D1374" t="s">
        <v>11</v>
      </c>
      <c r="E1374" t="s">
        <v>32</v>
      </c>
      <c r="F1374" t="s">
        <v>49</v>
      </c>
      <c r="G1374">
        <v>70</v>
      </c>
      <c r="H1374">
        <v>70</v>
      </c>
      <c r="I1374">
        <v>18</v>
      </c>
      <c r="J1374">
        <v>88</v>
      </c>
      <c r="K1374">
        <v>240</v>
      </c>
      <c r="L1374">
        <v>112.15</v>
      </c>
      <c r="M1374">
        <v>2461.2199999999998</v>
      </c>
      <c r="N1374">
        <v>66721</v>
      </c>
      <c r="O1374">
        <v>1532.21</v>
      </c>
      <c r="P1374" s="1">
        <v>-0.222</v>
      </c>
      <c r="Q1374">
        <f t="shared" si="105"/>
        <v>140</v>
      </c>
      <c r="R1374">
        <f t="shared" si="106"/>
        <v>158</v>
      </c>
      <c r="S1374" s="1">
        <f t="shared" si="107"/>
        <v>0.87142857142857144</v>
      </c>
      <c r="T1374">
        <f t="shared" si="108"/>
        <v>1.4</v>
      </c>
      <c r="U1374" t="str">
        <f t="shared" si="109"/>
        <v>Mar</v>
      </c>
    </row>
    <row r="1375" spans="1:21">
      <c r="A1375" s="2">
        <v>46079</v>
      </c>
      <c r="B1375" t="s">
        <v>6</v>
      </c>
      <c r="C1375" t="s">
        <v>48</v>
      </c>
      <c r="D1375" t="s">
        <v>5</v>
      </c>
      <c r="E1375" t="s">
        <v>37</v>
      </c>
      <c r="F1375" t="s">
        <v>33</v>
      </c>
      <c r="G1375">
        <v>109</v>
      </c>
      <c r="H1375">
        <v>21</v>
      </c>
      <c r="I1375">
        <v>82</v>
      </c>
      <c r="J1375">
        <v>117</v>
      </c>
      <c r="K1375">
        <v>9</v>
      </c>
      <c r="L1375">
        <v>124.68</v>
      </c>
      <c r="M1375">
        <v>2029.29</v>
      </c>
      <c r="N1375">
        <v>66266</v>
      </c>
      <c r="O1375">
        <v>1346.83</v>
      </c>
      <c r="P1375" s="1">
        <v>-0.58599999999999997</v>
      </c>
      <c r="Q1375">
        <f t="shared" si="105"/>
        <v>130</v>
      </c>
      <c r="R1375">
        <f t="shared" si="106"/>
        <v>138</v>
      </c>
      <c r="S1375" s="1">
        <f t="shared" si="107"/>
        <v>0.36923076923076925</v>
      </c>
      <c r="T1375">
        <f t="shared" si="108"/>
        <v>1.3</v>
      </c>
      <c r="U1375" t="str">
        <f t="shared" si="109"/>
        <v>Feb</v>
      </c>
    </row>
    <row r="1376" spans="1:21">
      <c r="A1376" s="2">
        <v>46098</v>
      </c>
      <c r="B1376" t="s">
        <v>6</v>
      </c>
      <c r="C1376" t="s">
        <v>50</v>
      </c>
      <c r="D1376" t="s">
        <v>10</v>
      </c>
      <c r="E1376" t="s">
        <v>41</v>
      </c>
      <c r="F1376" t="s">
        <v>49</v>
      </c>
      <c r="G1376">
        <v>18</v>
      </c>
      <c r="H1376">
        <v>66</v>
      </c>
      <c r="I1376">
        <v>49</v>
      </c>
      <c r="J1376">
        <v>53</v>
      </c>
      <c r="K1376">
        <v>35</v>
      </c>
      <c r="L1376">
        <v>137.91</v>
      </c>
      <c r="M1376">
        <v>1900.18</v>
      </c>
      <c r="N1376">
        <v>73893</v>
      </c>
      <c r="O1376">
        <v>1628.55</v>
      </c>
      <c r="P1376" s="1">
        <v>-0.46</v>
      </c>
      <c r="Q1376">
        <f t="shared" si="105"/>
        <v>84</v>
      </c>
      <c r="R1376">
        <f t="shared" si="106"/>
        <v>119</v>
      </c>
      <c r="S1376" s="1">
        <f t="shared" si="107"/>
        <v>0.41666666666666669</v>
      </c>
      <c r="T1376">
        <f t="shared" si="108"/>
        <v>0.84</v>
      </c>
      <c r="U1376" t="str">
        <f t="shared" si="109"/>
        <v>Mar</v>
      </c>
    </row>
    <row r="1377" spans="1:21">
      <c r="A1377" s="2">
        <v>46104</v>
      </c>
      <c r="B1377" t="s">
        <v>6</v>
      </c>
      <c r="C1377" t="s">
        <v>50</v>
      </c>
      <c r="D1377" t="s">
        <v>11</v>
      </c>
      <c r="E1377" t="s">
        <v>38</v>
      </c>
      <c r="F1377" t="s">
        <v>45</v>
      </c>
      <c r="G1377">
        <v>4</v>
      </c>
      <c r="H1377">
        <v>15</v>
      </c>
      <c r="I1377">
        <v>2</v>
      </c>
      <c r="J1377">
        <v>124</v>
      </c>
      <c r="K1377">
        <v>98</v>
      </c>
      <c r="L1377">
        <v>137.04</v>
      </c>
      <c r="M1377">
        <v>2129.04</v>
      </c>
      <c r="N1377">
        <v>70829</v>
      </c>
      <c r="O1377">
        <v>1408.83</v>
      </c>
      <c r="P1377" s="1">
        <v>-0.13800000000000001</v>
      </c>
      <c r="Q1377">
        <f t="shared" si="105"/>
        <v>19</v>
      </c>
      <c r="R1377">
        <f t="shared" si="106"/>
        <v>139</v>
      </c>
      <c r="S1377" s="1">
        <f t="shared" si="107"/>
        <v>0.89473684210526316</v>
      </c>
      <c r="T1377">
        <f t="shared" si="108"/>
        <v>0.19</v>
      </c>
      <c r="U1377" t="str">
        <f t="shared" si="109"/>
        <v>Mar</v>
      </c>
    </row>
    <row r="1378" spans="1:21">
      <c r="A1378" s="2">
        <v>46084</v>
      </c>
      <c r="B1378" t="s">
        <v>6</v>
      </c>
      <c r="C1378" t="s">
        <v>50</v>
      </c>
      <c r="D1378" t="s">
        <v>10</v>
      </c>
      <c r="E1378" t="s">
        <v>42</v>
      </c>
      <c r="F1378" t="s">
        <v>33</v>
      </c>
      <c r="G1378">
        <v>68</v>
      </c>
      <c r="H1378">
        <v>28</v>
      </c>
      <c r="I1378">
        <v>83</v>
      </c>
      <c r="J1378">
        <v>120</v>
      </c>
      <c r="K1378">
        <v>209</v>
      </c>
      <c r="L1378">
        <v>88.29</v>
      </c>
      <c r="M1378">
        <v>2434.36</v>
      </c>
      <c r="N1378">
        <v>69231</v>
      </c>
      <c r="O1378">
        <v>1054.1199999999999</v>
      </c>
      <c r="P1378" s="1">
        <v>0.71599999999999997</v>
      </c>
      <c r="Q1378">
        <f t="shared" si="105"/>
        <v>96</v>
      </c>
      <c r="R1378">
        <f t="shared" si="106"/>
        <v>148</v>
      </c>
      <c r="S1378" s="1">
        <f t="shared" si="107"/>
        <v>0.13541666666666666</v>
      </c>
      <c r="T1378">
        <f t="shared" si="108"/>
        <v>0.96</v>
      </c>
      <c r="U1378" t="str">
        <f t="shared" si="109"/>
        <v>Mar</v>
      </c>
    </row>
    <row r="1379" spans="1:21">
      <c r="A1379" s="2">
        <v>46070</v>
      </c>
      <c r="B1379" t="s">
        <v>6</v>
      </c>
      <c r="C1379" t="s">
        <v>31</v>
      </c>
      <c r="D1379" t="s">
        <v>11</v>
      </c>
      <c r="E1379" t="s">
        <v>37</v>
      </c>
      <c r="F1379" t="s">
        <v>45</v>
      </c>
      <c r="G1379">
        <v>79</v>
      </c>
      <c r="H1379">
        <v>52</v>
      </c>
      <c r="I1379">
        <v>86</v>
      </c>
      <c r="J1379">
        <v>151</v>
      </c>
      <c r="K1379">
        <v>290</v>
      </c>
      <c r="L1379">
        <v>106.32</v>
      </c>
      <c r="M1379">
        <v>2356.27</v>
      </c>
      <c r="N1379">
        <v>64349</v>
      </c>
      <c r="O1379">
        <v>1157.25</v>
      </c>
      <c r="P1379" s="1">
        <v>0.31</v>
      </c>
      <c r="Q1379">
        <f t="shared" si="105"/>
        <v>131</v>
      </c>
      <c r="R1379">
        <f t="shared" si="106"/>
        <v>203</v>
      </c>
      <c r="S1379" s="1">
        <f t="shared" si="107"/>
        <v>0.34351145038167941</v>
      </c>
      <c r="T1379">
        <f t="shared" si="108"/>
        <v>1.31</v>
      </c>
      <c r="U1379" t="str">
        <f t="shared" si="109"/>
        <v>Feb</v>
      </c>
    </row>
    <row r="1380" spans="1:21">
      <c r="A1380" s="2">
        <v>46078</v>
      </c>
      <c r="B1380" t="s">
        <v>4</v>
      </c>
      <c r="C1380" t="s">
        <v>48</v>
      </c>
      <c r="D1380" t="s">
        <v>5</v>
      </c>
      <c r="E1380" t="s">
        <v>42</v>
      </c>
      <c r="F1380" t="s">
        <v>45</v>
      </c>
      <c r="G1380">
        <v>18</v>
      </c>
      <c r="H1380">
        <v>53</v>
      </c>
      <c r="I1380">
        <v>5</v>
      </c>
      <c r="J1380">
        <v>148</v>
      </c>
      <c r="K1380">
        <v>263</v>
      </c>
      <c r="L1380">
        <v>96.12</v>
      </c>
      <c r="M1380">
        <v>2404.42</v>
      </c>
      <c r="N1380">
        <v>71296</v>
      </c>
      <c r="O1380">
        <v>1131.18</v>
      </c>
      <c r="P1380" s="1">
        <v>0.41499999999999998</v>
      </c>
      <c r="Q1380">
        <f t="shared" si="105"/>
        <v>71</v>
      </c>
      <c r="R1380">
        <f t="shared" si="106"/>
        <v>201</v>
      </c>
      <c r="S1380" s="1">
        <f t="shared" si="107"/>
        <v>0.92957746478873238</v>
      </c>
      <c r="T1380">
        <f t="shared" si="108"/>
        <v>0.71</v>
      </c>
      <c r="U1380" t="str">
        <f t="shared" si="109"/>
        <v>Feb</v>
      </c>
    </row>
    <row r="1381" spans="1:21">
      <c r="A1381" s="2">
        <v>46076</v>
      </c>
      <c r="B1381" t="s">
        <v>4</v>
      </c>
      <c r="C1381" t="s">
        <v>48</v>
      </c>
      <c r="D1381" t="s">
        <v>11</v>
      </c>
      <c r="E1381" t="s">
        <v>47</v>
      </c>
      <c r="F1381" t="s">
        <v>39</v>
      </c>
      <c r="G1381">
        <v>4</v>
      </c>
      <c r="H1381">
        <v>52</v>
      </c>
      <c r="I1381">
        <v>68</v>
      </c>
      <c r="J1381">
        <v>60</v>
      </c>
      <c r="K1381">
        <v>286</v>
      </c>
      <c r="L1381">
        <v>90.5</v>
      </c>
      <c r="M1381">
        <v>2025.31</v>
      </c>
      <c r="N1381">
        <v>67755</v>
      </c>
      <c r="O1381">
        <v>1211.56</v>
      </c>
      <c r="P1381" s="1">
        <v>0.86299999999999999</v>
      </c>
      <c r="Q1381">
        <f t="shared" si="105"/>
        <v>56</v>
      </c>
      <c r="R1381">
        <f t="shared" si="106"/>
        <v>112</v>
      </c>
      <c r="S1381" s="1">
        <f t="shared" si="107"/>
        <v>-0.21428571428571427</v>
      </c>
      <c r="T1381">
        <f t="shared" si="108"/>
        <v>0.56000000000000005</v>
      </c>
      <c r="U1381" t="str">
        <f t="shared" si="109"/>
        <v>Feb</v>
      </c>
    </row>
    <row r="1382" spans="1:21">
      <c r="A1382" s="2">
        <v>46113</v>
      </c>
      <c r="B1382" t="s">
        <v>4</v>
      </c>
      <c r="C1382" t="s">
        <v>48</v>
      </c>
      <c r="D1382" t="s">
        <v>9</v>
      </c>
      <c r="E1382" t="s">
        <v>47</v>
      </c>
      <c r="F1382" t="s">
        <v>33</v>
      </c>
      <c r="G1382">
        <v>34</v>
      </c>
      <c r="H1382">
        <v>44</v>
      </c>
      <c r="I1382">
        <v>66</v>
      </c>
      <c r="J1382">
        <v>65</v>
      </c>
      <c r="K1382">
        <v>388</v>
      </c>
      <c r="L1382">
        <v>122.11</v>
      </c>
      <c r="M1382">
        <v>2171.46</v>
      </c>
      <c r="N1382">
        <v>72107</v>
      </c>
      <c r="O1382">
        <v>1536.81</v>
      </c>
      <c r="P1382" s="1">
        <v>-0.97399999999999998</v>
      </c>
      <c r="Q1382">
        <f t="shared" si="105"/>
        <v>78</v>
      </c>
      <c r="R1382">
        <f t="shared" si="106"/>
        <v>109</v>
      </c>
      <c r="S1382" s="1">
        <f t="shared" si="107"/>
        <v>0.15384615384615385</v>
      </c>
      <c r="T1382">
        <f t="shared" si="108"/>
        <v>0.78</v>
      </c>
      <c r="U1382" t="str">
        <f t="shared" si="109"/>
        <v>Apr</v>
      </c>
    </row>
    <row r="1383" spans="1:21">
      <c r="A1383" s="2">
        <v>46108</v>
      </c>
      <c r="B1383" t="s">
        <v>6</v>
      </c>
      <c r="C1383" t="s">
        <v>36</v>
      </c>
      <c r="D1383" t="s">
        <v>5</v>
      </c>
      <c r="E1383" t="s">
        <v>32</v>
      </c>
      <c r="F1383" t="s">
        <v>49</v>
      </c>
      <c r="G1383">
        <v>14</v>
      </c>
      <c r="H1383">
        <v>14</v>
      </c>
      <c r="I1383">
        <v>65</v>
      </c>
      <c r="J1383">
        <v>47</v>
      </c>
      <c r="K1383">
        <v>200</v>
      </c>
      <c r="L1383">
        <v>106.17</v>
      </c>
      <c r="M1383">
        <v>2103.63</v>
      </c>
      <c r="N1383">
        <v>74524</v>
      </c>
      <c r="O1383">
        <v>1690.03</v>
      </c>
      <c r="P1383" s="1">
        <v>0.61399999999999999</v>
      </c>
      <c r="Q1383">
        <f t="shared" si="105"/>
        <v>28</v>
      </c>
      <c r="R1383">
        <f t="shared" si="106"/>
        <v>61</v>
      </c>
      <c r="S1383" s="1">
        <f t="shared" si="107"/>
        <v>-1.3214285714285714</v>
      </c>
      <c r="T1383">
        <f t="shared" si="108"/>
        <v>0.28000000000000003</v>
      </c>
      <c r="U1383" t="str">
        <f t="shared" si="109"/>
        <v>Mar</v>
      </c>
    </row>
    <row r="1384" spans="1:21">
      <c r="A1384" s="2">
        <v>46070</v>
      </c>
      <c r="B1384" t="s">
        <v>4</v>
      </c>
      <c r="C1384" t="s">
        <v>31</v>
      </c>
      <c r="D1384" t="s">
        <v>11</v>
      </c>
      <c r="E1384" t="s">
        <v>47</v>
      </c>
      <c r="F1384" t="s">
        <v>33</v>
      </c>
      <c r="G1384">
        <v>4</v>
      </c>
      <c r="H1384">
        <v>65</v>
      </c>
      <c r="I1384">
        <v>13</v>
      </c>
      <c r="J1384">
        <v>50</v>
      </c>
      <c r="K1384">
        <v>12</v>
      </c>
      <c r="L1384">
        <v>84.46</v>
      </c>
      <c r="M1384">
        <v>2261.9</v>
      </c>
      <c r="N1384">
        <v>65089</v>
      </c>
      <c r="O1384">
        <v>1605.49</v>
      </c>
      <c r="P1384" s="1">
        <v>-6.0999999999999999E-2</v>
      </c>
      <c r="Q1384">
        <f t="shared" si="105"/>
        <v>69</v>
      </c>
      <c r="R1384">
        <f t="shared" si="106"/>
        <v>115</v>
      </c>
      <c r="S1384" s="1">
        <f t="shared" si="107"/>
        <v>0.81159420289855078</v>
      </c>
      <c r="T1384">
        <f t="shared" si="108"/>
        <v>0.69</v>
      </c>
      <c r="U1384" t="str">
        <f t="shared" si="109"/>
        <v>Feb</v>
      </c>
    </row>
    <row r="1385" spans="1:21">
      <c r="A1385" s="2">
        <v>46111</v>
      </c>
      <c r="B1385" t="s">
        <v>4</v>
      </c>
      <c r="C1385" t="s">
        <v>48</v>
      </c>
      <c r="D1385" t="s">
        <v>11</v>
      </c>
      <c r="E1385" t="s">
        <v>41</v>
      </c>
      <c r="F1385" t="s">
        <v>49</v>
      </c>
      <c r="G1385">
        <v>46</v>
      </c>
      <c r="H1385">
        <v>40</v>
      </c>
      <c r="I1385">
        <v>43</v>
      </c>
      <c r="J1385">
        <v>66</v>
      </c>
      <c r="K1385">
        <v>64</v>
      </c>
      <c r="L1385">
        <v>133.12</v>
      </c>
      <c r="M1385">
        <v>2352.37</v>
      </c>
      <c r="N1385">
        <v>65296</v>
      </c>
      <c r="O1385">
        <v>1787.24</v>
      </c>
      <c r="P1385" s="1">
        <v>-0.79900000000000004</v>
      </c>
      <c r="Q1385">
        <f t="shared" si="105"/>
        <v>86</v>
      </c>
      <c r="R1385">
        <f t="shared" si="106"/>
        <v>106</v>
      </c>
      <c r="S1385" s="1">
        <f t="shared" si="107"/>
        <v>0.5</v>
      </c>
      <c r="T1385">
        <f t="shared" si="108"/>
        <v>0.86</v>
      </c>
      <c r="U1385" t="str">
        <f t="shared" si="109"/>
        <v>Mar</v>
      </c>
    </row>
    <row r="1386" spans="1:21">
      <c r="A1386" s="2">
        <v>46099</v>
      </c>
      <c r="B1386" t="s">
        <v>4</v>
      </c>
      <c r="C1386" t="s">
        <v>48</v>
      </c>
      <c r="D1386" t="s">
        <v>7</v>
      </c>
      <c r="E1386" t="s">
        <v>35</v>
      </c>
      <c r="F1386" t="s">
        <v>39</v>
      </c>
      <c r="G1386">
        <v>16</v>
      </c>
      <c r="H1386">
        <v>3</v>
      </c>
      <c r="I1386">
        <v>70</v>
      </c>
      <c r="J1386">
        <v>105</v>
      </c>
      <c r="K1386">
        <v>79</v>
      </c>
      <c r="L1386">
        <v>124.24</v>
      </c>
      <c r="M1386">
        <v>2206.79</v>
      </c>
      <c r="N1386">
        <v>72164</v>
      </c>
      <c r="O1386">
        <v>1583.12</v>
      </c>
      <c r="P1386" s="1">
        <v>-9.1999999999999998E-2</v>
      </c>
      <c r="Q1386">
        <f t="shared" si="105"/>
        <v>19</v>
      </c>
      <c r="R1386">
        <f t="shared" si="106"/>
        <v>108</v>
      </c>
      <c r="S1386" s="1">
        <f t="shared" si="107"/>
        <v>-2.6842105263157894</v>
      </c>
      <c r="T1386">
        <f t="shared" si="108"/>
        <v>0.19</v>
      </c>
      <c r="U1386" t="str">
        <f t="shared" si="109"/>
        <v>Mar</v>
      </c>
    </row>
    <row r="1387" spans="1:21">
      <c r="A1387" s="2">
        <v>46073</v>
      </c>
      <c r="B1387" t="s">
        <v>4</v>
      </c>
      <c r="C1387" t="s">
        <v>46</v>
      </c>
      <c r="D1387" t="s">
        <v>9</v>
      </c>
      <c r="E1387" t="s">
        <v>41</v>
      </c>
      <c r="F1387" t="s">
        <v>39</v>
      </c>
      <c r="G1387">
        <v>62</v>
      </c>
      <c r="H1387">
        <v>71</v>
      </c>
      <c r="I1387">
        <v>78</v>
      </c>
      <c r="J1387">
        <v>143</v>
      </c>
      <c r="K1387">
        <v>93</v>
      </c>
      <c r="L1387">
        <v>83.25</v>
      </c>
      <c r="M1387">
        <v>1945.25</v>
      </c>
      <c r="N1387">
        <v>65769</v>
      </c>
      <c r="O1387">
        <v>1355.41</v>
      </c>
      <c r="P1387" s="1">
        <v>-0.85499999999999998</v>
      </c>
      <c r="Q1387">
        <f t="shared" si="105"/>
        <v>133</v>
      </c>
      <c r="R1387">
        <f t="shared" si="106"/>
        <v>214</v>
      </c>
      <c r="S1387" s="1">
        <f t="shared" si="107"/>
        <v>0.41353383458646614</v>
      </c>
      <c r="T1387">
        <f t="shared" si="108"/>
        <v>1.33</v>
      </c>
      <c r="U1387" t="str">
        <f t="shared" si="109"/>
        <v>Feb</v>
      </c>
    </row>
    <row r="1388" spans="1:21">
      <c r="A1388" s="2">
        <v>46074</v>
      </c>
      <c r="B1388" t="s">
        <v>6</v>
      </c>
      <c r="C1388" t="s">
        <v>51</v>
      </c>
      <c r="D1388" t="s">
        <v>11</v>
      </c>
      <c r="E1388" t="s">
        <v>38</v>
      </c>
      <c r="F1388" t="s">
        <v>39</v>
      </c>
      <c r="G1388">
        <v>39</v>
      </c>
      <c r="H1388">
        <v>25</v>
      </c>
      <c r="I1388">
        <v>39</v>
      </c>
      <c r="J1388">
        <v>133</v>
      </c>
      <c r="K1388">
        <v>327</v>
      </c>
      <c r="L1388">
        <v>127.25</v>
      </c>
      <c r="M1388">
        <v>2221.14</v>
      </c>
      <c r="N1388">
        <v>74799</v>
      </c>
      <c r="O1388">
        <v>954.73</v>
      </c>
      <c r="P1388" s="1">
        <v>0.96099999999999997</v>
      </c>
      <c r="Q1388">
        <f t="shared" si="105"/>
        <v>64</v>
      </c>
      <c r="R1388">
        <f t="shared" si="106"/>
        <v>158</v>
      </c>
      <c r="S1388" s="1">
        <f t="shared" si="107"/>
        <v>0.390625</v>
      </c>
      <c r="T1388">
        <f t="shared" si="108"/>
        <v>0.64</v>
      </c>
      <c r="U1388" t="str">
        <f t="shared" si="109"/>
        <v>Feb</v>
      </c>
    </row>
    <row r="1389" spans="1:21">
      <c r="A1389" s="2">
        <v>46076</v>
      </c>
      <c r="B1389" t="s">
        <v>6</v>
      </c>
      <c r="C1389" t="s">
        <v>36</v>
      </c>
      <c r="D1389" t="s">
        <v>9</v>
      </c>
      <c r="E1389" t="s">
        <v>42</v>
      </c>
      <c r="F1389" t="s">
        <v>39</v>
      </c>
      <c r="G1389">
        <v>86</v>
      </c>
      <c r="H1389">
        <v>19</v>
      </c>
      <c r="I1389">
        <v>0</v>
      </c>
      <c r="J1389">
        <v>100</v>
      </c>
      <c r="K1389">
        <v>193</v>
      </c>
      <c r="L1389">
        <v>109.24</v>
      </c>
      <c r="M1389">
        <v>2446.21</v>
      </c>
      <c r="N1389">
        <v>72452</v>
      </c>
      <c r="O1389">
        <v>1785.92</v>
      </c>
      <c r="P1389" s="1">
        <v>0.753</v>
      </c>
      <c r="Q1389">
        <f t="shared" si="105"/>
        <v>105</v>
      </c>
      <c r="R1389">
        <f t="shared" si="106"/>
        <v>119</v>
      </c>
      <c r="S1389" s="1">
        <f t="shared" si="107"/>
        <v>1</v>
      </c>
      <c r="T1389">
        <f t="shared" si="108"/>
        <v>1.05</v>
      </c>
      <c r="U1389" t="str">
        <f t="shared" si="109"/>
        <v>Feb</v>
      </c>
    </row>
    <row r="1390" spans="1:21">
      <c r="A1390" s="2">
        <v>46100</v>
      </c>
      <c r="B1390" t="s">
        <v>6</v>
      </c>
      <c r="C1390" t="s">
        <v>44</v>
      </c>
      <c r="D1390" t="s">
        <v>7</v>
      </c>
      <c r="E1390" t="s">
        <v>35</v>
      </c>
      <c r="F1390" t="s">
        <v>49</v>
      </c>
      <c r="G1390">
        <v>114</v>
      </c>
      <c r="H1390">
        <v>43</v>
      </c>
      <c r="I1390">
        <v>25</v>
      </c>
      <c r="J1390">
        <v>138</v>
      </c>
      <c r="K1390">
        <v>259</v>
      </c>
      <c r="L1390">
        <v>129.72</v>
      </c>
      <c r="M1390">
        <v>1872.76</v>
      </c>
      <c r="N1390">
        <v>70745</v>
      </c>
      <c r="O1390">
        <v>1111.76</v>
      </c>
      <c r="P1390" s="1">
        <v>0.51700000000000002</v>
      </c>
      <c r="Q1390">
        <f t="shared" si="105"/>
        <v>157</v>
      </c>
      <c r="R1390">
        <f t="shared" si="106"/>
        <v>181</v>
      </c>
      <c r="S1390" s="1">
        <f t="shared" si="107"/>
        <v>0.84076433121019112</v>
      </c>
      <c r="T1390">
        <f t="shared" si="108"/>
        <v>1.57</v>
      </c>
      <c r="U1390" t="str">
        <f t="shared" si="109"/>
        <v>Mar</v>
      </c>
    </row>
    <row r="1391" spans="1:21">
      <c r="A1391" s="2">
        <v>46107</v>
      </c>
      <c r="B1391" t="s">
        <v>6</v>
      </c>
      <c r="C1391" t="s">
        <v>36</v>
      </c>
      <c r="D1391" t="s">
        <v>7</v>
      </c>
      <c r="E1391" t="s">
        <v>32</v>
      </c>
      <c r="F1391" t="s">
        <v>45</v>
      </c>
      <c r="G1391">
        <v>91</v>
      </c>
      <c r="H1391">
        <v>13</v>
      </c>
      <c r="I1391">
        <v>54</v>
      </c>
      <c r="J1391">
        <v>6</v>
      </c>
      <c r="K1391">
        <v>409</v>
      </c>
      <c r="L1391">
        <v>104.16</v>
      </c>
      <c r="M1391">
        <v>1945.4</v>
      </c>
      <c r="N1391">
        <v>72986</v>
      </c>
      <c r="O1391">
        <v>1064.56</v>
      </c>
      <c r="P1391" s="1">
        <v>-6.9000000000000006E-2</v>
      </c>
      <c r="Q1391">
        <f t="shared" si="105"/>
        <v>104</v>
      </c>
      <c r="R1391">
        <f t="shared" si="106"/>
        <v>19</v>
      </c>
      <c r="S1391" s="1">
        <f t="shared" si="107"/>
        <v>0.48076923076923078</v>
      </c>
      <c r="T1391">
        <f t="shared" si="108"/>
        <v>1.04</v>
      </c>
      <c r="U1391" t="str">
        <f t="shared" si="109"/>
        <v>Mar</v>
      </c>
    </row>
    <row r="1392" spans="1:21">
      <c r="A1392" s="2">
        <v>46087</v>
      </c>
      <c r="B1392" t="s">
        <v>4</v>
      </c>
      <c r="C1392" t="s">
        <v>44</v>
      </c>
      <c r="D1392" t="s">
        <v>9</v>
      </c>
      <c r="E1392" t="s">
        <v>47</v>
      </c>
      <c r="F1392" t="s">
        <v>45</v>
      </c>
      <c r="G1392">
        <v>24</v>
      </c>
      <c r="H1392">
        <v>77</v>
      </c>
      <c r="I1392">
        <v>67</v>
      </c>
      <c r="J1392">
        <v>89</v>
      </c>
      <c r="K1392">
        <v>40</v>
      </c>
      <c r="L1392">
        <v>105.13</v>
      </c>
      <c r="M1392">
        <v>2197.9499999999998</v>
      </c>
      <c r="N1392">
        <v>68642</v>
      </c>
      <c r="O1392">
        <v>1113.9000000000001</v>
      </c>
      <c r="P1392" s="1">
        <v>-4.7E-2</v>
      </c>
      <c r="Q1392">
        <f t="shared" si="105"/>
        <v>101</v>
      </c>
      <c r="R1392">
        <f t="shared" si="106"/>
        <v>166</v>
      </c>
      <c r="S1392" s="1">
        <f t="shared" si="107"/>
        <v>0.33663366336633666</v>
      </c>
      <c r="T1392">
        <f t="shared" si="108"/>
        <v>1.01</v>
      </c>
      <c r="U1392" t="str">
        <f t="shared" si="109"/>
        <v>Mar</v>
      </c>
    </row>
    <row r="1393" spans="1:21">
      <c r="A1393" s="2">
        <v>46107</v>
      </c>
      <c r="B1393" t="s">
        <v>6</v>
      </c>
      <c r="C1393" t="s">
        <v>43</v>
      </c>
      <c r="D1393" t="s">
        <v>10</v>
      </c>
      <c r="E1393" t="s">
        <v>35</v>
      </c>
      <c r="F1393" t="s">
        <v>39</v>
      </c>
      <c r="G1393">
        <v>72</v>
      </c>
      <c r="H1393">
        <v>72</v>
      </c>
      <c r="I1393">
        <v>30</v>
      </c>
      <c r="J1393">
        <v>114</v>
      </c>
      <c r="K1393">
        <v>362</v>
      </c>
      <c r="L1393">
        <v>84.94</v>
      </c>
      <c r="M1393">
        <v>1985.28</v>
      </c>
      <c r="N1393">
        <v>67119</v>
      </c>
      <c r="O1393">
        <v>1038</v>
      </c>
      <c r="P1393" s="1">
        <v>-0.34799999999999998</v>
      </c>
      <c r="Q1393">
        <f t="shared" si="105"/>
        <v>144</v>
      </c>
      <c r="R1393">
        <f t="shared" si="106"/>
        <v>186</v>
      </c>
      <c r="S1393" s="1">
        <f t="shared" si="107"/>
        <v>0.79166666666666663</v>
      </c>
      <c r="T1393">
        <f t="shared" si="108"/>
        <v>1.44</v>
      </c>
      <c r="U1393" t="str">
        <f t="shared" si="109"/>
        <v>Mar</v>
      </c>
    </row>
    <row r="1394" spans="1:21">
      <c r="A1394" s="2">
        <v>46092</v>
      </c>
      <c r="B1394" t="s">
        <v>4</v>
      </c>
      <c r="C1394" t="s">
        <v>50</v>
      </c>
      <c r="D1394" t="s">
        <v>7</v>
      </c>
      <c r="E1394" t="s">
        <v>35</v>
      </c>
      <c r="F1394" t="s">
        <v>39</v>
      </c>
      <c r="G1394">
        <v>30</v>
      </c>
      <c r="H1394">
        <v>23</v>
      </c>
      <c r="I1394">
        <v>30</v>
      </c>
      <c r="J1394">
        <v>26</v>
      </c>
      <c r="K1394">
        <v>230</v>
      </c>
      <c r="L1394">
        <v>128.25</v>
      </c>
      <c r="M1394">
        <v>2252.41</v>
      </c>
      <c r="N1394">
        <v>65051</v>
      </c>
      <c r="O1394">
        <v>1241.71</v>
      </c>
      <c r="P1394" s="1">
        <v>-0.19700000000000001</v>
      </c>
      <c r="Q1394">
        <f t="shared" si="105"/>
        <v>53</v>
      </c>
      <c r="R1394">
        <f t="shared" si="106"/>
        <v>49</v>
      </c>
      <c r="S1394" s="1">
        <f t="shared" si="107"/>
        <v>0.43396226415094341</v>
      </c>
      <c r="T1394">
        <f t="shared" si="108"/>
        <v>0.53</v>
      </c>
      <c r="U1394" t="str">
        <f t="shared" si="109"/>
        <v>Mar</v>
      </c>
    </row>
    <row r="1395" spans="1:21">
      <c r="A1395" s="2">
        <v>46111</v>
      </c>
      <c r="B1395" t="s">
        <v>4</v>
      </c>
      <c r="C1395" t="s">
        <v>40</v>
      </c>
      <c r="D1395" t="s">
        <v>7</v>
      </c>
      <c r="E1395" t="s">
        <v>41</v>
      </c>
      <c r="F1395" t="s">
        <v>45</v>
      </c>
      <c r="G1395">
        <v>49</v>
      </c>
      <c r="H1395">
        <v>5</v>
      </c>
      <c r="I1395">
        <v>77</v>
      </c>
      <c r="J1395">
        <v>2</v>
      </c>
      <c r="K1395">
        <v>104</v>
      </c>
      <c r="L1395">
        <v>99.83</v>
      </c>
      <c r="M1395">
        <v>2081.5</v>
      </c>
      <c r="N1395">
        <v>71096</v>
      </c>
      <c r="O1395">
        <v>1052.4100000000001</v>
      </c>
      <c r="P1395" s="1">
        <v>-0.33900000000000002</v>
      </c>
      <c r="Q1395">
        <f t="shared" si="105"/>
        <v>54</v>
      </c>
      <c r="R1395">
        <f t="shared" si="106"/>
        <v>7</v>
      </c>
      <c r="S1395" s="1">
        <f t="shared" si="107"/>
        <v>-0.42592592592592593</v>
      </c>
      <c r="T1395">
        <f t="shared" si="108"/>
        <v>0.54</v>
      </c>
      <c r="U1395" t="str">
        <f t="shared" si="109"/>
        <v>Mar</v>
      </c>
    </row>
    <row r="1396" spans="1:21">
      <c r="A1396" s="2">
        <v>46105</v>
      </c>
      <c r="B1396" t="s">
        <v>4</v>
      </c>
      <c r="C1396" t="s">
        <v>36</v>
      </c>
      <c r="D1396" t="s">
        <v>9</v>
      </c>
      <c r="E1396" t="s">
        <v>37</v>
      </c>
      <c r="F1396" t="s">
        <v>49</v>
      </c>
      <c r="G1396">
        <v>94</v>
      </c>
      <c r="H1396">
        <v>45</v>
      </c>
      <c r="I1396">
        <v>48</v>
      </c>
      <c r="J1396">
        <v>12</v>
      </c>
      <c r="K1396">
        <v>115</v>
      </c>
      <c r="L1396">
        <v>126.5</v>
      </c>
      <c r="M1396">
        <v>1996.7</v>
      </c>
      <c r="N1396">
        <v>70170</v>
      </c>
      <c r="O1396">
        <v>1696.68</v>
      </c>
      <c r="P1396" s="1">
        <v>0.38800000000000001</v>
      </c>
      <c r="Q1396">
        <f t="shared" si="105"/>
        <v>139</v>
      </c>
      <c r="R1396">
        <f t="shared" si="106"/>
        <v>57</v>
      </c>
      <c r="S1396" s="1">
        <f t="shared" si="107"/>
        <v>0.65467625899280579</v>
      </c>
      <c r="T1396">
        <f t="shared" si="108"/>
        <v>1.39</v>
      </c>
      <c r="U1396" t="str">
        <f t="shared" si="109"/>
        <v>Mar</v>
      </c>
    </row>
    <row r="1397" spans="1:21">
      <c r="A1397" s="2">
        <v>46089</v>
      </c>
      <c r="B1397" t="s">
        <v>4</v>
      </c>
      <c r="C1397" t="s">
        <v>44</v>
      </c>
      <c r="D1397" t="s">
        <v>9</v>
      </c>
      <c r="E1397" t="s">
        <v>42</v>
      </c>
      <c r="F1397" t="s">
        <v>49</v>
      </c>
      <c r="G1397">
        <v>92</v>
      </c>
      <c r="H1397">
        <v>79</v>
      </c>
      <c r="I1397">
        <v>22</v>
      </c>
      <c r="J1397">
        <v>101</v>
      </c>
      <c r="K1397">
        <v>349</v>
      </c>
      <c r="L1397">
        <v>99.82</v>
      </c>
      <c r="M1397">
        <v>2200.7600000000002</v>
      </c>
      <c r="N1397">
        <v>64721</v>
      </c>
      <c r="O1397">
        <v>1088.99</v>
      </c>
      <c r="P1397" s="1">
        <v>0.49</v>
      </c>
      <c r="Q1397">
        <f t="shared" si="105"/>
        <v>171</v>
      </c>
      <c r="R1397">
        <f t="shared" si="106"/>
        <v>180</v>
      </c>
      <c r="S1397" s="1">
        <f t="shared" si="107"/>
        <v>0.87134502923976609</v>
      </c>
      <c r="T1397">
        <f t="shared" si="108"/>
        <v>1.71</v>
      </c>
      <c r="U1397" t="str">
        <f t="shared" si="109"/>
        <v>Mar</v>
      </c>
    </row>
    <row r="1398" spans="1:21">
      <c r="A1398" s="2">
        <v>46116</v>
      </c>
      <c r="B1398" t="s">
        <v>6</v>
      </c>
      <c r="C1398" t="s">
        <v>51</v>
      </c>
      <c r="D1398" t="s">
        <v>7</v>
      </c>
      <c r="E1398" t="s">
        <v>32</v>
      </c>
      <c r="F1398" t="s">
        <v>45</v>
      </c>
      <c r="G1398">
        <v>30</v>
      </c>
      <c r="H1398">
        <v>61</v>
      </c>
      <c r="I1398">
        <v>61</v>
      </c>
      <c r="J1398">
        <v>126</v>
      </c>
      <c r="K1398">
        <v>446</v>
      </c>
      <c r="L1398">
        <v>118.71</v>
      </c>
      <c r="M1398">
        <v>2232.7399999999998</v>
      </c>
      <c r="N1398">
        <v>74263</v>
      </c>
      <c r="O1398">
        <v>1626.14</v>
      </c>
      <c r="P1398" s="1">
        <v>0.63700000000000001</v>
      </c>
      <c r="Q1398">
        <f t="shared" si="105"/>
        <v>91</v>
      </c>
      <c r="R1398">
        <f t="shared" si="106"/>
        <v>187</v>
      </c>
      <c r="S1398" s="1">
        <f t="shared" si="107"/>
        <v>0.32967032967032966</v>
      </c>
      <c r="T1398">
        <f t="shared" si="108"/>
        <v>0.91</v>
      </c>
      <c r="U1398" t="str">
        <f t="shared" si="109"/>
        <v>Apr</v>
      </c>
    </row>
    <row r="1399" spans="1:21">
      <c r="A1399" s="2">
        <v>46122</v>
      </c>
      <c r="B1399" t="s">
        <v>4</v>
      </c>
      <c r="C1399" t="s">
        <v>51</v>
      </c>
      <c r="D1399" t="s">
        <v>5</v>
      </c>
      <c r="E1399" t="s">
        <v>32</v>
      </c>
      <c r="F1399" t="s">
        <v>49</v>
      </c>
      <c r="G1399">
        <v>31</v>
      </c>
      <c r="H1399">
        <v>4</v>
      </c>
      <c r="I1399">
        <v>75</v>
      </c>
      <c r="J1399">
        <v>23</v>
      </c>
      <c r="K1399">
        <v>40</v>
      </c>
      <c r="L1399">
        <v>86.77</v>
      </c>
      <c r="M1399">
        <v>2478.88</v>
      </c>
      <c r="N1399">
        <v>72616</v>
      </c>
      <c r="O1399">
        <v>1295.95</v>
      </c>
      <c r="P1399" s="1">
        <v>-0.59199999999999997</v>
      </c>
      <c r="Q1399">
        <f t="shared" si="105"/>
        <v>35</v>
      </c>
      <c r="R1399">
        <f t="shared" si="106"/>
        <v>27</v>
      </c>
      <c r="S1399" s="1">
        <f t="shared" si="107"/>
        <v>-1.1428571428571428</v>
      </c>
      <c r="T1399">
        <f t="shared" si="108"/>
        <v>0.35</v>
      </c>
      <c r="U1399" t="str">
        <f t="shared" si="109"/>
        <v>Apr</v>
      </c>
    </row>
    <row r="1400" spans="1:21">
      <c r="A1400" s="2">
        <v>46120</v>
      </c>
      <c r="B1400" t="s">
        <v>6</v>
      </c>
      <c r="C1400" t="s">
        <v>48</v>
      </c>
      <c r="D1400" t="s">
        <v>5</v>
      </c>
      <c r="E1400" t="s">
        <v>47</v>
      </c>
      <c r="F1400" t="s">
        <v>33</v>
      </c>
      <c r="G1400">
        <v>86</v>
      </c>
      <c r="H1400">
        <v>16</v>
      </c>
      <c r="I1400">
        <v>7</v>
      </c>
      <c r="J1400">
        <v>33</v>
      </c>
      <c r="K1400">
        <v>276</v>
      </c>
      <c r="L1400">
        <v>125.91</v>
      </c>
      <c r="M1400">
        <v>2244.52</v>
      </c>
      <c r="N1400">
        <v>70347</v>
      </c>
      <c r="O1400">
        <v>1130.48</v>
      </c>
      <c r="P1400" s="1">
        <v>0.20599999999999999</v>
      </c>
      <c r="Q1400">
        <f t="shared" si="105"/>
        <v>102</v>
      </c>
      <c r="R1400">
        <f t="shared" si="106"/>
        <v>49</v>
      </c>
      <c r="S1400" s="1">
        <f t="shared" si="107"/>
        <v>0.93137254901960786</v>
      </c>
      <c r="T1400">
        <f t="shared" si="108"/>
        <v>1.02</v>
      </c>
      <c r="U1400" t="str">
        <f t="shared" si="109"/>
        <v>Apr</v>
      </c>
    </row>
    <row r="1401" spans="1:21">
      <c r="A1401" s="2">
        <v>46127</v>
      </c>
      <c r="B1401" t="s">
        <v>6</v>
      </c>
      <c r="C1401" t="s">
        <v>36</v>
      </c>
      <c r="D1401" t="s">
        <v>11</v>
      </c>
      <c r="E1401" t="s">
        <v>38</v>
      </c>
      <c r="F1401" t="s">
        <v>49</v>
      </c>
      <c r="G1401">
        <v>102</v>
      </c>
      <c r="H1401">
        <v>68</v>
      </c>
      <c r="I1401">
        <v>10</v>
      </c>
      <c r="J1401">
        <v>99</v>
      </c>
      <c r="K1401">
        <v>346</v>
      </c>
      <c r="L1401">
        <v>138.91999999999999</v>
      </c>
      <c r="M1401">
        <v>2487.7399999999998</v>
      </c>
      <c r="N1401">
        <v>72267</v>
      </c>
      <c r="O1401">
        <v>968.47</v>
      </c>
      <c r="P1401" s="1">
        <v>0.30299999999999999</v>
      </c>
      <c r="Q1401">
        <f t="shared" si="105"/>
        <v>170</v>
      </c>
      <c r="R1401">
        <f t="shared" si="106"/>
        <v>167</v>
      </c>
      <c r="S1401" s="1">
        <f t="shared" si="107"/>
        <v>0.94117647058823528</v>
      </c>
      <c r="T1401">
        <f t="shared" si="108"/>
        <v>1.7</v>
      </c>
      <c r="U1401" t="str">
        <f t="shared" si="109"/>
        <v>Apr</v>
      </c>
    </row>
    <row r="1402" spans="1:21">
      <c r="A1402" s="2">
        <v>46101</v>
      </c>
      <c r="B1402" t="s">
        <v>4</v>
      </c>
      <c r="C1402" t="s">
        <v>34</v>
      </c>
      <c r="D1402" t="s">
        <v>9</v>
      </c>
      <c r="E1402" t="s">
        <v>38</v>
      </c>
      <c r="F1402" t="s">
        <v>39</v>
      </c>
      <c r="G1402">
        <v>1</v>
      </c>
      <c r="H1402">
        <v>4</v>
      </c>
      <c r="I1402">
        <v>89</v>
      </c>
      <c r="J1402">
        <v>12</v>
      </c>
      <c r="K1402">
        <v>24</v>
      </c>
      <c r="L1402">
        <v>108.15</v>
      </c>
      <c r="M1402">
        <v>2162.5300000000002</v>
      </c>
      <c r="N1402">
        <v>65172</v>
      </c>
      <c r="O1402">
        <v>1711.36</v>
      </c>
      <c r="P1402" s="1">
        <v>-0.45</v>
      </c>
      <c r="Q1402">
        <f t="shared" si="105"/>
        <v>5</v>
      </c>
      <c r="R1402">
        <f t="shared" si="106"/>
        <v>16</v>
      </c>
      <c r="S1402" s="1">
        <f t="shared" si="107"/>
        <v>-16.8</v>
      </c>
      <c r="T1402">
        <f t="shared" si="108"/>
        <v>0.05</v>
      </c>
      <c r="U1402" t="str">
        <f t="shared" si="109"/>
        <v>Mar</v>
      </c>
    </row>
    <row r="1403" spans="1:21">
      <c r="A1403" s="2">
        <v>46097</v>
      </c>
      <c r="B1403" t="s">
        <v>6</v>
      </c>
      <c r="C1403" t="s">
        <v>51</v>
      </c>
      <c r="D1403" t="s">
        <v>5</v>
      </c>
      <c r="E1403" t="s">
        <v>32</v>
      </c>
      <c r="F1403" t="s">
        <v>49</v>
      </c>
      <c r="G1403">
        <v>9</v>
      </c>
      <c r="H1403">
        <v>32</v>
      </c>
      <c r="I1403">
        <v>67</v>
      </c>
      <c r="J1403">
        <v>19</v>
      </c>
      <c r="K1403">
        <v>376</v>
      </c>
      <c r="L1403">
        <v>82.25</v>
      </c>
      <c r="M1403">
        <v>1937.58</v>
      </c>
      <c r="N1403">
        <v>73157</v>
      </c>
      <c r="O1403">
        <v>1535.12</v>
      </c>
      <c r="P1403" s="1">
        <v>0.215</v>
      </c>
      <c r="Q1403">
        <f t="shared" si="105"/>
        <v>41</v>
      </c>
      <c r="R1403">
        <f t="shared" si="106"/>
        <v>51</v>
      </c>
      <c r="S1403" s="1">
        <f t="shared" si="107"/>
        <v>-0.63414634146341464</v>
      </c>
      <c r="T1403">
        <f t="shared" si="108"/>
        <v>0.41</v>
      </c>
      <c r="U1403" t="str">
        <f t="shared" si="109"/>
        <v>Mar</v>
      </c>
    </row>
    <row r="1404" spans="1:21">
      <c r="A1404" s="2">
        <v>46078</v>
      </c>
      <c r="B1404" t="s">
        <v>6</v>
      </c>
      <c r="C1404" t="s">
        <v>51</v>
      </c>
      <c r="D1404" t="s">
        <v>10</v>
      </c>
      <c r="E1404" t="s">
        <v>38</v>
      </c>
      <c r="F1404" t="s">
        <v>49</v>
      </c>
      <c r="G1404">
        <v>101</v>
      </c>
      <c r="H1404">
        <v>2</v>
      </c>
      <c r="I1404">
        <v>44</v>
      </c>
      <c r="J1404">
        <v>130</v>
      </c>
      <c r="K1404">
        <v>358</v>
      </c>
      <c r="L1404">
        <v>87.56</v>
      </c>
      <c r="M1404">
        <v>2240.6999999999998</v>
      </c>
      <c r="N1404">
        <v>73308</v>
      </c>
      <c r="O1404">
        <v>1148.1099999999999</v>
      </c>
      <c r="P1404" s="1">
        <v>0.13100000000000001</v>
      </c>
      <c r="Q1404">
        <f t="shared" si="105"/>
        <v>103</v>
      </c>
      <c r="R1404">
        <f t="shared" si="106"/>
        <v>132</v>
      </c>
      <c r="S1404" s="1">
        <f t="shared" si="107"/>
        <v>0.57281553398058249</v>
      </c>
      <c r="T1404">
        <f t="shared" si="108"/>
        <v>1.03</v>
      </c>
      <c r="U1404" t="str">
        <f t="shared" si="109"/>
        <v>Feb</v>
      </c>
    </row>
    <row r="1405" spans="1:21">
      <c r="A1405" s="2">
        <v>46126</v>
      </c>
      <c r="B1405" t="s">
        <v>6</v>
      </c>
      <c r="C1405" t="s">
        <v>40</v>
      </c>
      <c r="D1405" t="s">
        <v>7</v>
      </c>
      <c r="E1405" t="s">
        <v>41</v>
      </c>
      <c r="F1405" t="s">
        <v>33</v>
      </c>
      <c r="G1405">
        <v>9</v>
      </c>
      <c r="H1405">
        <v>74</v>
      </c>
      <c r="I1405">
        <v>56</v>
      </c>
      <c r="J1405">
        <v>152</v>
      </c>
      <c r="K1405">
        <v>48</v>
      </c>
      <c r="L1405">
        <v>85.1</v>
      </c>
      <c r="M1405">
        <v>2072.62</v>
      </c>
      <c r="N1405">
        <v>75404</v>
      </c>
      <c r="O1405">
        <v>1022.3</v>
      </c>
      <c r="P1405" s="1">
        <v>5.3999999999999999E-2</v>
      </c>
      <c r="Q1405">
        <f t="shared" si="105"/>
        <v>83</v>
      </c>
      <c r="R1405">
        <f t="shared" si="106"/>
        <v>226</v>
      </c>
      <c r="S1405" s="1">
        <f t="shared" si="107"/>
        <v>0.3253012048192771</v>
      </c>
      <c r="T1405">
        <f t="shared" si="108"/>
        <v>0.83</v>
      </c>
      <c r="U1405" t="str">
        <f t="shared" si="109"/>
        <v>Apr</v>
      </c>
    </row>
    <row r="1406" spans="1:21">
      <c r="A1406" s="2">
        <v>46124</v>
      </c>
      <c r="B1406" t="s">
        <v>6</v>
      </c>
      <c r="C1406" t="s">
        <v>40</v>
      </c>
      <c r="D1406" t="s">
        <v>7</v>
      </c>
      <c r="E1406" t="s">
        <v>47</v>
      </c>
      <c r="F1406" t="s">
        <v>39</v>
      </c>
      <c r="G1406">
        <v>97</v>
      </c>
      <c r="H1406">
        <v>21</v>
      </c>
      <c r="I1406">
        <v>88</v>
      </c>
      <c r="J1406">
        <v>32</v>
      </c>
      <c r="K1406">
        <v>42</v>
      </c>
      <c r="L1406">
        <v>133.09</v>
      </c>
      <c r="M1406">
        <v>1978.82</v>
      </c>
      <c r="N1406">
        <v>66755</v>
      </c>
      <c r="O1406">
        <v>1294.0899999999999</v>
      </c>
      <c r="P1406" s="1">
        <v>0.89100000000000001</v>
      </c>
      <c r="Q1406">
        <f t="shared" si="105"/>
        <v>118</v>
      </c>
      <c r="R1406">
        <f t="shared" si="106"/>
        <v>53</v>
      </c>
      <c r="S1406" s="1">
        <f t="shared" si="107"/>
        <v>0.25423728813559321</v>
      </c>
      <c r="T1406">
        <f t="shared" si="108"/>
        <v>1.18</v>
      </c>
      <c r="U1406" t="str">
        <f t="shared" si="109"/>
        <v>Apr</v>
      </c>
    </row>
    <row r="1407" spans="1:21">
      <c r="A1407" s="2">
        <v>46087</v>
      </c>
      <c r="B1407" t="s">
        <v>4</v>
      </c>
      <c r="C1407" t="s">
        <v>51</v>
      </c>
      <c r="D1407" t="s">
        <v>10</v>
      </c>
      <c r="E1407" t="s">
        <v>37</v>
      </c>
      <c r="F1407" t="s">
        <v>45</v>
      </c>
      <c r="G1407">
        <v>6</v>
      </c>
      <c r="H1407">
        <v>78</v>
      </c>
      <c r="I1407">
        <v>88</v>
      </c>
      <c r="J1407">
        <v>75</v>
      </c>
      <c r="K1407">
        <v>296</v>
      </c>
      <c r="L1407">
        <v>96.52</v>
      </c>
      <c r="M1407">
        <v>2071.62</v>
      </c>
      <c r="N1407">
        <v>74897</v>
      </c>
      <c r="O1407">
        <v>1303.25</v>
      </c>
      <c r="P1407" s="1">
        <v>-0.373</v>
      </c>
      <c r="Q1407">
        <f t="shared" si="105"/>
        <v>84</v>
      </c>
      <c r="R1407">
        <f t="shared" si="106"/>
        <v>153</v>
      </c>
      <c r="S1407" s="1">
        <f t="shared" si="107"/>
        <v>-4.7619047619047616E-2</v>
      </c>
      <c r="T1407">
        <f t="shared" si="108"/>
        <v>0.84</v>
      </c>
      <c r="U1407" t="str">
        <f t="shared" si="109"/>
        <v>Mar</v>
      </c>
    </row>
    <row r="1408" spans="1:21">
      <c r="A1408" s="2">
        <v>46093</v>
      </c>
      <c r="B1408" t="s">
        <v>6</v>
      </c>
      <c r="C1408" t="s">
        <v>50</v>
      </c>
      <c r="D1408" t="s">
        <v>7</v>
      </c>
      <c r="E1408" t="s">
        <v>37</v>
      </c>
      <c r="F1408" t="s">
        <v>33</v>
      </c>
      <c r="G1408">
        <v>69</v>
      </c>
      <c r="H1408">
        <v>64</v>
      </c>
      <c r="I1408">
        <v>31</v>
      </c>
      <c r="J1408">
        <v>39</v>
      </c>
      <c r="K1408">
        <v>42</v>
      </c>
      <c r="L1408">
        <v>110.41</v>
      </c>
      <c r="M1408">
        <v>1901.23</v>
      </c>
      <c r="N1408">
        <v>66026</v>
      </c>
      <c r="O1408">
        <v>1188.6199999999999</v>
      </c>
      <c r="P1408" s="1">
        <v>-6.5000000000000002E-2</v>
      </c>
      <c r="Q1408">
        <f t="shared" si="105"/>
        <v>133</v>
      </c>
      <c r="R1408">
        <f t="shared" si="106"/>
        <v>103</v>
      </c>
      <c r="S1408" s="1">
        <f t="shared" si="107"/>
        <v>0.76691729323308266</v>
      </c>
      <c r="T1408">
        <f t="shared" si="108"/>
        <v>1.33</v>
      </c>
      <c r="U1408" t="str">
        <f t="shared" si="109"/>
        <v>Mar</v>
      </c>
    </row>
    <row r="1409" spans="1:21">
      <c r="A1409" s="2">
        <v>46089</v>
      </c>
      <c r="B1409" t="s">
        <v>6</v>
      </c>
      <c r="C1409" t="s">
        <v>50</v>
      </c>
      <c r="D1409" t="s">
        <v>5</v>
      </c>
      <c r="E1409" t="s">
        <v>32</v>
      </c>
      <c r="F1409" t="s">
        <v>33</v>
      </c>
      <c r="G1409">
        <v>65</v>
      </c>
      <c r="H1409">
        <v>2</v>
      </c>
      <c r="I1409">
        <v>38</v>
      </c>
      <c r="J1409">
        <v>14</v>
      </c>
      <c r="K1409">
        <v>209</v>
      </c>
      <c r="L1409">
        <v>85.16</v>
      </c>
      <c r="M1409">
        <v>1930.93</v>
      </c>
      <c r="N1409">
        <v>64704</v>
      </c>
      <c r="O1409">
        <v>1053.3599999999999</v>
      </c>
      <c r="P1409" s="1">
        <v>0.67</v>
      </c>
      <c r="Q1409">
        <f t="shared" si="105"/>
        <v>67</v>
      </c>
      <c r="R1409">
        <f t="shared" si="106"/>
        <v>16</v>
      </c>
      <c r="S1409" s="1">
        <f t="shared" si="107"/>
        <v>0.43283582089552236</v>
      </c>
      <c r="T1409">
        <f t="shared" si="108"/>
        <v>0.67</v>
      </c>
      <c r="U1409" t="str">
        <f t="shared" si="109"/>
        <v>Mar</v>
      </c>
    </row>
    <row r="1410" spans="1:21">
      <c r="A1410" s="2">
        <v>46095</v>
      </c>
      <c r="B1410" t="s">
        <v>4</v>
      </c>
      <c r="C1410" t="s">
        <v>50</v>
      </c>
      <c r="D1410" t="s">
        <v>9</v>
      </c>
      <c r="E1410" t="s">
        <v>38</v>
      </c>
      <c r="F1410" t="s">
        <v>45</v>
      </c>
      <c r="G1410">
        <v>108</v>
      </c>
      <c r="H1410">
        <v>23</v>
      </c>
      <c r="I1410">
        <v>81</v>
      </c>
      <c r="J1410">
        <v>144</v>
      </c>
      <c r="K1410">
        <v>419</v>
      </c>
      <c r="L1410">
        <v>133.36000000000001</v>
      </c>
      <c r="M1410">
        <v>2161</v>
      </c>
      <c r="N1410">
        <v>70763</v>
      </c>
      <c r="O1410">
        <v>1195.75</v>
      </c>
      <c r="P1410" s="1">
        <v>-0.61599999999999999</v>
      </c>
      <c r="Q1410">
        <f t="shared" si="105"/>
        <v>131</v>
      </c>
      <c r="R1410">
        <f t="shared" si="106"/>
        <v>167</v>
      </c>
      <c r="S1410" s="1">
        <f t="shared" si="107"/>
        <v>0.38167938931297712</v>
      </c>
      <c r="T1410">
        <f t="shared" si="108"/>
        <v>1.31</v>
      </c>
      <c r="U1410" t="str">
        <f t="shared" si="109"/>
        <v>Mar</v>
      </c>
    </row>
    <row r="1411" spans="1:21">
      <c r="A1411" s="2">
        <v>46088</v>
      </c>
      <c r="B1411" t="s">
        <v>6</v>
      </c>
      <c r="C1411" t="s">
        <v>44</v>
      </c>
      <c r="D1411" t="s">
        <v>10</v>
      </c>
      <c r="E1411" t="s">
        <v>38</v>
      </c>
      <c r="F1411" t="s">
        <v>49</v>
      </c>
      <c r="G1411">
        <v>101</v>
      </c>
      <c r="H1411">
        <v>40</v>
      </c>
      <c r="I1411">
        <v>38</v>
      </c>
      <c r="J1411">
        <v>159</v>
      </c>
      <c r="K1411">
        <v>221</v>
      </c>
      <c r="L1411">
        <v>81.66</v>
      </c>
      <c r="M1411">
        <v>1954.19</v>
      </c>
      <c r="N1411">
        <v>64660</v>
      </c>
      <c r="O1411">
        <v>1356.99</v>
      </c>
      <c r="P1411" s="1">
        <v>0.56599999999999995</v>
      </c>
      <c r="Q1411">
        <f t="shared" ref="Q1411:Q1474" si="110">G1411+H1411</f>
        <v>141</v>
      </c>
      <c r="R1411">
        <f t="shared" ref="R1411:R1474" si="111">J1411+H1411</f>
        <v>199</v>
      </c>
      <c r="S1411" s="1">
        <f t="shared" ref="S1411:S1474" si="112">(Q1411-I1411)/(Q1411)</f>
        <v>0.73049645390070927</v>
      </c>
      <c r="T1411">
        <f t="shared" ref="T1411:T1474" si="113">Q1411/100</f>
        <v>1.41</v>
      </c>
      <c r="U1411" t="str">
        <f t="shared" ref="U1411:U1474" si="114">TEXT(A1411,"mmm")</f>
        <v>Mar</v>
      </c>
    </row>
    <row r="1412" spans="1:21">
      <c r="A1412" s="2">
        <v>46114</v>
      </c>
      <c r="B1412" t="s">
        <v>4</v>
      </c>
      <c r="C1412" t="s">
        <v>51</v>
      </c>
      <c r="D1412" t="s">
        <v>5</v>
      </c>
      <c r="E1412" t="s">
        <v>38</v>
      </c>
      <c r="F1412" t="s">
        <v>33</v>
      </c>
      <c r="G1412">
        <v>45</v>
      </c>
      <c r="H1412">
        <v>22</v>
      </c>
      <c r="I1412">
        <v>64</v>
      </c>
      <c r="J1412">
        <v>125</v>
      </c>
      <c r="K1412">
        <v>179</v>
      </c>
      <c r="L1412">
        <v>105.7</v>
      </c>
      <c r="M1412">
        <v>1927.81</v>
      </c>
      <c r="N1412">
        <v>75545</v>
      </c>
      <c r="O1412">
        <v>1479.5</v>
      </c>
      <c r="P1412" s="1">
        <v>0.17599999999999999</v>
      </c>
      <c r="Q1412">
        <f t="shared" si="110"/>
        <v>67</v>
      </c>
      <c r="R1412">
        <f t="shared" si="111"/>
        <v>147</v>
      </c>
      <c r="S1412" s="1">
        <f t="shared" si="112"/>
        <v>4.4776119402985072E-2</v>
      </c>
      <c r="T1412">
        <f t="shared" si="113"/>
        <v>0.67</v>
      </c>
      <c r="U1412" t="str">
        <f t="shared" si="114"/>
        <v>Apr</v>
      </c>
    </row>
    <row r="1413" spans="1:21">
      <c r="A1413" s="2">
        <v>46091</v>
      </c>
      <c r="B1413" t="s">
        <v>4</v>
      </c>
      <c r="C1413" t="s">
        <v>48</v>
      </c>
      <c r="D1413" t="s">
        <v>9</v>
      </c>
      <c r="E1413" t="s">
        <v>38</v>
      </c>
      <c r="F1413" t="s">
        <v>45</v>
      </c>
      <c r="G1413">
        <v>3</v>
      </c>
      <c r="H1413">
        <v>66</v>
      </c>
      <c r="I1413">
        <v>9</v>
      </c>
      <c r="J1413">
        <v>115</v>
      </c>
      <c r="K1413">
        <v>382</v>
      </c>
      <c r="L1413">
        <v>135.09</v>
      </c>
      <c r="M1413">
        <v>2091.2399999999998</v>
      </c>
      <c r="N1413">
        <v>68859</v>
      </c>
      <c r="O1413">
        <v>1054.3900000000001</v>
      </c>
      <c r="P1413" s="1">
        <v>0.47899999999999998</v>
      </c>
      <c r="Q1413">
        <f t="shared" si="110"/>
        <v>69</v>
      </c>
      <c r="R1413">
        <f t="shared" si="111"/>
        <v>181</v>
      </c>
      <c r="S1413" s="1">
        <f t="shared" si="112"/>
        <v>0.86956521739130432</v>
      </c>
      <c r="T1413">
        <f t="shared" si="113"/>
        <v>0.69</v>
      </c>
      <c r="U1413" t="str">
        <f t="shared" si="114"/>
        <v>Mar</v>
      </c>
    </row>
    <row r="1414" spans="1:21">
      <c r="A1414" s="2">
        <v>46071</v>
      </c>
      <c r="B1414" t="s">
        <v>6</v>
      </c>
      <c r="C1414" t="s">
        <v>51</v>
      </c>
      <c r="D1414" t="s">
        <v>10</v>
      </c>
      <c r="E1414" t="s">
        <v>42</v>
      </c>
      <c r="F1414" t="s">
        <v>39</v>
      </c>
      <c r="G1414">
        <v>109</v>
      </c>
      <c r="H1414">
        <v>32</v>
      </c>
      <c r="I1414">
        <v>45</v>
      </c>
      <c r="J1414">
        <v>2</v>
      </c>
      <c r="K1414">
        <v>414</v>
      </c>
      <c r="L1414">
        <v>133.05000000000001</v>
      </c>
      <c r="M1414">
        <v>2042.89</v>
      </c>
      <c r="N1414">
        <v>68839</v>
      </c>
      <c r="O1414">
        <v>1616.34</v>
      </c>
      <c r="P1414" s="1">
        <v>0.17199999999999999</v>
      </c>
      <c r="Q1414">
        <f t="shared" si="110"/>
        <v>141</v>
      </c>
      <c r="R1414">
        <f t="shared" si="111"/>
        <v>34</v>
      </c>
      <c r="S1414" s="1">
        <f t="shared" si="112"/>
        <v>0.68085106382978722</v>
      </c>
      <c r="T1414">
        <f t="shared" si="113"/>
        <v>1.41</v>
      </c>
      <c r="U1414" t="str">
        <f t="shared" si="114"/>
        <v>Feb</v>
      </c>
    </row>
    <row r="1415" spans="1:21">
      <c r="A1415" s="2">
        <v>46094</v>
      </c>
      <c r="B1415" t="s">
        <v>4</v>
      </c>
      <c r="C1415" t="s">
        <v>43</v>
      </c>
      <c r="D1415" t="s">
        <v>5</v>
      </c>
      <c r="E1415" t="s">
        <v>37</v>
      </c>
      <c r="F1415" t="s">
        <v>49</v>
      </c>
      <c r="G1415">
        <v>0</v>
      </c>
      <c r="H1415">
        <v>60</v>
      </c>
      <c r="I1415">
        <v>80</v>
      </c>
      <c r="J1415">
        <v>4</v>
      </c>
      <c r="K1415">
        <v>352</v>
      </c>
      <c r="L1415">
        <v>85.21</v>
      </c>
      <c r="M1415">
        <v>2029.93</v>
      </c>
      <c r="N1415">
        <v>71460</v>
      </c>
      <c r="O1415">
        <v>1443.83</v>
      </c>
      <c r="P1415" s="1">
        <v>-0.05</v>
      </c>
      <c r="Q1415">
        <f t="shared" si="110"/>
        <v>60</v>
      </c>
      <c r="R1415">
        <f t="shared" si="111"/>
        <v>64</v>
      </c>
      <c r="S1415" s="1">
        <f t="shared" si="112"/>
        <v>-0.33333333333333331</v>
      </c>
      <c r="T1415">
        <f t="shared" si="113"/>
        <v>0.6</v>
      </c>
      <c r="U1415" t="str">
        <f t="shared" si="114"/>
        <v>Mar</v>
      </c>
    </row>
    <row r="1416" spans="1:21">
      <c r="A1416" s="2">
        <v>46109</v>
      </c>
      <c r="B1416" t="s">
        <v>4</v>
      </c>
      <c r="C1416" t="s">
        <v>43</v>
      </c>
      <c r="D1416" t="s">
        <v>9</v>
      </c>
      <c r="E1416" t="s">
        <v>38</v>
      </c>
      <c r="F1416" t="s">
        <v>49</v>
      </c>
      <c r="G1416">
        <v>59</v>
      </c>
      <c r="H1416">
        <v>63</v>
      </c>
      <c r="I1416">
        <v>0</v>
      </c>
      <c r="J1416">
        <v>122</v>
      </c>
      <c r="K1416">
        <v>284</v>
      </c>
      <c r="L1416">
        <v>123.29</v>
      </c>
      <c r="M1416">
        <v>2107.1999999999998</v>
      </c>
      <c r="N1416">
        <v>65759</v>
      </c>
      <c r="O1416">
        <v>1589.35</v>
      </c>
      <c r="P1416" s="1">
        <v>-9.6000000000000002E-2</v>
      </c>
      <c r="Q1416">
        <f t="shared" si="110"/>
        <v>122</v>
      </c>
      <c r="R1416">
        <f t="shared" si="111"/>
        <v>185</v>
      </c>
      <c r="S1416" s="1">
        <f t="shared" si="112"/>
        <v>1</v>
      </c>
      <c r="T1416">
        <f t="shared" si="113"/>
        <v>1.22</v>
      </c>
      <c r="U1416" t="str">
        <f t="shared" si="114"/>
        <v>Mar</v>
      </c>
    </row>
    <row r="1417" spans="1:21">
      <c r="A1417" s="2">
        <v>46090</v>
      </c>
      <c r="B1417" t="s">
        <v>6</v>
      </c>
      <c r="C1417" t="s">
        <v>34</v>
      </c>
      <c r="D1417" t="s">
        <v>11</v>
      </c>
      <c r="E1417" t="s">
        <v>42</v>
      </c>
      <c r="F1417" t="s">
        <v>49</v>
      </c>
      <c r="G1417">
        <v>91</v>
      </c>
      <c r="H1417">
        <v>58</v>
      </c>
      <c r="I1417">
        <v>23</v>
      </c>
      <c r="J1417">
        <v>43</v>
      </c>
      <c r="K1417">
        <v>275</v>
      </c>
      <c r="L1417">
        <v>86.19</v>
      </c>
      <c r="M1417">
        <v>2298.36</v>
      </c>
      <c r="N1417">
        <v>75312</v>
      </c>
      <c r="O1417">
        <v>1300.22</v>
      </c>
      <c r="P1417" s="1">
        <v>-0.80100000000000005</v>
      </c>
      <c r="Q1417">
        <f t="shared" si="110"/>
        <v>149</v>
      </c>
      <c r="R1417">
        <f t="shared" si="111"/>
        <v>101</v>
      </c>
      <c r="S1417" s="1">
        <f t="shared" si="112"/>
        <v>0.84563758389261745</v>
      </c>
      <c r="T1417">
        <f t="shared" si="113"/>
        <v>1.49</v>
      </c>
      <c r="U1417" t="str">
        <f t="shared" si="114"/>
        <v>Mar</v>
      </c>
    </row>
    <row r="1418" spans="1:21">
      <c r="A1418" s="2">
        <v>46106</v>
      </c>
      <c r="B1418" t="s">
        <v>6</v>
      </c>
      <c r="C1418" t="s">
        <v>48</v>
      </c>
      <c r="D1418" t="s">
        <v>9</v>
      </c>
      <c r="E1418" t="s">
        <v>38</v>
      </c>
      <c r="F1418" t="s">
        <v>33</v>
      </c>
      <c r="G1418">
        <v>50</v>
      </c>
      <c r="H1418">
        <v>71</v>
      </c>
      <c r="I1418">
        <v>1</v>
      </c>
      <c r="J1418">
        <v>112</v>
      </c>
      <c r="K1418">
        <v>189</v>
      </c>
      <c r="L1418">
        <v>94.66</v>
      </c>
      <c r="M1418">
        <v>1808.17</v>
      </c>
      <c r="N1418">
        <v>72563</v>
      </c>
      <c r="O1418">
        <v>1292.1199999999999</v>
      </c>
      <c r="P1418" s="1">
        <v>0.73899999999999999</v>
      </c>
      <c r="Q1418">
        <f t="shared" si="110"/>
        <v>121</v>
      </c>
      <c r="R1418">
        <f t="shared" si="111"/>
        <v>183</v>
      </c>
      <c r="S1418" s="1">
        <f t="shared" si="112"/>
        <v>0.99173553719008267</v>
      </c>
      <c r="T1418">
        <f t="shared" si="113"/>
        <v>1.21</v>
      </c>
      <c r="U1418" t="str">
        <f t="shared" si="114"/>
        <v>Mar</v>
      </c>
    </row>
    <row r="1419" spans="1:21">
      <c r="A1419" s="2">
        <v>46097</v>
      </c>
      <c r="B1419" t="s">
        <v>6</v>
      </c>
      <c r="C1419" t="s">
        <v>46</v>
      </c>
      <c r="D1419" t="s">
        <v>5</v>
      </c>
      <c r="E1419" t="s">
        <v>41</v>
      </c>
      <c r="F1419" t="s">
        <v>49</v>
      </c>
      <c r="G1419">
        <v>19</v>
      </c>
      <c r="H1419">
        <v>25</v>
      </c>
      <c r="I1419">
        <v>45</v>
      </c>
      <c r="J1419">
        <v>106</v>
      </c>
      <c r="K1419">
        <v>254</v>
      </c>
      <c r="L1419">
        <v>81.2</v>
      </c>
      <c r="M1419">
        <v>2478.11</v>
      </c>
      <c r="N1419">
        <v>64982</v>
      </c>
      <c r="O1419">
        <v>1104.95</v>
      </c>
      <c r="P1419" s="1">
        <v>-0.36199999999999999</v>
      </c>
      <c r="Q1419">
        <f t="shared" si="110"/>
        <v>44</v>
      </c>
      <c r="R1419">
        <f t="shared" si="111"/>
        <v>131</v>
      </c>
      <c r="S1419" s="1">
        <f t="shared" si="112"/>
        <v>-2.2727272727272728E-2</v>
      </c>
      <c r="T1419">
        <f t="shared" si="113"/>
        <v>0.44</v>
      </c>
      <c r="U1419" t="str">
        <f t="shared" si="114"/>
        <v>Mar</v>
      </c>
    </row>
    <row r="1420" spans="1:21">
      <c r="A1420" s="2">
        <v>46094</v>
      </c>
      <c r="B1420" t="s">
        <v>6</v>
      </c>
      <c r="C1420" t="s">
        <v>48</v>
      </c>
      <c r="D1420" t="s">
        <v>11</v>
      </c>
      <c r="E1420" t="s">
        <v>47</v>
      </c>
      <c r="F1420" t="s">
        <v>39</v>
      </c>
      <c r="G1420">
        <v>113</v>
      </c>
      <c r="H1420">
        <v>38</v>
      </c>
      <c r="I1420">
        <v>76</v>
      </c>
      <c r="J1420">
        <v>76</v>
      </c>
      <c r="K1420">
        <v>247</v>
      </c>
      <c r="L1420">
        <v>135.1</v>
      </c>
      <c r="M1420">
        <v>1955</v>
      </c>
      <c r="N1420">
        <v>67832</v>
      </c>
      <c r="O1420">
        <v>1013.57</v>
      </c>
      <c r="P1420" s="1">
        <v>-0.44400000000000001</v>
      </c>
      <c r="Q1420">
        <f t="shared" si="110"/>
        <v>151</v>
      </c>
      <c r="R1420">
        <f t="shared" si="111"/>
        <v>114</v>
      </c>
      <c r="S1420" s="1">
        <f t="shared" si="112"/>
        <v>0.49668874172185429</v>
      </c>
      <c r="T1420">
        <f t="shared" si="113"/>
        <v>1.51</v>
      </c>
      <c r="U1420" t="str">
        <f t="shared" si="114"/>
        <v>Mar</v>
      </c>
    </row>
    <row r="1421" spans="1:21">
      <c r="A1421" s="2">
        <v>46098</v>
      </c>
      <c r="B1421" t="s">
        <v>4</v>
      </c>
      <c r="C1421" t="s">
        <v>43</v>
      </c>
      <c r="D1421" t="s">
        <v>9</v>
      </c>
      <c r="E1421" t="s">
        <v>42</v>
      </c>
      <c r="F1421" t="s">
        <v>33</v>
      </c>
      <c r="G1421">
        <v>87</v>
      </c>
      <c r="H1421">
        <v>11</v>
      </c>
      <c r="I1421">
        <v>78</v>
      </c>
      <c r="J1421">
        <v>38</v>
      </c>
      <c r="K1421">
        <v>334</v>
      </c>
      <c r="L1421">
        <v>84.65</v>
      </c>
      <c r="M1421">
        <v>2134.8200000000002</v>
      </c>
      <c r="N1421">
        <v>65906</v>
      </c>
      <c r="O1421">
        <v>978.7</v>
      </c>
      <c r="P1421" s="1">
        <v>-0.96099999999999997</v>
      </c>
      <c r="Q1421">
        <f t="shared" si="110"/>
        <v>98</v>
      </c>
      <c r="R1421">
        <f t="shared" si="111"/>
        <v>49</v>
      </c>
      <c r="S1421" s="1">
        <f t="shared" si="112"/>
        <v>0.20408163265306123</v>
      </c>
      <c r="T1421">
        <f t="shared" si="113"/>
        <v>0.98</v>
      </c>
      <c r="U1421" t="str">
        <f t="shared" si="114"/>
        <v>Mar</v>
      </c>
    </row>
    <row r="1422" spans="1:21">
      <c r="A1422" s="2">
        <v>46089</v>
      </c>
      <c r="B1422" t="s">
        <v>4</v>
      </c>
      <c r="C1422" t="s">
        <v>40</v>
      </c>
      <c r="D1422" t="s">
        <v>9</v>
      </c>
      <c r="E1422" t="s">
        <v>47</v>
      </c>
      <c r="F1422" t="s">
        <v>45</v>
      </c>
      <c r="G1422">
        <v>27</v>
      </c>
      <c r="H1422">
        <v>45</v>
      </c>
      <c r="I1422">
        <v>51</v>
      </c>
      <c r="J1422">
        <v>118</v>
      </c>
      <c r="K1422">
        <v>313</v>
      </c>
      <c r="L1422">
        <v>135.75</v>
      </c>
      <c r="M1422">
        <v>1947.64</v>
      </c>
      <c r="N1422">
        <v>71381</v>
      </c>
      <c r="O1422">
        <v>1237.5</v>
      </c>
      <c r="P1422" s="1">
        <v>-0.59099999999999997</v>
      </c>
      <c r="Q1422">
        <f t="shared" si="110"/>
        <v>72</v>
      </c>
      <c r="R1422">
        <f t="shared" si="111"/>
        <v>163</v>
      </c>
      <c r="S1422" s="1">
        <f t="shared" si="112"/>
        <v>0.29166666666666669</v>
      </c>
      <c r="T1422">
        <f t="shared" si="113"/>
        <v>0.72</v>
      </c>
      <c r="U1422" t="str">
        <f t="shared" si="114"/>
        <v>Mar</v>
      </c>
    </row>
    <row r="1423" spans="1:21">
      <c r="A1423" s="2">
        <v>46077</v>
      </c>
      <c r="B1423" t="s">
        <v>4</v>
      </c>
      <c r="C1423" t="s">
        <v>34</v>
      </c>
      <c r="D1423" t="s">
        <v>11</v>
      </c>
      <c r="E1423" t="s">
        <v>47</v>
      </c>
      <c r="F1423" t="s">
        <v>45</v>
      </c>
      <c r="G1423">
        <v>62</v>
      </c>
      <c r="H1423">
        <v>37</v>
      </c>
      <c r="I1423">
        <v>41</v>
      </c>
      <c r="J1423">
        <v>94</v>
      </c>
      <c r="K1423">
        <v>38</v>
      </c>
      <c r="L1423">
        <v>111.07</v>
      </c>
      <c r="M1423">
        <v>1912</v>
      </c>
      <c r="N1423">
        <v>66527</v>
      </c>
      <c r="O1423">
        <v>1743.63</v>
      </c>
      <c r="P1423" s="1">
        <v>-0.26900000000000002</v>
      </c>
      <c r="Q1423">
        <f t="shared" si="110"/>
        <v>99</v>
      </c>
      <c r="R1423">
        <f t="shared" si="111"/>
        <v>131</v>
      </c>
      <c r="S1423" s="1">
        <f t="shared" si="112"/>
        <v>0.58585858585858586</v>
      </c>
      <c r="T1423">
        <f t="shared" si="113"/>
        <v>0.99</v>
      </c>
      <c r="U1423" t="str">
        <f t="shared" si="114"/>
        <v>Feb</v>
      </c>
    </row>
    <row r="1424" spans="1:21">
      <c r="A1424" s="2">
        <v>46095</v>
      </c>
      <c r="B1424" t="s">
        <v>4</v>
      </c>
      <c r="C1424" t="s">
        <v>36</v>
      </c>
      <c r="D1424" t="s">
        <v>11</v>
      </c>
      <c r="E1424" t="s">
        <v>32</v>
      </c>
      <c r="F1424" t="s">
        <v>33</v>
      </c>
      <c r="G1424">
        <v>19</v>
      </c>
      <c r="H1424">
        <v>75</v>
      </c>
      <c r="I1424">
        <v>89</v>
      </c>
      <c r="J1424">
        <v>42</v>
      </c>
      <c r="K1424">
        <v>102</v>
      </c>
      <c r="L1424">
        <v>104.77</v>
      </c>
      <c r="M1424">
        <v>2065</v>
      </c>
      <c r="N1424">
        <v>65734</v>
      </c>
      <c r="O1424">
        <v>1454.29</v>
      </c>
      <c r="P1424" s="1">
        <v>-5.8000000000000003E-2</v>
      </c>
      <c r="Q1424">
        <f t="shared" si="110"/>
        <v>94</v>
      </c>
      <c r="R1424">
        <f t="shared" si="111"/>
        <v>117</v>
      </c>
      <c r="S1424" s="1">
        <f t="shared" si="112"/>
        <v>5.3191489361702128E-2</v>
      </c>
      <c r="T1424">
        <f t="shared" si="113"/>
        <v>0.94</v>
      </c>
      <c r="U1424" t="str">
        <f t="shared" si="114"/>
        <v>Mar</v>
      </c>
    </row>
    <row r="1425" spans="1:21">
      <c r="A1425" s="2">
        <v>46070</v>
      </c>
      <c r="B1425" t="s">
        <v>6</v>
      </c>
      <c r="C1425" t="s">
        <v>50</v>
      </c>
      <c r="D1425" t="s">
        <v>7</v>
      </c>
      <c r="E1425" t="s">
        <v>41</v>
      </c>
      <c r="F1425" t="s">
        <v>45</v>
      </c>
      <c r="G1425">
        <v>57</v>
      </c>
      <c r="H1425">
        <v>73</v>
      </c>
      <c r="I1425">
        <v>30</v>
      </c>
      <c r="J1425">
        <v>35</v>
      </c>
      <c r="K1425">
        <v>247</v>
      </c>
      <c r="L1425">
        <v>138.85</v>
      </c>
      <c r="M1425">
        <v>2330.0300000000002</v>
      </c>
      <c r="N1425">
        <v>75463</v>
      </c>
      <c r="O1425">
        <v>1358.23</v>
      </c>
      <c r="P1425" s="1">
        <v>0.47299999999999998</v>
      </c>
      <c r="Q1425">
        <f t="shared" si="110"/>
        <v>130</v>
      </c>
      <c r="R1425">
        <f t="shared" si="111"/>
        <v>108</v>
      </c>
      <c r="S1425" s="1">
        <f t="shared" si="112"/>
        <v>0.76923076923076927</v>
      </c>
      <c r="T1425">
        <f t="shared" si="113"/>
        <v>1.3</v>
      </c>
      <c r="U1425" t="str">
        <f t="shared" si="114"/>
        <v>Feb</v>
      </c>
    </row>
    <row r="1426" spans="1:21">
      <c r="A1426" s="2">
        <v>46107</v>
      </c>
      <c r="B1426" t="s">
        <v>4</v>
      </c>
      <c r="C1426" t="s">
        <v>51</v>
      </c>
      <c r="D1426" t="s">
        <v>11</v>
      </c>
      <c r="E1426" t="s">
        <v>41</v>
      </c>
      <c r="F1426" t="s">
        <v>45</v>
      </c>
      <c r="G1426">
        <v>80</v>
      </c>
      <c r="H1426">
        <v>23</v>
      </c>
      <c r="I1426">
        <v>86</v>
      </c>
      <c r="J1426">
        <v>126</v>
      </c>
      <c r="K1426">
        <v>436</v>
      </c>
      <c r="L1426">
        <v>91.53</v>
      </c>
      <c r="M1426">
        <v>2249.0500000000002</v>
      </c>
      <c r="N1426">
        <v>65157</v>
      </c>
      <c r="O1426">
        <v>1335.19</v>
      </c>
      <c r="P1426" s="1">
        <v>0.624</v>
      </c>
      <c r="Q1426">
        <f t="shared" si="110"/>
        <v>103</v>
      </c>
      <c r="R1426">
        <f t="shared" si="111"/>
        <v>149</v>
      </c>
      <c r="S1426" s="1">
        <f t="shared" si="112"/>
        <v>0.1650485436893204</v>
      </c>
      <c r="T1426">
        <f t="shared" si="113"/>
        <v>1.03</v>
      </c>
      <c r="U1426" t="str">
        <f t="shared" si="114"/>
        <v>Mar</v>
      </c>
    </row>
    <row r="1427" spans="1:21">
      <c r="A1427" s="2">
        <v>46091</v>
      </c>
      <c r="B1427" t="s">
        <v>4</v>
      </c>
      <c r="C1427" t="s">
        <v>43</v>
      </c>
      <c r="D1427" t="s">
        <v>10</v>
      </c>
      <c r="E1427" t="s">
        <v>42</v>
      </c>
      <c r="F1427" t="s">
        <v>49</v>
      </c>
      <c r="G1427">
        <v>49</v>
      </c>
      <c r="H1427">
        <v>40</v>
      </c>
      <c r="I1427">
        <v>29</v>
      </c>
      <c r="J1427">
        <v>15</v>
      </c>
      <c r="K1427">
        <v>75</v>
      </c>
      <c r="L1427">
        <v>80.510000000000005</v>
      </c>
      <c r="M1427">
        <v>2407.54</v>
      </c>
      <c r="N1427">
        <v>68814</v>
      </c>
      <c r="O1427">
        <v>1535.09</v>
      </c>
      <c r="P1427" s="1">
        <v>0.73799999999999999</v>
      </c>
      <c r="Q1427">
        <f t="shared" si="110"/>
        <v>89</v>
      </c>
      <c r="R1427">
        <f t="shared" si="111"/>
        <v>55</v>
      </c>
      <c r="S1427" s="1">
        <f t="shared" si="112"/>
        <v>0.6741573033707865</v>
      </c>
      <c r="T1427">
        <f t="shared" si="113"/>
        <v>0.89</v>
      </c>
      <c r="U1427" t="str">
        <f t="shared" si="114"/>
        <v>Mar</v>
      </c>
    </row>
    <row r="1428" spans="1:21">
      <c r="A1428" s="2">
        <v>46122</v>
      </c>
      <c r="B1428" t="s">
        <v>6</v>
      </c>
      <c r="C1428" t="s">
        <v>34</v>
      </c>
      <c r="D1428" t="s">
        <v>7</v>
      </c>
      <c r="E1428" t="s">
        <v>32</v>
      </c>
      <c r="F1428" t="s">
        <v>49</v>
      </c>
      <c r="G1428">
        <v>35</v>
      </c>
      <c r="H1428">
        <v>77</v>
      </c>
      <c r="I1428">
        <v>44</v>
      </c>
      <c r="J1428">
        <v>42</v>
      </c>
      <c r="K1428">
        <v>49</v>
      </c>
      <c r="L1428">
        <v>93.85</v>
      </c>
      <c r="M1428">
        <v>2440.62</v>
      </c>
      <c r="N1428">
        <v>75208</v>
      </c>
      <c r="O1428">
        <v>1501.45</v>
      </c>
      <c r="P1428" s="1">
        <v>-0.90700000000000003</v>
      </c>
      <c r="Q1428">
        <f t="shared" si="110"/>
        <v>112</v>
      </c>
      <c r="R1428">
        <f t="shared" si="111"/>
        <v>119</v>
      </c>
      <c r="S1428" s="1">
        <f t="shared" si="112"/>
        <v>0.6071428571428571</v>
      </c>
      <c r="T1428">
        <f t="shared" si="113"/>
        <v>1.1200000000000001</v>
      </c>
      <c r="U1428" t="str">
        <f t="shared" si="114"/>
        <v>Apr</v>
      </c>
    </row>
    <row r="1429" spans="1:21">
      <c r="A1429" s="2">
        <v>46079</v>
      </c>
      <c r="B1429" t="s">
        <v>4</v>
      </c>
      <c r="C1429" t="s">
        <v>51</v>
      </c>
      <c r="D1429" t="s">
        <v>11</v>
      </c>
      <c r="E1429" t="s">
        <v>47</v>
      </c>
      <c r="F1429" t="s">
        <v>33</v>
      </c>
      <c r="G1429">
        <v>102</v>
      </c>
      <c r="H1429">
        <v>60</v>
      </c>
      <c r="I1429">
        <v>63</v>
      </c>
      <c r="J1429">
        <v>35</v>
      </c>
      <c r="K1429">
        <v>175</v>
      </c>
      <c r="L1429">
        <v>121.15</v>
      </c>
      <c r="M1429">
        <v>2176.58</v>
      </c>
      <c r="N1429">
        <v>74310</v>
      </c>
      <c r="O1429">
        <v>1639.78</v>
      </c>
      <c r="P1429" s="1">
        <v>0.88700000000000001</v>
      </c>
      <c r="Q1429">
        <f t="shared" si="110"/>
        <v>162</v>
      </c>
      <c r="R1429">
        <f t="shared" si="111"/>
        <v>95</v>
      </c>
      <c r="S1429" s="1">
        <f t="shared" si="112"/>
        <v>0.61111111111111116</v>
      </c>
      <c r="T1429">
        <f t="shared" si="113"/>
        <v>1.62</v>
      </c>
      <c r="U1429" t="str">
        <f t="shared" si="114"/>
        <v>Feb</v>
      </c>
    </row>
    <row r="1430" spans="1:21">
      <c r="A1430" s="2">
        <v>46103</v>
      </c>
      <c r="B1430" t="s">
        <v>6</v>
      </c>
      <c r="C1430" t="s">
        <v>44</v>
      </c>
      <c r="D1430" t="s">
        <v>10</v>
      </c>
      <c r="E1430" t="s">
        <v>37</v>
      </c>
      <c r="F1430" t="s">
        <v>49</v>
      </c>
      <c r="G1430">
        <v>82</v>
      </c>
      <c r="H1430">
        <v>39</v>
      </c>
      <c r="I1430">
        <v>63</v>
      </c>
      <c r="J1430">
        <v>112</v>
      </c>
      <c r="K1430">
        <v>339</v>
      </c>
      <c r="L1430">
        <v>116.34</v>
      </c>
      <c r="M1430">
        <v>1869.52</v>
      </c>
      <c r="N1430">
        <v>64025</v>
      </c>
      <c r="O1430">
        <v>1077.28</v>
      </c>
      <c r="P1430" s="1">
        <v>0.21199999999999999</v>
      </c>
      <c r="Q1430">
        <f t="shared" si="110"/>
        <v>121</v>
      </c>
      <c r="R1430">
        <f t="shared" si="111"/>
        <v>151</v>
      </c>
      <c r="S1430" s="1">
        <f t="shared" si="112"/>
        <v>0.47933884297520662</v>
      </c>
      <c r="T1430">
        <f t="shared" si="113"/>
        <v>1.21</v>
      </c>
      <c r="U1430" t="str">
        <f t="shared" si="114"/>
        <v>Mar</v>
      </c>
    </row>
    <row r="1431" spans="1:21">
      <c r="A1431" s="2">
        <v>46114</v>
      </c>
      <c r="B1431" t="s">
        <v>4</v>
      </c>
      <c r="C1431" t="s">
        <v>40</v>
      </c>
      <c r="D1431" t="s">
        <v>10</v>
      </c>
      <c r="E1431" t="s">
        <v>47</v>
      </c>
      <c r="F1431" t="s">
        <v>39</v>
      </c>
      <c r="G1431">
        <v>106</v>
      </c>
      <c r="H1431">
        <v>39</v>
      </c>
      <c r="I1431">
        <v>34</v>
      </c>
      <c r="J1431">
        <v>127</v>
      </c>
      <c r="K1431">
        <v>70</v>
      </c>
      <c r="L1431">
        <v>94.69</v>
      </c>
      <c r="M1431">
        <v>1935.53</v>
      </c>
      <c r="N1431">
        <v>74569</v>
      </c>
      <c r="O1431">
        <v>1584.44</v>
      </c>
      <c r="P1431" s="1">
        <v>0.39</v>
      </c>
      <c r="Q1431">
        <f t="shared" si="110"/>
        <v>145</v>
      </c>
      <c r="R1431">
        <f t="shared" si="111"/>
        <v>166</v>
      </c>
      <c r="S1431" s="1">
        <f t="shared" si="112"/>
        <v>0.76551724137931032</v>
      </c>
      <c r="T1431">
        <f t="shared" si="113"/>
        <v>1.45</v>
      </c>
      <c r="U1431" t="str">
        <f t="shared" si="114"/>
        <v>Apr</v>
      </c>
    </row>
    <row r="1432" spans="1:21">
      <c r="A1432" s="2">
        <v>46086</v>
      </c>
      <c r="B1432" t="s">
        <v>4</v>
      </c>
      <c r="C1432" t="s">
        <v>31</v>
      </c>
      <c r="D1432" t="s">
        <v>10</v>
      </c>
      <c r="E1432" t="s">
        <v>38</v>
      </c>
      <c r="F1432" t="s">
        <v>39</v>
      </c>
      <c r="G1432">
        <v>59</v>
      </c>
      <c r="H1432">
        <v>50</v>
      </c>
      <c r="I1432">
        <v>35</v>
      </c>
      <c r="J1432">
        <v>121</v>
      </c>
      <c r="K1432">
        <v>304</v>
      </c>
      <c r="L1432">
        <v>114.94</v>
      </c>
      <c r="M1432">
        <v>1864.64</v>
      </c>
      <c r="N1432">
        <v>67182</v>
      </c>
      <c r="O1432">
        <v>1097.22</v>
      </c>
      <c r="P1432" s="1">
        <v>0.91700000000000004</v>
      </c>
      <c r="Q1432">
        <f t="shared" si="110"/>
        <v>109</v>
      </c>
      <c r="R1432">
        <f t="shared" si="111"/>
        <v>171</v>
      </c>
      <c r="S1432" s="1">
        <f t="shared" si="112"/>
        <v>0.67889908256880738</v>
      </c>
      <c r="T1432">
        <f t="shared" si="113"/>
        <v>1.0900000000000001</v>
      </c>
      <c r="U1432" t="str">
        <f t="shared" si="114"/>
        <v>Mar</v>
      </c>
    </row>
    <row r="1433" spans="1:21">
      <c r="A1433" s="2">
        <v>46099</v>
      </c>
      <c r="B1433" t="s">
        <v>6</v>
      </c>
      <c r="C1433" t="s">
        <v>44</v>
      </c>
      <c r="D1433" t="s">
        <v>7</v>
      </c>
      <c r="E1433" t="s">
        <v>37</v>
      </c>
      <c r="F1433" t="s">
        <v>39</v>
      </c>
      <c r="G1433">
        <v>101</v>
      </c>
      <c r="H1433">
        <v>22</v>
      </c>
      <c r="I1433">
        <v>76</v>
      </c>
      <c r="J1433">
        <v>1</v>
      </c>
      <c r="K1433">
        <v>426</v>
      </c>
      <c r="L1433">
        <v>132.52000000000001</v>
      </c>
      <c r="M1433">
        <v>2057.09</v>
      </c>
      <c r="N1433">
        <v>69956</v>
      </c>
      <c r="O1433">
        <v>1620.45</v>
      </c>
      <c r="P1433" s="1">
        <v>0.55500000000000005</v>
      </c>
      <c r="Q1433">
        <f t="shared" si="110"/>
        <v>123</v>
      </c>
      <c r="R1433">
        <f t="shared" si="111"/>
        <v>23</v>
      </c>
      <c r="S1433" s="1">
        <f t="shared" si="112"/>
        <v>0.38211382113821141</v>
      </c>
      <c r="T1433">
        <f t="shared" si="113"/>
        <v>1.23</v>
      </c>
      <c r="U1433" t="str">
        <f t="shared" si="114"/>
        <v>Mar</v>
      </c>
    </row>
    <row r="1434" spans="1:21">
      <c r="A1434" s="2">
        <v>46100</v>
      </c>
      <c r="B1434" t="s">
        <v>4</v>
      </c>
      <c r="C1434" t="s">
        <v>44</v>
      </c>
      <c r="D1434" t="s">
        <v>11</v>
      </c>
      <c r="E1434" t="s">
        <v>37</v>
      </c>
      <c r="F1434" t="s">
        <v>39</v>
      </c>
      <c r="G1434">
        <v>32</v>
      </c>
      <c r="H1434">
        <v>40</v>
      </c>
      <c r="I1434">
        <v>78</v>
      </c>
      <c r="J1434">
        <v>45</v>
      </c>
      <c r="K1434">
        <v>38</v>
      </c>
      <c r="L1434">
        <v>134</v>
      </c>
      <c r="M1434">
        <v>2429.63</v>
      </c>
      <c r="N1434">
        <v>70204</v>
      </c>
      <c r="O1434">
        <v>1719.71</v>
      </c>
      <c r="P1434" s="1">
        <v>0.51200000000000001</v>
      </c>
      <c r="Q1434">
        <f t="shared" si="110"/>
        <v>72</v>
      </c>
      <c r="R1434">
        <f t="shared" si="111"/>
        <v>85</v>
      </c>
      <c r="S1434" s="1">
        <f t="shared" si="112"/>
        <v>-8.3333333333333329E-2</v>
      </c>
      <c r="T1434">
        <f t="shared" si="113"/>
        <v>0.72</v>
      </c>
      <c r="U1434" t="str">
        <f t="shared" si="114"/>
        <v>Mar</v>
      </c>
    </row>
    <row r="1435" spans="1:21">
      <c r="A1435" s="2">
        <v>46083</v>
      </c>
      <c r="B1435" t="s">
        <v>6</v>
      </c>
      <c r="C1435" t="s">
        <v>44</v>
      </c>
      <c r="D1435" t="s">
        <v>10</v>
      </c>
      <c r="E1435" t="s">
        <v>35</v>
      </c>
      <c r="F1435" t="s">
        <v>45</v>
      </c>
      <c r="G1435">
        <v>64</v>
      </c>
      <c r="H1435">
        <v>54</v>
      </c>
      <c r="I1435">
        <v>44</v>
      </c>
      <c r="J1435">
        <v>74</v>
      </c>
      <c r="K1435">
        <v>313</v>
      </c>
      <c r="L1435">
        <v>116.55</v>
      </c>
      <c r="M1435">
        <v>2091.5300000000002</v>
      </c>
      <c r="N1435">
        <v>69295</v>
      </c>
      <c r="O1435">
        <v>1348.43</v>
      </c>
      <c r="P1435" s="1">
        <v>0.35199999999999998</v>
      </c>
      <c r="Q1435">
        <f t="shared" si="110"/>
        <v>118</v>
      </c>
      <c r="R1435">
        <f t="shared" si="111"/>
        <v>128</v>
      </c>
      <c r="S1435" s="1">
        <f t="shared" si="112"/>
        <v>0.6271186440677966</v>
      </c>
      <c r="T1435">
        <f t="shared" si="113"/>
        <v>1.18</v>
      </c>
      <c r="U1435" t="str">
        <f t="shared" si="114"/>
        <v>Mar</v>
      </c>
    </row>
    <row r="1436" spans="1:21">
      <c r="A1436" s="2">
        <v>46112</v>
      </c>
      <c r="B1436" t="s">
        <v>6</v>
      </c>
      <c r="C1436" t="s">
        <v>36</v>
      </c>
      <c r="D1436" t="s">
        <v>5</v>
      </c>
      <c r="E1436" t="s">
        <v>41</v>
      </c>
      <c r="F1436" t="s">
        <v>39</v>
      </c>
      <c r="G1436">
        <v>118</v>
      </c>
      <c r="H1436">
        <v>36</v>
      </c>
      <c r="I1436">
        <v>49</v>
      </c>
      <c r="J1436">
        <v>156</v>
      </c>
      <c r="K1436">
        <v>85</v>
      </c>
      <c r="L1436">
        <v>132.75</v>
      </c>
      <c r="M1436">
        <v>2233.2199999999998</v>
      </c>
      <c r="N1436">
        <v>70498</v>
      </c>
      <c r="O1436">
        <v>1778.12</v>
      </c>
      <c r="P1436" s="1">
        <v>0.89600000000000002</v>
      </c>
      <c r="Q1436">
        <f t="shared" si="110"/>
        <v>154</v>
      </c>
      <c r="R1436">
        <f t="shared" si="111"/>
        <v>192</v>
      </c>
      <c r="S1436" s="1">
        <f t="shared" si="112"/>
        <v>0.68181818181818177</v>
      </c>
      <c r="T1436">
        <f t="shared" si="113"/>
        <v>1.54</v>
      </c>
      <c r="U1436" t="str">
        <f t="shared" si="114"/>
        <v>Mar</v>
      </c>
    </row>
    <row r="1437" spans="1:21">
      <c r="A1437" s="2">
        <v>46110</v>
      </c>
      <c r="B1437" t="s">
        <v>4</v>
      </c>
      <c r="C1437" t="s">
        <v>43</v>
      </c>
      <c r="D1437" t="s">
        <v>5</v>
      </c>
      <c r="E1437" t="s">
        <v>41</v>
      </c>
      <c r="F1437" t="s">
        <v>49</v>
      </c>
      <c r="G1437">
        <v>79</v>
      </c>
      <c r="H1437">
        <v>0</v>
      </c>
      <c r="I1437">
        <v>18</v>
      </c>
      <c r="J1437">
        <v>60</v>
      </c>
      <c r="K1437">
        <v>294</v>
      </c>
      <c r="L1437">
        <v>125.32</v>
      </c>
      <c r="M1437">
        <v>2419.14</v>
      </c>
      <c r="N1437">
        <v>71142</v>
      </c>
      <c r="O1437">
        <v>1000.14</v>
      </c>
      <c r="P1437" s="1">
        <v>-0.61599999999999999</v>
      </c>
      <c r="Q1437">
        <f t="shared" si="110"/>
        <v>79</v>
      </c>
      <c r="R1437">
        <f t="shared" si="111"/>
        <v>60</v>
      </c>
      <c r="S1437" s="1">
        <f t="shared" si="112"/>
        <v>0.77215189873417722</v>
      </c>
      <c r="T1437">
        <f t="shared" si="113"/>
        <v>0.79</v>
      </c>
      <c r="U1437" t="str">
        <f t="shared" si="114"/>
        <v>Mar</v>
      </c>
    </row>
    <row r="1438" spans="1:21">
      <c r="A1438" s="2">
        <v>46104</v>
      </c>
      <c r="B1438" t="s">
        <v>6</v>
      </c>
      <c r="C1438" t="s">
        <v>40</v>
      </c>
      <c r="D1438" t="s">
        <v>9</v>
      </c>
      <c r="E1438" t="s">
        <v>47</v>
      </c>
      <c r="F1438" t="s">
        <v>45</v>
      </c>
      <c r="G1438">
        <v>98</v>
      </c>
      <c r="H1438">
        <v>18</v>
      </c>
      <c r="I1438">
        <v>27</v>
      </c>
      <c r="J1438">
        <v>26</v>
      </c>
      <c r="K1438">
        <v>15</v>
      </c>
      <c r="L1438">
        <v>106.28</v>
      </c>
      <c r="M1438">
        <v>2348.17</v>
      </c>
      <c r="N1438">
        <v>73047</v>
      </c>
      <c r="O1438">
        <v>1409.83</v>
      </c>
      <c r="P1438" s="1">
        <v>-0.16500000000000001</v>
      </c>
      <c r="Q1438">
        <f t="shared" si="110"/>
        <v>116</v>
      </c>
      <c r="R1438">
        <f t="shared" si="111"/>
        <v>44</v>
      </c>
      <c r="S1438" s="1">
        <f t="shared" si="112"/>
        <v>0.76724137931034486</v>
      </c>
      <c r="T1438">
        <f t="shared" si="113"/>
        <v>1.1599999999999999</v>
      </c>
      <c r="U1438" t="str">
        <f t="shared" si="114"/>
        <v>Mar</v>
      </c>
    </row>
    <row r="1439" spans="1:21">
      <c r="A1439" s="2">
        <v>46098</v>
      </c>
      <c r="B1439" t="s">
        <v>6</v>
      </c>
      <c r="C1439" t="s">
        <v>43</v>
      </c>
      <c r="D1439" t="s">
        <v>7</v>
      </c>
      <c r="E1439" t="s">
        <v>41</v>
      </c>
      <c r="F1439" t="s">
        <v>39</v>
      </c>
      <c r="G1439">
        <v>20</v>
      </c>
      <c r="H1439">
        <v>6</v>
      </c>
      <c r="I1439">
        <v>21</v>
      </c>
      <c r="J1439">
        <v>94</v>
      </c>
      <c r="K1439">
        <v>15</v>
      </c>
      <c r="L1439">
        <v>88.3</v>
      </c>
      <c r="M1439">
        <v>2425.46</v>
      </c>
      <c r="N1439">
        <v>69324</v>
      </c>
      <c r="O1439">
        <v>1230.29</v>
      </c>
      <c r="P1439" s="1">
        <v>-0.93600000000000005</v>
      </c>
      <c r="Q1439">
        <f t="shared" si="110"/>
        <v>26</v>
      </c>
      <c r="R1439">
        <f t="shared" si="111"/>
        <v>100</v>
      </c>
      <c r="S1439" s="1">
        <f t="shared" si="112"/>
        <v>0.19230769230769232</v>
      </c>
      <c r="T1439">
        <f t="shared" si="113"/>
        <v>0.26</v>
      </c>
      <c r="U1439" t="str">
        <f t="shared" si="114"/>
        <v>Mar</v>
      </c>
    </row>
    <row r="1440" spans="1:21">
      <c r="A1440" s="2">
        <v>46083</v>
      </c>
      <c r="B1440" t="s">
        <v>4</v>
      </c>
      <c r="C1440" t="s">
        <v>40</v>
      </c>
      <c r="D1440" t="s">
        <v>9</v>
      </c>
      <c r="E1440" t="s">
        <v>42</v>
      </c>
      <c r="F1440" t="s">
        <v>45</v>
      </c>
      <c r="G1440">
        <v>117</v>
      </c>
      <c r="H1440">
        <v>76</v>
      </c>
      <c r="I1440">
        <v>77</v>
      </c>
      <c r="J1440">
        <v>142</v>
      </c>
      <c r="K1440">
        <v>329</v>
      </c>
      <c r="L1440">
        <v>98.15</v>
      </c>
      <c r="M1440">
        <v>2186.0100000000002</v>
      </c>
      <c r="N1440">
        <v>65780</v>
      </c>
      <c r="O1440">
        <v>1547.27</v>
      </c>
      <c r="P1440" s="1">
        <v>-0.623</v>
      </c>
      <c r="Q1440">
        <f t="shared" si="110"/>
        <v>193</v>
      </c>
      <c r="R1440">
        <f t="shared" si="111"/>
        <v>218</v>
      </c>
      <c r="S1440" s="1">
        <f t="shared" si="112"/>
        <v>0.60103626943005184</v>
      </c>
      <c r="T1440">
        <f t="shared" si="113"/>
        <v>1.93</v>
      </c>
      <c r="U1440" t="str">
        <f t="shared" si="114"/>
        <v>Mar</v>
      </c>
    </row>
    <row r="1441" spans="1:21">
      <c r="A1441" s="2">
        <v>46083</v>
      </c>
      <c r="B1441" t="s">
        <v>6</v>
      </c>
      <c r="C1441" t="s">
        <v>46</v>
      </c>
      <c r="D1441" t="s">
        <v>11</v>
      </c>
      <c r="E1441" t="s">
        <v>42</v>
      </c>
      <c r="F1441" t="s">
        <v>49</v>
      </c>
      <c r="G1441">
        <v>22</v>
      </c>
      <c r="H1441">
        <v>77</v>
      </c>
      <c r="I1441">
        <v>7</v>
      </c>
      <c r="J1441">
        <v>123</v>
      </c>
      <c r="K1441">
        <v>217</v>
      </c>
      <c r="L1441">
        <v>82.34</v>
      </c>
      <c r="M1441">
        <v>2378.94</v>
      </c>
      <c r="N1441">
        <v>70146</v>
      </c>
      <c r="O1441">
        <v>1450</v>
      </c>
      <c r="P1441" s="1">
        <v>0.59899999999999998</v>
      </c>
      <c r="Q1441">
        <f t="shared" si="110"/>
        <v>99</v>
      </c>
      <c r="R1441">
        <f t="shared" si="111"/>
        <v>200</v>
      </c>
      <c r="S1441" s="1">
        <f t="shared" si="112"/>
        <v>0.92929292929292928</v>
      </c>
      <c r="T1441">
        <f t="shared" si="113"/>
        <v>0.99</v>
      </c>
      <c r="U1441" t="str">
        <f t="shared" si="114"/>
        <v>Mar</v>
      </c>
    </row>
    <row r="1442" spans="1:21">
      <c r="A1442" s="2">
        <v>46079</v>
      </c>
      <c r="B1442" t="s">
        <v>6</v>
      </c>
      <c r="C1442" t="s">
        <v>46</v>
      </c>
      <c r="D1442" t="s">
        <v>11</v>
      </c>
      <c r="E1442" t="s">
        <v>41</v>
      </c>
      <c r="F1442" t="s">
        <v>33</v>
      </c>
      <c r="G1442">
        <v>44</v>
      </c>
      <c r="H1442">
        <v>77</v>
      </c>
      <c r="I1442">
        <v>76</v>
      </c>
      <c r="J1442">
        <v>152</v>
      </c>
      <c r="K1442">
        <v>25</v>
      </c>
      <c r="L1442">
        <v>130.57</v>
      </c>
      <c r="M1442">
        <v>2002.32</v>
      </c>
      <c r="N1442">
        <v>74583</v>
      </c>
      <c r="O1442">
        <v>1575.94</v>
      </c>
      <c r="P1442" s="1">
        <v>0.36</v>
      </c>
      <c r="Q1442">
        <f t="shared" si="110"/>
        <v>121</v>
      </c>
      <c r="R1442">
        <f t="shared" si="111"/>
        <v>229</v>
      </c>
      <c r="S1442" s="1">
        <f t="shared" si="112"/>
        <v>0.37190082644628097</v>
      </c>
      <c r="T1442">
        <f t="shared" si="113"/>
        <v>1.21</v>
      </c>
      <c r="U1442" t="str">
        <f t="shared" si="114"/>
        <v>Feb</v>
      </c>
    </row>
    <row r="1443" spans="1:21">
      <c r="A1443" s="2">
        <v>46077</v>
      </c>
      <c r="B1443" t="s">
        <v>6</v>
      </c>
      <c r="C1443" t="s">
        <v>44</v>
      </c>
      <c r="D1443" t="s">
        <v>9</v>
      </c>
      <c r="E1443" t="s">
        <v>35</v>
      </c>
      <c r="F1443" t="s">
        <v>33</v>
      </c>
      <c r="G1443">
        <v>46</v>
      </c>
      <c r="H1443">
        <v>68</v>
      </c>
      <c r="I1443">
        <v>78</v>
      </c>
      <c r="J1443">
        <v>112</v>
      </c>
      <c r="K1443">
        <v>219</v>
      </c>
      <c r="L1443">
        <v>117.16</v>
      </c>
      <c r="M1443">
        <v>1810.1</v>
      </c>
      <c r="N1443">
        <v>69961</v>
      </c>
      <c r="O1443">
        <v>1295.8900000000001</v>
      </c>
      <c r="P1443" s="1">
        <v>-0.69899999999999995</v>
      </c>
      <c r="Q1443">
        <f t="shared" si="110"/>
        <v>114</v>
      </c>
      <c r="R1443">
        <f t="shared" si="111"/>
        <v>180</v>
      </c>
      <c r="S1443" s="1">
        <f t="shared" si="112"/>
        <v>0.31578947368421051</v>
      </c>
      <c r="T1443">
        <f t="shared" si="113"/>
        <v>1.1399999999999999</v>
      </c>
      <c r="U1443" t="str">
        <f t="shared" si="114"/>
        <v>Feb</v>
      </c>
    </row>
    <row r="1444" spans="1:21">
      <c r="A1444" s="2">
        <v>46103</v>
      </c>
      <c r="B1444" t="s">
        <v>4</v>
      </c>
      <c r="C1444" t="s">
        <v>46</v>
      </c>
      <c r="D1444" t="s">
        <v>5</v>
      </c>
      <c r="E1444" t="s">
        <v>38</v>
      </c>
      <c r="F1444" t="s">
        <v>39</v>
      </c>
      <c r="G1444">
        <v>102</v>
      </c>
      <c r="H1444">
        <v>38</v>
      </c>
      <c r="I1444">
        <v>59</v>
      </c>
      <c r="J1444">
        <v>139</v>
      </c>
      <c r="K1444">
        <v>118</v>
      </c>
      <c r="L1444">
        <v>138.38</v>
      </c>
      <c r="M1444">
        <v>2436.86</v>
      </c>
      <c r="N1444">
        <v>73833</v>
      </c>
      <c r="O1444">
        <v>1224.58</v>
      </c>
      <c r="P1444" s="1">
        <v>-0.60799999999999998</v>
      </c>
      <c r="Q1444">
        <f t="shared" si="110"/>
        <v>140</v>
      </c>
      <c r="R1444">
        <f t="shared" si="111"/>
        <v>177</v>
      </c>
      <c r="S1444" s="1">
        <f t="shared" si="112"/>
        <v>0.57857142857142863</v>
      </c>
      <c r="T1444">
        <f t="shared" si="113"/>
        <v>1.4</v>
      </c>
      <c r="U1444" t="str">
        <f t="shared" si="114"/>
        <v>Mar</v>
      </c>
    </row>
    <row r="1445" spans="1:21">
      <c r="A1445" s="2">
        <v>46084</v>
      </c>
      <c r="B1445" t="s">
        <v>6</v>
      </c>
      <c r="C1445" t="s">
        <v>36</v>
      </c>
      <c r="D1445" t="s">
        <v>7</v>
      </c>
      <c r="E1445" t="s">
        <v>32</v>
      </c>
      <c r="F1445" t="s">
        <v>45</v>
      </c>
      <c r="G1445">
        <v>72</v>
      </c>
      <c r="H1445">
        <v>19</v>
      </c>
      <c r="I1445">
        <v>67</v>
      </c>
      <c r="J1445">
        <v>66</v>
      </c>
      <c r="K1445">
        <v>272</v>
      </c>
      <c r="L1445">
        <v>91.07</v>
      </c>
      <c r="M1445">
        <v>2034.08</v>
      </c>
      <c r="N1445">
        <v>65111</v>
      </c>
      <c r="O1445">
        <v>1276.1199999999999</v>
      </c>
      <c r="P1445" s="1">
        <v>-0.79100000000000004</v>
      </c>
      <c r="Q1445">
        <f t="shared" si="110"/>
        <v>91</v>
      </c>
      <c r="R1445">
        <f t="shared" si="111"/>
        <v>85</v>
      </c>
      <c r="S1445" s="1">
        <f t="shared" si="112"/>
        <v>0.26373626373626374</v>
      </c>
      <c r="T1445">
        <f t="shared" si="113"/>
        <v>0.91</v>
      </c>
      <c r="U1445" t="str">
        <f t="shared" si="114"/>
        <v>Mar</v>
      </c>
    </row>
    <row r="1446" spans="1:21">
      <c r="A1446" s="2">
        <v>46117</v>
      </c>
      <c r="B1446" t="s">
        <v>6</v>
      </c>
      <c r="C1446" t="s">
        <v>40</v>
      </c>
      <c r="D1446" t="s">
        <v>10</v>
      </c>
      <c r="E1446" t="s">
        <v>38</v>
      </c>
      <c r="F1446" t="s">
        <v>49</v>
      </c>
      <c r="G1446">
        <v>90</v>
      </c>
      <c r="H1446">
        <v>56</v>
      </c>
      <c r="I1446">
        <v>75</v>
      </c>
      <c r="J1446">
        <v>71</v>
      </c>
      <c r="K1446">
        <v>298</v>
      </c>
      <c r="L1446">
        <v>116.18</v>
      </c>
      <c r="M1446">
        <v>2089.06</v>
      </c>
      <c r="N1446">
        <v>65744</v>
      </c>
      <c r="O1446">
        <v>1764.5</v>
      </c>
      <c r="P1446" s="1">
        <v>-0.44400000000000001</v>
      </c>
      <c r="Q1446">
        <f t="shared" si="110"/>
        <v>146</v>
      </c>
      <c r="R1446">
        <f t="shared" si="111"/>
        <v>127</v>
      </c>
      <c r="S1446" s="1">
        <f t="shared" si="112"/>
        <v>0.4863013698630137</v>
      </c>
      <c r="T1446">
        <f t="shared" si="113"/>
        <v>1.46</v>
      </c>
      <c r="U1446" t="str">
        <f t="shared" si="114"/>
        <v>Apr</v>
      </c>
    </row>
    <row r="1447" spans="1:21">
      <c r="A1447" s="2">
        <v>46100</v>
      </c>
      <c r="B1447" t="s">
        <v>4</v>
      </c>
      <c r="C1447" t="s">
        <v>48</v>
      </c>
      <c r="D1447" t="s">
        <v>5</v>
      </c>
      <c r="E1447" t="s">
        <v>37</v>
      </c>
      <c r="F1447" t="s">
        <v>33</v>
      </c>
      <c r="G1447">
        <v>83</v>
      </c>
      <c r="H1447">
        <v>58</v>
      </c>
      <c r="I1447">
        <v>59</v>
      </c>
      <c r="J1447">
        <v>84</v>
      </c>
      <c r="K1447">
        <v>21</v>
      </c>
      <c r="L1447">
        <v>119.66</v>
      </c>
      <c r="M1447">
        <v>2321.84</v>
      </c>
      <c r="N1447">
        <v>70656</v>
      </c>
      <c r="O1447">
        <v>1010.43</v>
      </c>
      <c r="P1447" s="1">
        <v>0.61499999999999999</v>
      </c>
      <c r="Q1447">
        <f t="shared" si="110"/>
        <v>141</v>
      </c>
      <c r="R1447">
        <f t="shared" si="111"/>
        <v>142</v>
      </c>
      <c r="S1447" s="1">
        <f t="shared" si="112"/>
        <v>0.58156028368794321</v>
      </c>
      <c r="T1447">
        <f t="shared" si="113"/>
        <v>1.41</v>
      </c>
      <c r="U1447" t="str">
        <f t="shared" si="114"/>
        <v>Mar</v>
      </c>
    </row>
    <row r="1448" spans="1:21">
      <c r="A1448" s="2">
        <v>46080</v>
      </c>
      <c r="B1448" t="s">
        <v>4</v>
      </c>
      <c r="C1448" t="s">
        <v>48</v>
      </c>
      <c r="D1448" t="s">
        <v>5</v>
      </c>
      <c r="E1448" t="s">
        <v>38</v>
      </c>
      <c r="F1448" t="s">
        <v>33</v>
      </c>
      <c r="G1448">
        <v>103</v>
      </c>
      <c r="H1448">
        <v>45</v>
      </c>
      <c r="I1448">
        <v>77</v>
      </c>
      <c r="J1448">
        <v>121</v>
      </c>
      <c r="K1448">
        <v>242</v>
      </c>
      <c r="L1448">
        <v>100.83</v>
      </c>
      <c r="M1448">
        <v>2304.7199999999998</v>
      </c>
      <c r="N1448">
        <v>65724</v>
      </c>
      <c r="O1448">
        <v>1237.5899999999999</v>
      </c>
      <c r="P1448" s="1">
        <v>-5.0999999999999997E-2</v>
      </c>
      <c r="Q1448">
        <f t="shared" si="110"/>
        <v>148</v>
      </c>
      <c r="R1448">
        <f t="shared" si="111"/>
        <v>166</v>
      </c>
      <c r="S1448" s="1">
        <f t="shared" si="112"/>
        <v>0.47972972972972971</v>
      </c>
      <c r="T1448">
        <f t="shared" si="113"/>
        <v>1.48</v>
      </c>
      <c r="U1448" t="str">
        <f t="shared" si="114"/>
        <v>Feb</v>
      </c>
    </row>
    <row r="1449" spans="1:21">
      <c r="A1449" s="2">
        <v>46082</v>
      </c>
      <c r="B1449" t="s">
        <v>4</v>
      </c>
      <c r="C1449" t="s">
        <v>31</v>
      </c>
      <c r="D1449" t="s">
        <v>5</v>
      </c>
      <c r="E1449" t="s">
        <v>41</v>
      </c>
      <c r="F1449" t="s">
        <v>49</v>
      </c>
      <c r="G1449">
        <v>87</v>
      </c>
      <c r="H1449">
        <v>65</v>
      </c>
      <c r="I1449">
        <v>31</v>
      </c>
      <c r="J1449">
        <v>4</v>
      </c>
      <c r="K1449">
        <v>361</v>
      </c>
      <c r="L1449">
        <v>117.83</v>
      </c>
      <c r="M1449">
        <v>2138.4699999999998</v>
      </c>
      <c r="N1449">
        <v>69534</v>
      </c>
      <c r="O1449">
        <v>1113.75</v>
      </c>
      <c r="P1449" s="1">
        <v>-0.40400000000000003</v>
      </c>
      <c r="Q1449">
        <f t="shared" si="110"/>
        <v>152</v>
      </c>
      <c r="R1449">
        <f t="shared" si="111"/>
        <v>69</v>
      </c>
      <c r="S1449" s="1">
        <f t="shared" si="112"/>
        <v>0.79605263157894735</v>
      </c>
      <c r="T1449">
        <f t="shared" si="113"/>
        <v>1.52</v>
      </c>
      <c r="U1449" t="str">
        <f t="shared" si="114"/>
        <v>Mar</v>
      </c>
    </row>
    <row r="1450" spans="1:21">
      <c r="A1450" s="2">
        <v>46079</v>
      </c>
      <c r="B1450" t="s">
        <v>6</v>
      </c>
      <c r="C1450" t="s">
        <v>43</v>
      </c>
      <c r="D1450" t="s">
        <v>5</v>
      </c>
      <c r="E1450" t="s">
        <v>47</v>
      </c>
      <c r="F1450" t="s">
        <v>39</v>
      </c>
      <c r="G1450">
        <v>84</v>
      </c>
      <c r="H1450">
        <v>7</v>
      </c>
      <c r="I1450">
        <v>65</v>
      </c>
      <c r="J1450">
        <v>89</v>
      </c>
      <c r="K1450">
        <v>395</v>
      </c>
      <c r="L1450">
        <v>139.91999999999999</v>
      </c>
      <c r="M1450">
        <v>1906.79</v>
      </c>
      <c r="N1450">
        <v>71661</v>
      </c>
      <c r="O1450">
        <v>1329.52</v>
      </c>
      <c r="P1450" s="1">
        <v>0.40500000000000003</v>
      </c>
      <c r="Q1450">
        <f t="shared" si="110"/>
        <v>91</v>
      </c>
      <c r="R1450">
        <f t="shared" si="111"/>
        <v>96</v>
      </c>
      <c r="S1450" s="1">
        <f t="shared" si="112"/>
        <v>0.2857142857142857</v>
      </c>
      <c r="T1450">
        <f t="shared" si="113"/>
        <v>0.91</v>
      </c>
      <c r="U1450" t="str">
        <f t="shared" si="114"/>
        <v>Feb</v>
      </c>
    </row>
    <row r="1451" spans="1:21">
      <c r="A1451" s="2">
        <v>46097</v>
      </c>
      <c r="B1451" t="s">
        <v>4</v>
      </c>
      <c r="C1451" t="s">
        <v>43</v>
      </c>
      <c r="D1451" t="s">
        <v>11</v>
      </c>
      <c r="E1451" t="s">
        <v>32</v>
      </c>
      <c r="F1451" t="s">
        <v>33</v>
      </c>
      <c r="G1451">
        <v>116</v>
      </c>
      <c r="H1451">
        <v>42</v>
      </c>
      <c r="I1451">
        <v>86</v>
      </c>
      <c r="J1451">
        <v>84</v>
      </c>
      <c r="K1451">
        <v>153</v>
      </c>
      <c r="L1451">
        <v>138.53</v>
      </c>
      <c r="M1451">
        <v>2053.6799999999998</v>
      </c>
      <c r="N1451">
        <v>73700</v>
      </c>
      <c r="O1451">
        <v>1305.79</v>
      </c>
      <c r="P1451" s="1">
        <v>-0.96899999999999997</v>
      </c>
      <c r="Q1451">
        <f t="shared" si="110"/>
        <v>158</v>
      </c>
      <c r="R1451">
        <f t="shared" si="111"/>
        <v>126</v>
      </c>
      <c r="S1451" s="1">
        <f t="shared" si="112"/>
        <v>0.45569620253164556</v>
      </c>
      <c r="T1451">
        <f t="shared" si="113"/>
        <v>1.58</v>
      </c>
      <c r="U1451" t="str">
        <f t="shared" si="114"/>
        <v>Mar</v>
      </c>
    </row>
    <row r="1452" spans="1:21">
      <c r="A1452" s="2">
        <v>46103</v>
      </c>
      <c r="B1452" t="s">
        <v>4</v>
      </c>
      <c r="C1452" t="s">
        <v>44</v>
      </c>
      <c r="D1452" t="s">
        <v>9</v>
      </c>
      <c r="E1452" t="s">
        <v>41</v>
      </c>
      <c r="F1452" t="s">
        <v>45</v>
      </c>
      <c r="G1452">
        <v>74</v>
      </c>
      <c r="H1452">
        <v>76</v>
      </c>
      <c r="I1452">
        <v>24</v>
      </c>
      <c r="J1452">
        <v>26</v>
      </c>
      <c r="K1452">
        <v>7</v>
      </c>
      <c r="L1452">
        <v>118.99</v>
      </c>
      <c r="M1452">
        <v>2202.63</v>
      </c>
      <c r="N1452">
        <v>67726</v>
      </c>
      <c r="O1452">
        <v>1555.72</v>
      </c>
      <c r="P1452" s="1">
        <v>-3.6999999999999998E-2</v>
      </c>
      <c r="Q1452">
        <f t="shared" si="110"/>
        <v>150</v>
      </c>
      <c r="R1452">
        <f t="shared" si="111"/>
        <v>102</v>
      </c>
      <c r="S1452" s="1">
        <f t="shared" si="112"/>
        <v>0.84</v>
      </c>
      <c r="T1452">
        <f t="shared" si="113"/>
        <v>1.5</v>
      </c>
      <c r="U1452" t="str">
        <f t="shared" si="114"/>
        <v>Mar</v>
      </c>
    </row>
    <row r="1453" spans="1:21">
      <c r="A1453" s="2">
        <v>46086</v>
      </c>
      <c r="B1453" t="s">
        <v>6</v>
      </c>
      <c r="C1453" t="s">
        <v>44</v>
      </c>
      <c r="D1453" t="s">
        <v>5</v>
      </c>
      <c r="E1453" t="s">
        <v>37</v>
      </c>
      <c r="F1453" t="s">
        <v>49</v>
      </c>
      <c r="G1453">
        <v>25</v>
      </c>
      <c r="H1453">
        <v>39</v>
      </c>
      <c r="I1453">
        <v>69</v>
      </c>
      <c r="J1453">
        <v>1</v>
      </c>
      <c r="K1453">
        <v>33</v>
      </c>
      <c r="L1453">
        <v>136.16</v>
      </c>
      <c r="M1453">
        <v>1822.62</v>
      </c>
      <c r="N1453">
        <v>67432</v>
      </c>
      <c r="O1453">
        <v>1670.01</v>
      </c>
      <c r="P1453" s="1">
        <v>-0.68799999999999994</v>
      </c>
      <c r="Q1453">
        <f t="shared" si="110"/>
        <v>64</v>
      </c>
      <c r="R1453">
        <f t="shared" si="111"/>
        <v>40</v>
      </c>
      <c r="S1453" s="1">
        <f t="shared" si="112"/>
        <v>-7.8125E-2</v>
      </c>
      <c r="T1453">
        <f t="shared" si="113"/>
        <v>0.64</v>
      </c>
      <c r="U1453" t="str">
        <f t="shared" si="114"/>
        <v>Mar</v>
      </c>
    </row>
    <row r="1454" spans="1:21">
      <c r="A1454" s="2">
        <v>46084</v>
      </c>
      <c r="B1454" t="s">
        <v>6</v>
      </c>
      <c r="C1454" t="s">
        <v>44</v>
      </c>
      <c r="D1454" t="s">
        <v>9</v>
      </c>
      <c r="E1454" t="s">
        <v>37</v>
      </c>
      <c r="F1454" t="s">
        <v>45</v>
      </c>
      <c r="G1454">
        <v>36</v>
      </c>
      <c r="H1454">
        <v>10</v>
      </c>
      <c r="I1454">
        <v>69</v>
      </c>
      <c r="J1454">
        <v>1</v>
      </c>
      <c r="K1454">
        <v>256</v>
      </c>
      <c r="L1454">
        <v>124.93</v>
      </c>
      <c r="M1454">
        <v>2154.3200000000002</v>
      </c>
      <c r="N1454">
        <v>66537</v>
      </c>
      <c r="O1454">
        <v>1509.83</v>
      </c>
      <c r="P1454" s="1">
        <v>0.24199999999999999</v>
      </c>
      <c r="Q1454">
        <f t="shared" si="110"/>
        <v>46</v>
      </c>
      <c r="R1454">
        <f t="shared" si="111"/>
        <v>11</v>
      </c>
      <c r="S1454" s="1">
        <f t="shared" si="112"/>
        <v>-0.5</v>
      </c>
      <c r="T1454">
        <f t="shared" si="113"/>
        <v>0.46</v>
      </c>
      <c r="U1454" t="str">
        <f t="shared" si="114"/>
        <v>Mar</v>
      </c>
    </row>
    <row r="1455" spans="1:21">
      <c r="A1455" s="2">
        <v>46113</v>
      </c>
      <c r="B1455" t="s">
        <v>4</v>
      </c>
      <c r="C1455" t="s">
        <v>31</v>
      </c>
      <c r="D1455" t="s">
        <v>9</v>
      </c>
      <c r="E1455" t="s">
        <v>32</v>
      </c>
      <c r="F1455" t="s">
        <v>49</v>
      </c>
      <c r="G1455">
        <v>43</v>
      </c>
      <c r="H1455">
        <v>46</v>
      </c>
      <c r="I1455">
        <v>50</v>
      </c>
      <c r="J1455">
        <v>114</v>
      </c>
      <c r="K1455">
        <v>246</v>
      </c>
      <c r="L1455">
        <v>91.87</v>
      </c>
      <c r="M1455">
        <v>2097.94</v>
      </c>
      <c r="N1455">
        <v>64516</v>
      </c>
      <c r="O1455">
        <v>938.88</v>
      </c>
      <c r="P1455" s="1">
        <v>-0.21299999999999999</v>
      </c>
      <c r="Q1455">
        <f t="shared" si="110"/>
        <v>89</v>
      </c>
      <c r="R1455">
        <f t="shared" si="111"/>
        <v>160</v>
      </c>
      <c r="S1455" s="1">
        <f t="shared" si="112"/>
        <v>0.43820224719101125</v>
      </c>
      <c r="T1455">
        <f t="shared" si="113"/>
        <v>0.89</v>
      </c>
      <c r="U1455" t="str">
        <f t="shared" si="114"/>
        <v>Apr</v>
      </c>
    </row>
    <row r="1456" spans="1:21">
      <c r="A1456" s="2">
        <v>46089</v>
      </c>
      <c r="B1456" t="s">
        <v>6</v>
      </c>
      <c r="C1456" t="s">
        <v>50</v>
      </c>
      <c r="D1456" t="s">
        <v>10</v>
      </c>
      <c r="E1456" t="s">
        <v>35</v>
      </c>
      <c r="F1456" t="s">
        <v>45</v>
      </c>
      <c r="G1456">
        <v>41</v>
      </c>
      <c r="H1456">
        <v>35</v>
      </c>
      <c r="I1456">
        <v>43</v>
      </c>
      <c r="J1456">
        <v>38</v>
      </c>
      <c r="K1456">
        <v>299</v>
      </c>
      <c r="L1456">
        <v>99.62</v>
      </c>
      <c r="M1456">
        <v>2444.5700000000002</v>
      </c>
      <c r="N1456">
        <v>67657</v>
      </c>
      <c r="O1456">
        <v>1700.98</v>
      </c>
      <c r="P1456" s="1">
        <v>0.69499999999999995</v>
      </c>
      <c r="Q1456">
        <f t="shared" si="110"/>
        <v>76</v>
      </c>
      <c r="R1456">
        <f t="shared" si="111"/>
        <v>73</v>
      </c>
      <c r="S1456" s="1">
        <f t="shared" si="112"/>
        <v>0.43421052631578949</v>
      </c>
      <c r="T1456">
        <f t="shared" si="113"/>
        <v>0.76</v>
      </c>
      <c r="U1456" t="str">
        <f t="shared" si="114"/>
        <v>Mar</v>
      </c>
    </row>
    <row r="1457" spans="1:21">
      <c r="A1457" s="2">
        <v>46124</v>
      </c>
      <c r="B1457" t="s">
        <v>4</v>
      </c>
      <c r="C1457" t="s">
        <v>34</v>
      </c>
      <c r="D1457" t="s">
        <v>10</v>
      </c>
      <c r="E1457" t="s">
        <v>38</v>
      </c>
      <c r="F1457" t="s">
        <v>33</v>
      </c>
      <c r="G1457">
        <v>9</v>
      </c>
      <c r="H1457">
        <v>22</v>
      </c>
      <c r="I1457">
        <v>19</v>
      </c>
      <c r="J1457">
        <v>18</v>
      </c>
      <c r="K1457">
        <v>279</v>
      </c>
      <c r="L1457">
        <v>82.86</v>
      </c>
      <c r="M1457">
        <v>2351.2199999999998</v>
      </c>
      <c r="N1457">
        <v>66215</v>
      </c>
      <c r="O1457">
        <v>1539.33</v>
      </c>
      <c r="P1457" s="1">
        <v>-0.23400000000000001</v>
      </c>
      <c r="Q1457">
        <f t="shared" si="110"/>
        <v>31</v>
      </c>
      <c r="R1457">
        <f t="shared" si="111"/>
        <v>40</v>
      </c>
      <c r="S1457" s="1">
        <f t="shared" si="112"/>
        <v>0.38709677419354838</v>
      </c>
      <c r="T1457">
        <f t="shared" si="113"/>
        <v>0.31</v>
      </c>
      <c r="U1457" t="str">
        <f t="shared" si="114"/>
        <v>Apr</v>
      </c>
    </row>
    <row r="1458" spans="1:21">
      <c r="A1458" s="2">
        <v>46119</v>
      </c>
      <c r="B1458" t="s">
        <v>6</v>
      </c>
      <c r="C1458" t="s">
        <v>46</v>
      </c>
      <c r="D1458" t="s">
        <v>7</v>
      </c>
      <c r="E1458" t="s">
        <v>42</v>
      </c>
      <c r="F1458" t="s">
        <v>49</v>
      </c>
      <c r="G1458">
        <v>118</v>
      </c>
      <c r="H1458">
        <v>49</v>
      </c>
      <c r="I1458">
        <v>47</v>
      </c>
      <c r="J1458">
        <v>142</v>
      </c>
      <c r="K1458">
        <v>110</v>
      </c>
      <c r="L1458">
        <v>99.96</v>
      </c>
      <c r="M1458">
        <v>2061.12</v>
      </c>
      <c r="N1458">
        <v>64590</v>
      </c>
      <c r="O1458">
        <v>1366.63</v>
      </c>
      <c r="P1458" s="1">
        <v>0.90800000000000003</v>
      </c>
      <c r="Q1458">
        <f t="shared" si="110"/>
        <v>167</v>
      </c>
      <c r="R1458">
        <f t="shared" si="111"/>
        <v>191</v>
      </c>
      <c r="S1458" s="1">
        <f t="shared" si="112"/>
        <v>0.71856287425149701</v>
      </c>
      <c r="T1458">
        <f t="shared" si="113"/>
        <v>1.67</v>
      </c>
      <c r="U1458" t="str">
        <f t="shared" si="114"/>
        <v>Apr</v>
      </c>
    </row>
    <row r="1459" spans="1:21">
      <c r="A1459" s="2">
        <v>46093</v>
      </c>
      <c r="B1459" t="s">
        <v>4</v>
      </c>
      <c r="C1459" t="s">
        <v>36</v>
      </c>
      <c r="D1459" t="s">
        <v>10</v>
      </c>
      <c r="E1459" t="s">
        <v>41</v>
      </c>
      <c r="F1459" t="s">
        <v>49</v>
      </c>
      <c r="G1459">
        <v>108</v>
      </c>
      <c r="H1459">
        <v>11</v>
      </c>
      <c r="I1459">
        <v>50</v>
      </c>
      <c r="J1459">
        <v>103</v>
      </c>
      <c r="K1459">
        <v>353</v>
      </c>
      <c r="L1459">
        <v>100.4</v>
      </c>
      <c r="M1459">
        <v>1846.47</v>
      </c>
      <c r="N1459">
        <v>73558</v>
      </c>
      <c r="O1459">
        <v>1118.29</v>
      </c>
      <c r="P1459" s="1">
        <v>-1.4999999999999999E-2</v>
      </c>
      <c r="Q1459">
        <f t="shared" si="110"/>
        <v>119</v>
      </c>
      <c r="R1459">
        <f t="shared" si="111"/>
        <v>114</v>
      </c>
      <c r="S1459" s="1">
        <f t="shared" si="112"/>
        <v>0.57983193277310929</v>
      </c>
      <c r="T1459">
        <f t="shared" si="113"/>
        <v>1.19</v>
      </c>
      <c r="U1459" t="str">
        <f t="shared" si="114"/>
        <v>Mar</v>
      </c>
    </row>
    <row r="1460" spans="1:21">
      <c r="A1460" s="2">
        <v>46102</v>
      </c>
      <c r="B1460" t="s">
        <v>4</v>
      </c>
      <c r="C1460" t="s">
        <v>48</v>
      </c>
      <c r="D1460" t="s">
        <v>10</v>
      </c>
      <c r="E1460" t="s">
        <v>38</v>
      </c>
      <c r="F1460" t="s">
        <v>49</v>
      </c>
      <c r="G1460">
        <v>43</v>
      </c>
      <c r="H1460">
        <v>35</v>
      </c>
      <c r="I1460">
        <v>62</v>
      </c>
      <c r="J1460">
        <v>145</v>
      </c>
      <c r="K1460">
        <v>84</v>
      </c>
      <c r="L1460">
        <v>126.01</v>
      </c>
      <c r="M1460">
        <v>2005.37</v>
      </c>
      <c r="N1460">
        <v>70453</v>
      </c>
      <c r="O1460">
        <v>1741.12</v>
      </c>
      <c r="P1460" s="1">
        <v>-0.46200000000000002</v>
      </c>
      <c r="Q1460">
        <f t="shared" si="110"/>
        <v>78</v>
      </c>
      <c r="R1460">
        <f t="shared" si="111"/>
        <v>180</v>
      </c>
      <c r="S1460" s="1">
        <f t="shared" si="112"/>
        <v>0.20512820512820512</v>
      </c>
      <c r="T1460">
        <f t="shared" si="113"/>
        <v>0.78</v>
      </c>
      <c r="U1460" t="str">
        <f t="shared" si="114"/>
        <v>Mar</v>
      </c>
    </row>
    <row r="1461" spans="1:21">
      <c r="A1461" s="2">
        <v>46120</v>
      </c>
      <c r="B1461" t="s">
        <v>4</v>
      </c>
      <c r="C1461" t="s">
        <v>43</v>
      </c>
      <c r="D1461" t="s">
        <v>9</v>
      </c>
      <c r="E1461" t="s">
        <v>42</v>
      </c>
      <c r="F1461" t="s">
        <v>45</v>
      </c>
      <c r="G1461">
        <v>44</v>
      </c>
      <c r="H1461">
        <v>42</v>
      </c>
      <c r="I1461">
        <v>56</v>
      </c>
      <c r="J1461">
        <v>48</v>
      </c>
      <c r="K1461">
        <v>248</v>
      </c>
      <c r="L1461">
        <v>110.79</v>
      </c>
      <c r="M1461">
        <v>2135.84</v>
      </c>
      <c r="N1461">
        <v>64470</v>
      </c>
      <c r="O1461">
        <v>1265.68</v>
      </c>
      <c r="P1461" s="1">
        <v>-8.2000000000000003E-2</v>
      </c>
      <c r="Q1461">
        <f t="shared" si="110"/>
        <v>86</v>
      </c>
      <c r="R1461">
        <f t="shared" si="111"/>
        <v>90</v>
      </c>
      <c r="S1461" s="1">
        <f t="shared" si="112"/>
        <v>0.34883720930232559</v>
      </c>
      <c r="T1461">
        <f t="shared" si="113"/>
        <v>0.86</v>
      </c>
      <c r="U1461" t="str">
        <f t="shared" si="114"/>
        <v>Apr</v>
      </c>
    </row>
    <row r="1462" spans="1:21">
      <c r="A1462" s="2">
        <v>46078</v>
      </c>
      <c r="B1462" t="s">
        <v>6</v>
      </c>
      <c r="C1462" t="s">
        <v>51</v>
      </c>
      <c r="D1462" t="s">
        <v>11</v>
      </c>
      <c r="E1462" t="s">
        <v>35</v>
      </c>
      <c r="F1462" t="s">
        <v>33</v>
      </c>
      <c r="G1462">
        <v>33</v>
      </c>
      <c r="H1462">
        <v>0</v>
      </c>
      <c r="I1462">
        <v>7</v>
      </c>
      <c r="J1462">
        <v>154</v>
      </c>
      <c r="K1462">
        <v>224</v>
      </c>
      <c r="L1462">
        <v>92.66</v>
      </c>
      <c r="M1462">
        <v>2361.89</v>
      </c>
      <c r="N1462">
        <v>72033</v>
      </c>
      <c r="O1462">
        <v>1720.6</v>
      </c>
      <c r="P1462" s="1">
        <v>-0.92800000000000005</v>
      </c>
      <c r="Q1462">
        <f t="shared" si="110"/>
        <v>33</v>
      </c>
      <c r="R1462">
        <f t="shared" si="111"/>
        <v>154</v>
      </c>
      <c r="S1462" s="1">
        <f t="shared" si="112"/>
        <v>0.78787878787878785</v>
      </c>
      <c r="T1462">
        <f t="shared" si="113"/>
        <v>0.33</v>
      </c>
      <c r="U1462" t="str">
        <f t="shared" si="114"/>
        <v>Feb</v>
      </c>
    </row>
    <row r="1463" spans="1:21">
      <c r="A1463" s="2">
        <v>46095</v>
      </c>
      <c r="B1463" t="s">
        <v>4</v>
      </c>
      <c r="C1463" t="s">
        <v>36</v>
      </c>
      <c r="D1463" t="s">
        <v>10</v>
      </c>
      <c r="E1463" t="s">
        <v>47</v>
      </c>
      <c r="F1463" t="s">
        <v>49</v>
      </c>
      <c r="G1463">
        <v>20</v>
      </c>
      <c r="H1463">
        <v>42</v>
      </c>
      <c r="I1463">
        <v>58</v>
      </c>
      <c r="J1463">
        <v>108</v>
      </c>
      <c r="K1463">
        <v>328</v>
      </c>
      <c r="L1463">
        <v>86.85</v>
      </c>
      <c r="M1463">
        <v>2188.52</v>
      </c>
      <c r="N1463">
        <v>72521</v>
      </c>
      <c r="O1463">
        <v>1329.67</v>
      </c>
      <c r="P1463" s="1">
        <v>-0.63300000000000001</v>
      </c>
      <c r="Q1463">
        <f t="shared" si="110"/>
        <v>62</v>
      </c>
      <c r="R1463">
        <f t="shared" si="111"/>
        <v>150</v>
      </c>
      <c r="S1463" s="1">
        <f t="shared" si="112"/>
        <v>6.4516129032258063E-2</v>
      </c>
      <c r="T1463">
        <f t="shared" si="113"/>
        <v>0.62</v>
      </c>
      <c r="U1463" t="str">
        <f t="shared" si="114"/>
        <v>Mar</v>
      </c>
    </row>
    <row r="1464" spans="1:21">
      <c r="A1464" s="2">
        <v>46125</v>
      </c>
      <c r="B1464" t="s">
        <v>4</v>
      </c>
      <c r="C1464" t="s">
        <v>44</v>
      </c>
      <c r="D1464" t="s">
        <v>7</v>
      </c>
      <c r="E1464" t="s">
        <v>37</v>
      </c>
      <c r="F1464" t="s">
        <v>45</v>
      </c>
      <c r="G1464">
        <v>35</v>
      </c>
      <c r="H1464">
        <v>1</v>
      </c>
      <c r="I1464">
        <v>22</v>
      </c>
      <c r="J1464">
        <v>139</v>
      </c>
      <c r="K1464">
        <v>276</v>
      </c>
      <c r="L1464">
        <v>138.32</v>
      </c>
      <c r="M1464">
        <v>2308.66</v>
      </c>
      <c r="N1464">
        <v>65276</v>
      </c>
      <c r="O1464">
        <v>1446.01</v>
      </c>
      <c r="P1464" s="1">
        <v>0.75700000000000001</v>
      </c>
      <c r="Q1464">
        <f t="shared" si="110"/>
        <v>36</v>
      </c>
      <c r="R1464">
        <f t="shared" si="111"/>
        <v>140</v>
      </c>
      <c r="S1464" s="1">
        <f t="shared" si="112"/>
        <v>0.3888888888888889</v>
      </c>
      <c r="T1464">
        <f t="shared" si="113"/>
        <v>0.36</v>
      </c>
      <c r="U1464" t="str">
        <f t="shared" si="114"/>
        <v>Apr</v>
      </c>
    </row>
    <row r="1465" spans="1:21">
      <c r="A1465" s="2">
        <v>46121</v>
      </c>
      <c r="B1465" t="s">
        <v>4</v>
      </c>
      <c r="C1465" t="s">
        <v>43</v>
      </c>
      <c r="D1465" t="s">
        <v>5</v>
      </c>
      <c r="E1465" t="s">
        <v>42</v>
      </c>
      <c r="F1465" t="s">
        <v>33</v>
      </c>
      <c r="G1465">
        <v>28</v>
      </c>
      <c r="H1465">
        <v>5</v>
      </c>
      <c r="I1465">
        <v>27</v>
      </c>
      <c r="J1465">
        <v>120</v>
      </c>
      <c r="K1465">
        <v>74</v>
      </c>
      <c r="L1465">
        <v>127.7</v>
      </c>
      <c r="M1465">
        <v>2030.06</v>
      </c>
      <c r="N1465">
        <v>71137</v>
      </c>
      <c r="O1465">
        <v>1602.04</v>
      </c>
      <c r="P1465" s="1">
        <v>0.28799999999999998</v>
      </c>
      <c r="Q1465">
        <f t="shared" si="110"/>
        <v>33</v>
      </c>
      <c r="R1465">
        <f t="shared" si="111"/>
        <v>125</v>
      </c>
      <c r="S1465" s="1">
        <f t="shared" si="112"/>
        <v>0.18181818181818182</v>
      </c>
      <c r="T1465">
        <f t="shared" si="113"/>
        <v>0.33</v>
      </c>
      <c r="U1465" t="str">
        <f t="shared" si="114"/>
        <v>Apr</v>
      </c>
    </row>
    <row r="1466" spans="1:21">
      <c r="A1466" s="2">
        <v>46085</v>
      </c>
      <c r="B1466" t="s">
        <v>6</v>
      </c>
      <c r="C1466" t="s">
        <v>51</v>
      </c>
      <c r="D1466" t="s">
        <v>5</v>
      </c>
      <c r="E1466" t="s">
        <v>32</v>
      </c>
      <c r="F1466" t="s">
        <v>33</v>
      </c>
      <c r="G1466">
        <v>38</v>
      </c>
      <c r="H1466">
        <v>57</v>
      </c>
      <c r="I1466">
        <v>65</v>
      </c>
      <c r="J1466">
        <v>122</v>
      </c>
      <c r="K1466">
        <v>266</v>
      </c>
      <c r="L1466">
        <v>107.01</v>
      </c>
      <c r="M1466">
        <v>1953.89</v>
      </c>
      <c r="N1466">
        <v>69644</v>
      </c>
      <c r="O1466">
        <v>1031</v>
      </c>
      <c r="P1466" s="1">
        <v>-0.70199999999999996</v>
      </c>
      <c r="Q1466">
        <f t="shared" si="110"/>
        <v>95</v>
      </c>
      <c r="R1466">
        <f t="shared" si="111"/>
        <v>179</v>
      </c>
      <c r="S1466" s="1">
        <f t="shared" si="112"/>
        <v>0.31578947368421051</v>
      </c>
      <c r="T1466">
        <f t="shared" si="113"/>
        <v>0.95</v>
      </c>
      <c r="U1466" t="str">
        <f t="shared" si="114"/>
        <v>Mar</v>
      </c>
    </row>
    <row r="1467" spans="1:21">
      <c r="A1467" s="2">
        <v>46075</v>
      </c>
      <c r="B1467" t="s">
        <v>4</v>
      </c>
      <c r="C1467" t="s">
        <v>48</v>
      </c>
      <c r="D1467" t="s">
        <v>5</v>
      </c>
      <c r="E1467" t="s">
        <v>47</v>
      </c>
      <c r="F1467" t="s">
        <v>33</v>
      </c>
      <c r="G1467">
        <v>45</v>
      </c>
      <c r="H1467">
        <v>55</v>
      </c>
      <c r="I1467">
        <v>0</v>
      </c>
      <c r="J1467">
        <v>47</v>
      </c>
      <c r="K1467">
        <v>226</v>
      </c>
      <c r="L1467">
        <v>111.53</v>
      </c>
      <c r="M1467">
        <v>1954.98</v>
      </c>
      <c r="N1467">
        <v>67691</v>
      </c>
      <c r="O1467">
        <v>1159.67</v>
      </c>
      <c r="P1467" s="1">
        <v>9.6000000000000002E-2</v>
      </c>
      <c r="Q1467">
        <f t="shared" si="110"/>
        <v>100</v>
      </c>
      <c r="R1467">
        <f t="shared" si="111"/>
        <v>102</v>
      </c>
      <c r="S1467" s="1">
        <f t="shared" si="112"/>
        <v>1</v>
      </c>
      <c r="T1467">
        <f t="shared" si="113"/>
        <v>1</v>
      </c>
      <c r="U1467" t="str">
        <f t="shared" si="114"/>
        <v>Feb</v>
      </c>
    </row>
    <row r="1468" spans="1:21">
      <c r="A1468" s="2">
        <v>46090</v>
      </c>
      <c r="B1468" t="s">
        <v>6</v>
      </c>
      <c r="C1468" t="s">
        <v>36</v>
      </c>
      <c r="D1468" t="s">
        <v>5</v>
      </c>
      <c r="E1468" t="s">
        <v>41</v>
      </c>
      <c r="F1468" t="s">
        <v>49</v>
      </c>
      <c r="G1468">
        <v>30</v>
      </c>
      <c r="H1468">
        <v>0</v>
      </c>
      <c r="I1468">
        <v>33</v>
      </c>
      <c r="J1468">
        <v>117</v>
      </c>
      <c r="K1468">
        <v>125</v>
      </c>
      <c r="L1468">
        <v>132.85</v>
      </c>
      <c r="M1468">
        <v>2017.28</v>
      </c>
      <c r="N1468">
        <v>64412</v>
      </c>
      <c r="O1468">
        <v>1430.47</v>
      </c>
      <c r="P1468" s="1">
        <v>0.20200000000000001</v>
      </c>
      <c r="Q1468">
        <f t="shared" si="110"/>
        <v>30</v>
      </c>
      <c r="R1468">
        <f t="shared" si="111"/>
        <v>117</v>
      </c>
      <c r="S1468" s="1">
        <f t="shared" si="112"/>
        <v>-0.1</v>
      </c>
      <c r="T1468">
        <f t="shared" si="113"/>
        <v>0.3</v>
      </c>
      <c r="U1468" t="str">
        <f t="shared" si="114"/>
        <v>Mar</v>
      </c>
    </row>
    <row r="1469" spans="1:21">
      <c r="A1469" s="2">
        <v>46106</v>
      </c>
      <c r="B1469" t="s">
        <v>4</v>
      </c>
      <c r="C1469" t="s">
        <v>34</v>
      </c>
      <c r="D1469" t="s">
        <v>9</v>
      </c>
      <c r="E1469" t="s">
        <v>42</v>
      </c>
      <c r="F1469" t="s">
        <v>49</v>
      </c>
      <c r="G1469">
        <v>113</v>
      </c>
      <c r="H1469">
        <v>65</v>
      </c>
      <c r="I1469">
        <v>86</v>
      </c>
      <c r="J1469">
        <v>44</v>
      </c>
      <c r="K1469">
        <v>106</v>
      </c>
      <c r="L1469">
        <v>81.86</v>
      </c>
      <c r="M1469">
        <v>2235.81</v>
      </c>
      <c r="N1469">
        <v>65400</v>
      </c>
      <c r="O1469">
        <v>1781</v>
      </c>
      <c r="P1469" s="1">
        <v>0.182</v>
      </c>
      <c r="Q1469">
        <f t="shared" si="110"/>
        <v>178</v>
      </c>
      <c r="R1469">
        <f t="shared" si="111"/>
        <v>109</v>
      </c>
      <c r="S1469" s="1">
        <f t="shared" si="112"/>
        <v>0.5168539325842697</v>
      </c>
      <c r="T1469">
        <f t="shared" si="113"/>
        <v>1.78</v>
      </c>
      <c r="U1469" t="str">
        <f t="shared" si="114"/>
        <v>Mar</v>
      </c>
    </row>
    <row r="1470" spans="1:21">
      <c r="A1470" s="2">
        <v>46115</v>
      </c>
      <c r="B1470" t="s">
        <v>4</v>
      </c>
      <c r="C1470" t="s">
        <v>40</v>
      </c>
      <c r="D1470" t="s">
        <v>9</v>
      </c>
      <c r="E1470" t="s">
        <v>47</v>
      </c>
      <c r="F1470" t="s">
        <v>45</v>
      </c>
      <c r="G1470">
        <v>78</v>
      </c>
      <c r="H1470">
        <v>66</v>
      </c>
      <c r="I1470">
        <v>79</v>
      </c>
      <c r="J1470">
        <v>130</v>
      </c>
      <c r="K1470">
        <v>132</v>
      </c>
      <c r="L1470">
        <v>85.97</v>
      </c>
      <c r="M1470">
        <v>1863.27</v>
      </c>
      <c r="N1470">
        <v>75609</v>
      </c>
      <c r="O1470">
        <v>949.8</v>
      </c>
      <c r="P1470" s="1">
        <v>-2.5999999999999999E-2</v>
      </c>
      <c r="Q1470">
        <f t="shared" si="110"/>
        <v>144</v>
      </c>
      <c r="R1470">
        <f t="shared" si="111"/>
        <v>196</v>
      </c>
      <c r="S1470" s="1">
        <f t="shared" si="112"/>
        <v>0.4513888888888889</v>
      </c>
      <c r="T1470">
        <f t="shared" si="113"/>
        <v>1.44</v>
      </c>
      <c r="U1470" t="str">
        <f t="shared" si="114"/>
        <v>Apr</v>
      </c>
    </row>
    <row r="1471" spans="1:21">
      <c r="A1471" s="2">
        <v>46095</v>
      </c>
      <c r="B1471" t="s">
        <v>4</v>
      </c>
      <c r="C1471" t="s">
        <v>36</v>
      </c>
      <c r="D1471" t="s">
        <v>10</v>
      </c>
      <c r="E1471" t="s">
        <v>42</v>
      </c>
      <c r="F1471" t="s">
        <v>39</v>
      </c>
      <c r="G1471">
        <v>17</v>
      </c>
      <c r="H1471">
        <v>5</v>
      </c>
      <c r="I1471">
        <v>32</v>
      </c>
      <c r="J1471">
        <v>143</v>
      </c>
      <c r="K1471">
        <v>404</v>
      </c>
      <c r="L1471">
        <v>97.39</v>
      </c>
      <c r="M1471">
        <v>2225.84</v>
      </c>
      <c r="N1471">
        <v>70475</v>
      </c>
      <c r="O1471">
        <v>1577.17</v>
      </c>
      <c r="P1471" s="1">
        <v>-0.28499999999999998</v>
      </c>
      <c r="Q1471">
        <f t="shared" si="110"/>
        <v>22</v>
      </c>
      <c r="R1471">
        <f t="shared" si="111"/>
        <v>148</v>
      </c>
      <c r="S1471" s="1">
        <f t="shared" si="112"/>
        <v>-0.45454545454545453</v>
      </c>
      <c r="T1471">
        <f t="shared" si="113"/>
        <v>0.22</v>
      </c>
      <c r="U1471" t="str">
        <f t="shared" si="114"/>
        <v>Mar</v>
      </c>
    </row>
    <row r="1472" spans="1:21">
      <c r="A1472" s="2">
        <v>46071</v>
      </c>
      <c r="B1472" t="s">
        <v>4</v>
      </c>
      <c r="C1472" t="s">
        <v>31</v>
      </c>
      <c r="D1472" t="s">
        <v>10</v>
      </c>
      <c r="E1472" t="s">
        <v>38</v>
      </c>
      <c r="F1472" t="s">
        <v>33</v>
      </c>
      <c r="G1472">
        <v>103</v>
      </c>
      <c r="H1472">
        <v>57</v>
      </c>
      <c r="I1472">
        <v>60</v>
      </c>
      <c r="J1472">
        <v>17</v>
      </c>
      <c r="K1472">
        <v>45</v>
      </c>
      <c r="L1472">
        <v>94.71</v>
      </c>
      <c r="M1472">
        <v>2166.6</v>
      </c>
      <c r="N1472">
        <v>71764</v>
      </c>
      <c r="O1472">
        <v>1538.28</v>
      </c>
      <c r="P1472" s="1">
        <v>-0.17299999999999999</v>
      </c>
      <c r="Q1472">
        <f t="shared" si="110"/>
        <v>160</v>
      </c>
      <c r="R1472">
        <f t="shared" si="111"/>
        <v>74</v>
      </c>
      <c r="S1472" s="1">
        <f t="shared" si="112"/>
        <v>0.625</v>
      </c>
      <c r="T1472">
        <f t="shared" si="113"/>
        <v>1.6</v>
      </c>
      <c r="U1472" t="str">
        <f t="shared" si="114"/>
        <v>Feb</v>
      </c>
    </row>
    <row r="1473" spans="1:21">
      <c r="A1473" s="2">
        <v>46081</v>
      </c>
      <c r="B1473" t="s">
        <v>6</v>
      </c>
      <c r="C1473" t="s">
        <v>50</v>
      </c>
      <c r="D1473" t="s">
        <v>5</v>
      </c>
      <c r="E1473" t="s">
        <v>41</v>
      </c>
      <c r="F1473" t="s">
        <v>49</v>
      </c>
      <c r="G1473">
        <v>47</v>
      </c>
      <c r="H1473">
        <v>35</v>
      </c>
      <c r="I1473">
        <v>16</v>
      </c>
      <c r="J1473">
        <v>158</v>
      </c>
      <c r="K1473">
        <v>73</v>
      </c>
      <c r="L1473">
        <v>108.08</v>
      </c>
      <c r="M1473">
        <v>2247.4699999999998</v>
      </c>
      <c r="N1473">
        <v>75405</v>
      </c>
      <c r="O1473">
        <v>1570.97</v>
      </c>
      <c r="P1473" s="1">
        <v>-0.82399999999999995</v>
      </c>
      <c r="Q1473">
        <f t="shared" si="110"/>
        <v>82</v>
      </c>
      <c r="R1473">
        <f t="shared" si="111"/>
        <v>193</v>
      </c>
      <c r="S1473" s="1">
        <f t="shared" si="112"/>
        <v>0.80487804878048785</v>
      </c>
      <c r="T1473">
        <f t="shared" si="113"/>
        <v>0.82</v>
      </c>
      <c r="U1473" t="str">
        <f t="shared" si="114"/>
        <v>Feb</v>
      </c>
    </row>
    <row r="1474" spans="1:21">
      <c r="A1474" s="2">
        <v>46077</v>
      </c>
      <c r="B1474" t="s">
        <v>6</v>
      </c>
      <c r="C1474" t="s">
        <v>34</v>
      </c>
      <c r="D1474" t="s">
        <v>7</v>
      </c>
      <c r="E1474" t="s">
        <v>32</v>
      </c>
      <c r="F1474" t="s">
        <v>39</v>
      </c>
      <c r="G1474">
        <v>20</v>
      </c>
      <c r="H1474">
        <v>57</v>
      </c>
      <c r="I1474">
        <v>59</v>
      </c>
      <c r="J1474">
        <v>126</v>
      </c>
      <c r="K1474">
        <v>156</v>
      </c>
      <c r="L1474">
        <v>109.79</v>
      </c>
      <c r="M1474">
        <v>2189.87</v>
      </c>
      <c r="N1474">
        <v>72250</v>
      </c>
      <c r="O1474">
        <v>1207.76</v>
      </c>
      <c r="P1474" s="1">
        <v>0.79800000000000004</v>
      </c>
      <c r="Q1474">
        <f t="shared" si="110"/>
        <v>77</v>
      </c>
      <c r="R1474">
        <f t="shared" si="111"/>
        <v>183</v>
      </c>
      <c r="S1474" s="1">
        <f t="shared" si="112"/>
        <v>0.23376623376623376</v>
      </c>
      <c r="T1474">
        <f t="shared" si="113"/>
        <v>0.77</v>
      </c>
      <c r="U1474" t="str">
        <f t="shared" si="114"/>
        <v>Feb</v>
      </c>
    </row>
    <row r="1475" spans="1:21">
      <c r="A1475" s="2">
        <v>46093</v>
      </c>
      <c r="B1475" t="s">
        <v>6</v>
      </c>
      <c r="C1475" t="s">
        <v>34</v>
      </c>
      <c r="D1475" t="s">
        <v>7</v>
      </c>
      <c r="E1475" t="s">
        <v>38</v>
      </c>
      <c r="F1475" t="s">
        <v>33</v>
      </c>
      <c r="G1475">
        <v>20</v>
      </c>
      <c r="H1475">
        <v>58</v>
      </c>
      <c r="I1475">
        <v>88</v>
      </c>
      <c r="J1475">
        <v>39</v>
      </c>
      <c r="K1475">
        <v>381</v>
      </c>
      <c r="L1475">
        <v>111.47</v>
      </c>
      <c r="M1475">
        <v>2372.85</v>
      </c>
      <c r="N1475">
        <v>71299</v>
      </c>
      <c r="O1475">
        <v>1566.48</v>
      </c>
      <c r="P1475" s="1">
        <v>0.246</v>
      </c>
      <c r="Q1475">
        <f t="shared" ref="Q1475:Q1538" si="115">G1475+H1475</f>
        <v>78</v>
      </c>
      <c r="R1475">
        <f t="shared" ref="R1475:R1538" si="116">J1475+H1475</f>
        <v>97</v>
      </c>
      <c r="S1475" s="1">
        <f t="shared" ref="S1475:S1538" si="117">(Q1475-I1475)/(Q1475)</f>
        <v>-0.12820512820512819</v>
      </c>
      <c r="T1475">
        <f t="shared" ref="T1475:T1538" si="118">Q1475/100</f>
        <v>0.78</v>
      </c>
      <c r="U1475" t="str">
        <f t="shared" ref="U1475:U1538" si="119">TEXT(A1475,"mmm")</f>
        <v>Mar</v>
      </c>
    </row>
    <row r="1476" spans="1:21">
      <c r="A1476" s="2">
        <v>46082</v>
      </c>
      <c r="B1476" t="s">
        <v>4</v>
      </c>
      <c r="C1476" t="s">
        <v>44</v>
      </c>
      <c r="D1476" t="s">
        <v>5</v>
      </c>
      <c r="E1476" t="s">
        <v>42</v>
      </c>
      <c r="F1476" t="s">
        <v>33</v>
      </c>
      <c r="G1476">
        <v>92</v>
      </c>
      <c r="H1476">
        <v>71</v>
      </c>
      <c r="I1476">
        <v>43</v>
      </c>
      <c r="J1476">
        <v>72</v>
      </c>
      <c r="K1476">
        <v>306</v>
      </c>
      <c r="L1476">
        <v>126.91</v>
      </c>
      <c r="M1476">
        <v>2112.2399999999998</v>
      </c>
      <c r="N1476">
        <v>74558</v>
      </c>
      <c r="O1476">
        <v>1792.38</v>
      </c>
      <c r="P1476" s="1">
        <v>0.64300000000000002</v>
      </c>
      <c r="Q1476">
        <f t="shared" si="115"/>
        <v>163</v>
      </c>
      <c r="R1476">
        <f t="shared" si="116"/>
        <v>143</v>
      </c>
      <c r="S1476" s="1">
        <f t="shared" si="117"/>
        <v>0.73619631901840488</v>
      </c>
      <c r="T1476">
        <f t="shared" si="118"/>
        <v>1.63</v>
      </c>
      <c r="U1476" t="str">
        <f t="shared" si="119"/>
        <v>Mar</v>
      </c>
    </row>
    <row r="1477" spans="1:21">
      <c r="A1477" s="2">
        <v>46081</v>
      </c>
      <c r="B1477" t="s">
        <v>4</v>
      </c>
      <c r="C1477" t="s">
        <v>31</v>
      </c>
      <c r="D1477" t="s">
        <v>7</v>
      </c>
      <c r="E1477" t="s">
        <v>35</v>
      </c>
      <c r="F1477" t="s">
        <v>39</v>
      </c>
      <c r="G1477">
        <v>16</v>
      </c>
      <c r="H1477">
        <v>61</v>
      </c>
      <c r="I1477">
        <v>89</v>
      </c>
      <c r="J1477">
        <v>99</v>
      </c>
      <c r="K1477">
        <v>317</v>
      </c>
      <c r="L1477">
        <v>112.02</v>
      </c>
      <c r="M1477">
        <v>2157.41</v>
      </c>
      <c r="N1477">
        <v>64775</v>
      </c>
      <c r="O1477">
        <v>1151.47</v>
      </c>
      <c r="P1477" s="1">
        <v>0.77900000000000003</v>
      </c>
      <c r="Q1477">
        <f t="shared" si="115"/>
        <v>77</v>
      </c>
      <c r="R1477">
        <f t="shared" si="116"/>
        <v>160</v>
      </c>
      <c r="S1477" s="1">
        <f t="shared" si="117"/>
        <v>-0.15584415584415584</v>
      </c>
      <c r="T1477">
        <f t="shared" si="118"/>
        <v>0.77</v>
      </c>
      <c r="U1477" t="str">
        <f t="shared" si="119"/>
        <v>Feb</v>
      </c>
    </row>
    <row r="1478" spans="1:21">
      <c r="A1478" s="2">
        <v>46109</v>
      </c>
      <c r="B1478" t="s">
        <v>4</v>
      </c>
      <c r="C1478" t="s">
        <v>34</v>
      </c>
      <c r="D1478" t="s">
        <v>5</v>
      </c>
      <c r="E1478" t="s">
        <v>47</v>
      </c>
      <c r="F1478" t="s">
        <v>49</v>
      </c>
      <c r="G1478">
        <v>117</v>
      </c>
      <c r="H1478">
        <v>74</v>
      </c>
      <c r="I1478">
        <v>56</v>
      </c>
      <c r="J1478">
        <v>133</v>
      </c>
      <c r="K1478">
        <v>160</v>
      </c>
      <c r="L1478">
        <v>105.27</v>
      </c>
      <c r="M1478">
        <v>2060.06</v>
      </c>
      <c r="N1478">
        <v>68428</v>
      </c>
      <c r="O1478">
        <v>1761.22</v>
      </c>
      <c r="P1478" s="1">
        <v>-0.68400000000000005</v>
      </c>
      <c r="Q1478">
        <f t="shared" si="115"/>
        <v>191</v>
      </c>
      <c r="R1478">
        <f t="shared" si="116"/>
        <v>207</v>
      </c>
      <c r="S1478" s="1">
        <f t="shared" si="117"/>
        <v>0.70680628272251311</v>
      </c>
      <c r="T1478">
        <f t="shared" si="118"/>
        <v>1.91</v>
      </c>
      <c r="U1478" t="str">
        <f t="shared" si="119"/>
        <v>Mar</v>
      </c>
    </row>
    <row r="1479" spans="1:21">
      <c r="A1479" s="2">
        <v>46076</v>
      </c>
      <c r="B1479" t="s">
        <v>6</v>
      </c>
      <c r="C1479" t="s">
        <v>34</v>
      </c>
      <c r="D1479" t="s">
        <v>10</v>
      </c>
      <c r="E1479" t="s">
        <v>35</v>
      </c>
      <c r="F1479" t="s">
        <v>33</v>
      </c>
      <c r="G1479">
        <v>26</v>
      </c>
      <c r="H1479">
        <v>24</v>
      </c>
      <c r="I1479">
        <v>2</v>
      </c>
      <c r="J1479">
        <v>51</v>
      </c>
      <c r="K1479">
        <v>94</v>
      </c>
      <c r="L1479">
        <v>101.4</v>
      </c>
      <c r="M1479">
        <v>2459.58</v>
      </c>
      <c r="N1479">
        <v>75916</v>
      </c>
      <c r="O1479">
        <v>1549.23</v>
      </c>
      <c r="P1479" s="1">
        <v>0.70499999999999996</v>
      </c>
      <c r="Q1479">
        <f t="shared" si="115"/>
        <v>50</v>
      </c>
      <c r="R1479">
        <f t="shared" si="116"/>
        <v>75</v>
      </c>
      <c r="S1479" s="1">
        <f t="shared" si="117"/>
        <v>0.96</v>
      </c>
      <c r="T1479">
        <f t="shared" si="118"/>
        <v>0.5</v>
      </c>
      <c r="U1479" t="str">
        <f t="shared" si="119"/>
        <v>Feb</v>
      </c>
    </row>
    <row r="1480" spans="1:21">
      <c r="A1480" s="2">
        <v>46108</v>
      </c>
      <c r="B1480" t="s">
        <v>6</v>
      </c>
      <c r="C1480" t="s">
        <v>48</v>
      </c>
      <c r="D1480" t="s">
        <v>7</v>
      </c>
      <c r="E1480" t="s">
        <v>47</v>
      </c>
      <c r="F1480" t="s">
        <v>49</v>
      </c>
      <c r="G1480">
        <v>44</v>
      </c>
      <c r="H1480">
        <v>64</v>
      </c>
      <c r="I1480">
        <v>29</v>
      </c>
      <c r="J1480">
        <v>159</v>
      </c>
      <c r="K1480">
        <v>329</v>
      </c>
      <c r="L1480">
        <v>124.06</v>
      </c>
      <c r="M1480">
        <v>2247.5500000000002</v>
      </c>
      <c r="N1480">
        <v>68596</v>
      </c>
      <c r="O1480">
        <v>954.15</v>
      </c>
      <c r="P1480" s="1">
        <v>0.79600000000000004</v>
      </c>
      <c r="Q1480">
        <f t="shared" si="115"/>
        <v>108</v>
      </c>
      <c r="R1480">
        <f t="shared" si="116"/>
        <v>223</v>
      </c>
      <c r="S1480" s="1">
        <f t="shared" si="117"/>
        <v>0.73148148148148151</v>
      </c>
      <c r="T1480">
        <f t="shared" si="118"/>
        <v>1.08</v>
      </c>
      <c r="U1480" t="str">
        <f t="shared" si="119"/>
        <v>Mar</v>
      </c>
    </row>
    <row r="1481" spans="1:21">
      <c r="A1481" s="2">
        <v>46106</v>
      </c>
      <c r="B1481" t="s">
        <v>6</v>
      </c>
      <c r="C1481" t="s">
        <v>50</v>
      </c>
      <c r="D1481" t="s">
        <v>5</v>
      </c>
      <c r="E1481" t="s">
        <v>38</v>
      </c>
      <c r="F1481" t="s">
        <v>45</v>
      </c>
      <c r="G1481">
        <v>46</v>
      </c>
      <c r="H1481">
        <v>38</v>
      </c>
      <c r="I1481">
        <v>4</v>
      </c>
      <c r="J1481">
        <v>55</v>
      </c>
      <c r="K1481">
        <v>349</v>
      </c>
      <c r="L1481">
        <v>94.14</v>
      </c>
      <c r="M1481">
        <v>2340.09</v>
      </c>
      <c r="N1481">
        <v>69798</v>
      </c>
      <c r="O1481">
        <v>1610.77</v>
      </c>
      <c r="P1481" s="1">
        <v>-0.90300000000000002</v>
      </c>
      <c r="Q1481">
        <f t="shared" si="115"/>
        <v>84</v>
      </c>
      <c r="R1481">
        <f t="shared" si="116"/>
        <v>93</v>
      </c>
      <c r="S1481" s="1">
        <f t="shared" si="117"/>
        <v>0.95238095238095233</v>
      </c>
      <c r="T1481">
        <f t="shared" si="118"/>
        <v>0.84</v>
      </c>
      <c r="U1481" t="str">
        <f t="shared" si="119"/>
        <v>Mar</v>
      </c>
    </row>
    <row r="1482" spans="1:21">
      <c r="A1482" s="2">
        <v>46088</v>
      </c>
      <c r="B1482" t="s">
        <v>4</v>
      </c>
      <c r="C1482" t="s">
        <v>43</v>
      </c>
      <c r="D1482" t="s">
        <v>5</v>
      </c>
      <c r="E1482" t="s">
        <v>37</v>
      </c>
      <c r="F1482" t="s">
        <v>45</v>
      </c>
      <c r="G1482">
        <v>12</v>
      </c>
      <c r="H1482">
        <v>60</v>
      </c>
      <c r="I1482">
        <v>50</v>
      </c>
      <c r="J1482">
        <v>28</v>
      </c>
      <c r="K1482">
        <v>120</v>
      </c>
      <c r="L1482">
        <v>127.82</v>
      </c>
      <c r="M1482">
        <v>2116.66</v>
      </c>
      <c r="N1482">
        <v>71480</v>
      </c>
      <c r="O1482">
        <v>1070.22</v>
      </c>
      <c r="P1482" s="1">
        <v>-0.35499999999999998</v>
      </c>
      <c r="Q1482">
        <f t="shared" si="115"/>
        <v>72</v>
      </c>
      <c r="R1482">
        <f t="shared" si="116"/>
        <v>88</v>
      </c>
      <c r="S1482" s="1">
        <f t="shared" si="117"/>
        <v>0.30555555555555558</v>
      </c>
      <c r="T1482">
        <f t="shared" si="118"/>
        <v>0.72</v>
      </c>
      <c r="U1482" t="str">
        <f t="shared" si="119"/>
        <v>Mar</v>
      </c>
    </row>
    <row r="1483" spans="1:21">
      <c r="A1483" s="2">
        <v>46098</v>
      </c>
      <c r="B1483" t="s">
        <v>6</v>
      </c>
      <c r="C1483" t="s">
        <v>34</v>
      </c>
      <c r="D1483" t="s">
        <v>11</v>
      </c>
      <c r="E1483" t="s">
        <v>32</v>
      </c>
      <c r="F1483" t="s">
        <v>45</v>
      </c>
      <c r="G1483">
        <v>14</v>
      </c>
      <c r="H1483">
        <v>13</v>
      </c>
      <c r="I1483">
        <v>26</v>
      </c>
      <c r="J1483">
        <v>99</v>
      </c>
      <c r="K1483">
        <v>190</v>
      </c>
      <c r="L1483">
        <v>133.69999999999999</v>
      </c>
      <c r="M1483">
        <v>2334.0100000000002</v>
      </c>
      <c r="N1483">
        <v>74615</v>
      </c>
      <c r="O1483">
        <v>1497.18</v>
      </c>
      <c r="P1483" s="1">
        <v>-0.89500000000000002</v>
      </c>
      <c r="Q1483">
        <f t="shared" si="115"/>
        <v>27</v>
      </c>
      <c r="R1483">
        <f t="shared" si="116"/>
        <v>112</v>
      </c>
      <c r="S1483" s="1">
        <f t="shared" si="117"/>
        <v>3.7037037037037035E-2</v>
      </c>
      <c r="T1483">
        <f t="shared" si="118"/>
        <v>0.27</v>
      </c>
      <c r="U1483" t="str">
        <f t="shared" si="119"/>
        <v>Mar</v>
      </c>
    </row>
    <row r="1484" spans="1:21">
      <c r="A1484" s="2">
        <v>46107</v>
      </c>
      <c r="B1484" t="s">
        <v>6</v>
      </c>
      <c r="C1484" t="s">
        <v>31</v>
      </c>
      <c r="D1484" t="s">
        <v>10</v>
      </c>
      <c r="E1484" t="s">
        <v>41</v>
      </c>
      <c r="F1484" t="s">
        <v>39</v>
      </c>
      <c r="G1484">
        <v>32</v>
      </c>
      <c r="H1484">
        <v>13</v>
      </c>
      <c r="I1484">
        <v>27</v>
      </c>
      <c r="J1484">
        <v>74</v>
      </c>
      <c r="K1484">
        <v>395</v>
      </c>
      <c r="L1484">
        <v>81.37</v>
      </c>
      <c r="M1484">
        <v>2400.9899999999998</v>
      </c>
      <c r="N1484">
        <v>73617</v>
      </c>
      <c r="O1484">
        <v>1490.48</v>
      </c>
      <c r="P1484" s="1">
        <v>0.65600000000000003</v>
      </c>
      <c r="Q1484">
        <f t="shared" si="115"/>
        <v>45</v>
      </c>
      <c r="R1484">
        <f t="shared" si="116"/>
        <v>87</v>
      </c>
      <c r="S1484" s="1">
        <f t="shared" si="117"/>
        <v>0.4</v>
      </c>
      <c r="T1484">
        <f t="shared" si="118"/>
        <v>0.45</v>
      </c>
      <c r="U1484" t="str">
        <f t="shared" si="119"/>
        <v>Mar</v>
      </c>
    </row>
    <row r="1485" spans="1:21">
      <c r="A1485" s="2">
        <v>46088</v>
      </c>
      <c r="B1485" t="s">
        <v>6</v>
      </c>
      <c r="C1485" t="s">
        <v>34</v>
      </c>
      <c r="D1485" t="s">
        <v>11</v>
      </c>
      <c r="E1485" t="s">
        <v>32</v>
      </c>
      <c r="F1485" t="s">
        <v>49</v>
      </c>
      <c r="G1485">
        <v>116</v>
      </c>
      <c r="H1485">
        <v>46</v>
      </c>
      <c r="I1485">
        <v>45</v>
      </c>
      <c r="J1485">
        <v>69</v>
      </c>
      <c r="K1485">
        <v>248</v>
      </c>
      <c r="L1485">
        <v>99.52</v>
      </c>
      <c r="M1485">
        <v>1816.07</v>
      </c>
      <c r="N1485">
        <v>64139</v>
      </c>
      <c r="O1485">
        <v>1280.1400000000001</v>
      </c>
      <c r="P1485" s="1">
        <v>0.51600000000000001</v>
      </c>
      <c r="Q1485">
        <f t="shared" si="115"/>
        <v>162</v>
      </c>
      <c r="R1485">
        <f t="shared" si="116"/>
        <v>115</v>
      </c>
      <c r="S1485" s="1">
        <f t="shared" si="117"/>
        <v>0.72222222222222221</v>
      </c>
      <c r="T1485">
        <f t="shared" si="118"/>
        <v>1.62</v>
      </c>
      <c r="U1485" t="str">
        <f t="shared" si="119"/>
        <v>Mar</v>
      </c>
    </row>
    <row r="1486" spans="1:21">
      <c r="A1486" s="2">
        <v>46108</v>
      </c>
      <c r="B1486" t="s">
        <v>6</v>
      </c>
      <c r="C1486" t="s">
        <v>34</v>
      </c>
      <c r="D1486" t="s">
        <v>10</v>
      </c>
      <c r="E1486" t="s">
        <v>41</v>
      </c>
      <c r="F1486" t="s">
        <v>33</v>
      </c>
      <c r="G1486">
        <v>85</v>
      </c>
      <c r="H1486">
        <v>20</v>
      </c>
      <c r="I1486">
        <v>74</v>
      </c>
      <c r="J1486">
        <v>14</v>
      </c>
      <c r="K1486">
        <v>197</v>
      </c>
      <c r="L1486">
        <v>117.25</v>
      </c>
      <c r="M1486">
        <v>2354.71</v>
      </c>
      <c r="N1486">
        <v>64501</v>
      </c>
      <c r="O1486">
        <v>1499.6</v>
      </c>
      <c r="P1486" s="1">
        <v>-0.44500000000000001</v>
      </c>
      <c r="Q1486">
        <f t="shared" si="115"/>
        <v>105</v>
      </c>
      <c r="R1486">
        <f t="shared" si="116"/>
        <v>34</v>
      </c>
      <c r="S1486" s="1">
        <f t="shared" si="117"/>
        <v>0.29523809523809524</v>
      </c>
      <c r="T1486">
        <f t="shared" si="118"/>
        <v>1.05</v>
      </c>
      <c r="U1486" t="str">
        <f t="shared" si="119"/>
        <v>Mar</v>
      </c>
    </row>
    <row r="1487" spans="1:21">
      <c r="A1487" s="2">
        <v>46084</v>
      </c>
      <c r="B1487" t="s">
        <v>4</v>
      </c>
      <c r="C1487" t="s">
        <v>43</v>
      </c>
      <c r="D1487" t="s">
        <v>5</v>
      </c>
      <c r="E1487" t="s">
        <v>37</v>
      </c>
      <c r="F1487" t="s">
        <v>39</v>
      </c>
      <c r="G1487">
        <v>117</v>
      </c>
      <c r="H1487">
        <v>9</v>
      </c>
      <c r="I1487">
        <v>41</v>
      </c>
      <c r="J1487">
        <v>108</v>
      </c>
      <c r="K1487">
        <v>365</v>
      </c>
      <c r="L1487">
        <v>128.49</v>
      </c>
      <c r="M1487">
        <v>1892.85</v>
      </c>
      <c r="N1487">
        <v>73778</v>
      </c>
      <c r="O1487">
        <v>1199.07</v>
      </c>
      <c r="P1487" s="1">
        <v>-0.34100000000000003</v>
      </c>
      <c r="Q1487">
        <f t="shared" si="115"/>
        <v>126</v>
      </c>
      <c r="R1487">
        <f t="shared" si="116"/>
        <v>117</v>
      </c>
      <c r="S1487" s="1">
        <f t="shared" si="117"/>
        <v>0.67460317460317465</v>
      </c>
      <c r="T1487">
        <f t="shared" si="118"/>
        <v>1.26</v>
      </c>
      <c r="U1487" t="str">
        <f t="shared" si="119"/>
        <v>Mar</v>
      </c>
    </row>
    <row r="1488" spans="1:21">
      <c r="A1488" s="2">
        <v>46100</v>
      </c>
      <c r="B1488" t="s">
        <v>6</v>
      </c>
      <c r="C1488" t="s">
        <v>36</v>
      </c>
      <c r="D1488" t="s">
        <v>11</v>
      </c>
      <c r="E1488" t="s">
        <v>37</v>
      </c>
      <c r="F1488" t="s">
        <v>39</v>
      </c>
      <c r="G1488">
        <v>119</v>
      </c>
      <c r="H1488">
        <v>45</v>
      </c>
      <c r="I1488">
        <v>40</v>
      </c>
      <c r="J1488">
        <v>25</v>
      </c>
      <c r="K1488">
        <v>182</v>
      </c>
      <c r="L1488">
        <v>132.27000000000001</v>
      </c>
      <c r="M1488">
        <v>1824.7</v>
      </c>
      <c r="N1488">
        <v>65191</v>
      </c>
      <c r="O1488">
        <v>990.05</v>
      </c>
      <c r="P1488" s="1">
        <v>-0.68700000000000006</v>
      </c>
      <c r="Q1488">
        <f t="shared" si="115"/>
        <v>164</v>
      </c>
      <c r="R1488">
        <f t="shared" si="116"/>
        <v>70</v>
      </c>
      <c r="S1488" s="1">
        <f t="shared" si="117"/>
        <v>0.75609756097560976</v>
      </c>
      <c r="T1488">
        <f t="shared" si="118"/>
        <v>1.64</v>
      </c>
      <c r="U1488" t="str">
        <f t="shared" si="119"/>
        <v>Mar</v>
      </c>
    </row>
    <row r="1489" spans="1:21">
      <c r="A1489" s="2">
        <v>46093</v>
      </c>
      <c r="B1489" t="s">
        <v>6</v>
      </c>
      <c r="C1489" t="s">
        <v>46</v>
      </c>
      <c r="D1489" t="s">
        <v>11</v>
      </c>
      <c r="E1489" t="s">
        <v>37</v>
      </c>
      <c r="F1489" t="s">
        <v>45</v>
      </c>
      <c r="G1489">
        <v>74</v>
      </c>
      <c r="H1489">
        <v>61</v>
      </c>
      <c r="I1489">
        <v>33</v>
      </c>
      <c r="J1489">
        <v>84</v>
      </c>
      <c r="K1489">
        <v>94</v>
      </c>
      <c r="L1489">
        <v>139.84</v>
      </c>
      <c r="M1489">
        <v>2313.52</v>
      </c>
      <c r="N1489">
        <v>66646</v>
      </c>
      <c r="O1489">
        <v>1266.3</v>
      </c>
      <c r="P1489" s="1">
        <v>0.61399999999999999</v>
      </c>
      <c r="Q1489">
        <f t="shared" si="115"/>
        <v>135</v>
      </c>
      <c r="R1489">
        <f t="shared" si="116"/>
        <v>145</v>
      </c>
      <c r="S1489" s="1">
        <f t="shared" si="117"/>
        <v>0.75555555555555554</v>
      </c>
      <c r="T1489">
        <f t="shared" si="118"/>
        <v>1.35</v>
      </c>
      <c r="U1489" t="str">
        <f t="shared" si="119"/>
        <v>Mar</v>
      </c>
    </row>
    <row r="1490" spans="1:21">
      <c r="A1490" s="2">
        <v>46071</v>
      </c>
      <c r="B1490" t="s">
        <v>6</v>
      </c>
      <c r="C1490" t="s">
        <v>34</v>
      </c>
      <c r="D1490" t="s">
        <v>5</v>
      </c>
      <c r="E1490" t="s">
        <v>37</v>
      </c>
      <c r="F1490" t="s">
        <v>39</v>
      </c>
      <c r="G1490">
        <v>90</v>
      </c>
      <c r="H1490">
        <v>13</v>
      </c>
      <c r="I1490">
        <v>29</v>
      </c>
      <c r="J1490">
        <v>147</v>
      </c>
      <c r="K1490">
        <v>183</v>
      </c>
      <c r="L1490">
        <v>121.07</v>
      </c>
      <c r="M1490">
        <v>2380.1</v>
      </c>
      <c r="N1490">
        <v>64502</v>
      </c>
      <c r="O1490">
        <v>1543.29</v>
      </c>
      <c r="P1490" s="1">
        <v>0.46800000000000003</v>
      </c>
      <c r="Q1490">
        <f t="shared" si="115"/>
        <v>103</v>
      </c>
      <c r="R1490">
        <f t="shared" si="116"/>
        <v>160</v>
      </c>
      <c r="S1490" s="1">
        <f t="shared" si="117"/>
        <v>0.71844660194174759</v>
      </c>
      <c r="T1490">
        <f t="shared" si="118"/>
        <v>1.03</v>
      </c>
      <c r="U1490" t="str">
        <f t="shared" si="119"/>
        <v>Feb</v>
      </c>
    </row>
    <row r="1491" spans="1:21">
      <c r="A1491" s="2">
        <v>46089</v>
      </c>
      <c r="B1491" t="s">
        <v>6</v>
      </c>
      <c r="C1491" t="s">
        <v>48</v>
      </c>
      <c r="D1491" t="s">
        <v>11</v>
      </c>
      <c r="E1491" t="s">
        <v>38</v>
      </c>
      <c r="F1491" t="s">
        <v>49</v>
      </c>
      <c r="G1491">
        <v>24</v>
      </c>
      <c r="H1491">
        <v>72</v>
      </c>
      <c r="I1491">
        <v>52</v>
      </c>
      <c r="J1491">
        <v>45</v>
      </c>
      <c r="K1491">
        <v>304</v>
      </c>
      <c r="L1491">
        <v>100.52</v>
      </c>
      <c r="M1491">
        <v>1986.42</v>
      </c>
      <c r="N1491">
        <v>64727</v>
      </c>
      <c r="O1491">
        <v>909.24</v>
      </c>
      <c r="P1491" s="1">
        <v>-0.625</v>
      </c>
      <c r="Q1491">
        <f t="shared" si="115"/>
        <v>96</v>
      </c>
      <c r="R1491">
        <f t="shared" si="116"/>
        <v>117</v>
      </c>
      <c r="S1491" s="1">
        <f t="shared" si="117"/>
        <v>0.45833333333333331</v>
      </c>
      <c r="T1491">
        <f t="shared" si="118"/>
        <v>0.96</v>
      </c>
      <c r="U1491" t="str">
        <f t="shared" si="119"/>
        <v>Mar</v>
      </c>
    </row>
    <row r="1492" spans="1:21">
      <c r="A1492" s="2">
        <v>46073</v>
      </c>
      <c r="B1492" t="s">
        <v>4</v>
      </c>
      <c r="C1492" t="s">
        <v>34</v>
      </c>
      <c r="D1492" t="s">
        <v>10</v>
      </c>
      <c r="E1492" t="s">
        <v>35</v>
      </c>
      <c r="F1492" t="s">
        <v>45</v>
      </c>
      <c r="G1492">
        <v>6</v>
      </c>
      <c r="H1492">
        <v>43</v>
      </c>
      <c r="I1492">
        <v>2</v>
      </c>
      <c r="J1492">
        <v>123</v>
      </c>
      <c r="K1492">
        <v>317</v>
      </c>
      <c r="L1492">
        <v>119.38</v>
      </c>
      <c r="M1492">
        <v>1879.68</v>
      </c>
      <c r="N1492">
        <v>75085</v>
      </c>
      <c r="O1492">
        <v>905.39</v>
      </c>
      <c r="P1492" s="1">
        <v>-0.24399999999999999</v>
      </c>
      <c r="Q1492">
        <f t="shared" si="115"/>
        <v>49</v>
      </c>
      <c r="R1492">
        <f t="shared" si="116"/>
        <v>166</v>
      </c>
      <c r="S1492" s="1">
        <f t="shared" si="117"/>
        <v>0.95918367346938771</v>
      </c>
      <c r="T1492">
        <f t="shared" si="118"/>
        <v>0.49</v>
      </c>
      <c r="U1492" t="str">
        <f t="shared" si="119"/>
        <v>Feb</v>
      </c>
    </row>
    <row r="1493" spans="1:21">
      <c r="A1493" s="2">
        <v>46123</v>
      </c>
      <c r="B1493" t="s">
        <v>4</v>
      </c>
      <c r="C1493" t="s">
        <v>36</v>
      </c>
      <c r="D1493" t="s">
        <v>9</v>
      </c>
      <c r="E1493" t="s">
        <v>37</v>
      </c>
      <c r="F1493" t="s">
        <v>49</v>
      </c>
      <c r="G1493">
        <v>62</v>
      </c>
      <c r="H1493">
        <v>69</v>
      </c>
      <c r="I1493">
        <v>66</v>
      </c>
      <c r="J1493">
        <v>19</v>
      </c>
      <c r="K1493">
        <v>19</v>
      </c>
      <c r="L1493">
        <v>127.69</v>
      </c>
      <c r="M1493">
        <v>2277.85</v>
      </c>
      <c r="N1493">
        <v>71163</v>
      </c>
      <c r="O1493">
        <v>1049.54</v>
      </c>
      <c r="P1493" s="1">
        <v>-0.89</v>
      </c>
      <c r="Q1493">
        <f t="shared" si="115"/>
        <v>131</v>
      </c>
      <c r="R1493">
        <f t="shared" si="116"/>
        <v>88</v>
      </c>
      <c r="S1493" s="1">
        <f t="shared" si="117"/>
        <v>0.49618320610687022</v>
      </c>
      <c r="T1493">
        <f t="shared" si="118"/>
        <v>1.31</v>
      </c>
      <c r="U1493" t="str">
        <f t="shared" si="119"/>
        <v>Apr</v>
      </c>
    </row>
    <row r="1494" spans="1:21">
      <c r="A1494" s="2">
        <v>46101</v>
      </c>
      <c r="B1494" t="s">
        <v>4</v>
      </c>
      <c r="C1494" t="s">
        <v>48</v>
      </c>
      <c r="D1494" t="s">
        <v>11</v>
      </c>
      <c r="E1494" t="s">
        <v>37</v>
      </c>
      <c r="F1494" t="s">
        <v>39</v>
      </c>
      <c r="G1494">
        <v>95</v>
      </c>
      <c r="H1494">
        <v>62</v>
      </c>
      <c r="I1494">
        <v>47</v>
      </c>
      <c r="J1494">
        <v>11</v>
      </c>
      <c r="K1494">
        <v>340</v>
      </c>
      <c r="L1494">
        <v>88.43</v>
      </c>
      <c r="M1494">
        <v>2088.7399999999998</v>
      </c>
      <c r="N1494">
        <v>74200</v>
      </c>
      <c r="O1494">
        <v>1611.82</v>
      </c>
      <c r="P1494" s="1">
        <v>-4.1000000000000002E-2</v>
      </c>
      <c r="Q1494">
        <f t="shared" si="115"/>
        <v>157</v>
      </c>
      <c r="R1494">
        <f t="shared" si="116"/>
        <v>73</v>
      </c>
      <c r="S1494" s="1">
        <f t="shared" si="117"/>
        <v>0.70063694267515919</v>
      </c>
      <c r="T1494">
        <f t="shared" si="118"/>
        <v>1.57</v>
      </c>
      <c r="U1494" t="str">
        <f t="shared" si="119"/>
        <v>Mar</v>
      </c>
    </row>
    <row r="1495" spans="1:21">
      <c r="A1495" s="2">
        <v>46076</v>
      </c>
      <c r="B1495" t="s">
        <v>4</v>
      </c>
      <c r="C1495" t="s">
        <v>44</v>
      </c>
      <c r="D1495" t="s">
        <v>7</v>
      </c>
      <c r="E1495" t="s">
        <v>47</v>
      </c>
      <c r="F1495" t="s">
        <v>33</v>
      </c>
      <c r="G1495">
        <v>73</v>
      </c>
      <c r="H1495">
        <v>77</v>
      </c>
      <c r="I1495">
        <v>24</v>
      </c>
      <c r="J1495">
        <v>64</v>
      </c>
      <c r="K1495">
        <v>420</v>
      </c>
      <c r="L1495">
        <v>109.53</v>
      </c>
      <c r="M1495">
        <v>1912.74</v>
      </c>
      <c r="N1495">
        <v>66073</v>
      </c>
      <c r="O1495">
        <v>1529.28</v>
      </c>
      <c r="P1495" s="1">
        <v>0.317</v>
      </c>
      <c r="Q1495">
        <f t="shared" si="115"/>
        <v>150</v>
      </c>
      <c r="R1495">
        <f t="shared" si="116"/>
        <v>141</v>
      </c>
      <c r="S1495" s="1">
        <f t="shared" si="117"/>
        <v>0.84</v>
      </c>
      <c r="T1495">
        <f t="shared" si="118"/>
        <v>1.5</v>
      </c>
      <c r="U1495" t="str">
        <f t="shared" si="119"/>
        <v>Feb</v>
      </c>
    </row>
    <row r="1496" spans="1:21">
      <c r="A1496" s="2">
        <v>46097</v>
      </c>
      <c r="B1496" t="s">
        <v>4</v>
      </c>
      <c r="C1496" t="s">
        <v>34</v>
      </c>
      <c r="D1496" t="s">
        <v>7</v>
      </c>
      <c r="E1496" t="s">
        <v>38</v>
      </c>
      <c r="F1496" t="s">
        <v>33</v>
      </c>
      <c r="G1496">
        <v>38</v>
      </c>
      <c r="H1496">
        <v>31</v>
      </c>
      <c r="I1496">
        <v>25</v>
      </c>
      <c r="J1496">
        <v>36</v>
      </c>
      <c r="K1496">
        <v>1</v>
      </c>
      <c r="L1496">
        <v>120.78</v>
      </c>
      <c r="M1496">
        <v>2123.23</v>
      </c>
      <c r="N1496">
        <v>70918</v>
      </c>
      <c r="O1496">
        <v>1717.28</v>
      </c>
      <c r="P1496" s="1">
        <v>-0.91100000000000003</v>
      </c>
      <c r="Q1496">
        <f t="shared" si="115"/>
        <v>69</v>
      </c>
      <c r="R1496">
        <f t="shared" si="116"/>
        <v>67</v>
      </c>
      <c r="S1496" s="1">
        <f t="shared" si="117"/>
        <v>0.6376811594202898</v>
      </c>
      <c r="T1496">
        <f t="shared" si="118"/>
        <v>0.69</v>
      </c>
      <c r="U1496" t="str">
        <f t="shared" si="119"/>
        <v>Mar</v>
      </c>
    </row>
    <row r="1497" spans="1:21">
      <c r="A1497" s="2">
        <v>46081</v>
      </c>
      <c r="B1497" t="s">
        <v>4</v>
      </c>
      <c r="C1497" t="s">
        <v>50</v>
      </c>
      <c r="D1497" t="s">
        <v>7</v>
      </c>
      <c r="E1497" t="s">
        <v>47</v>
      </c>
      <c r="F1497" t="s">
        <v>49</v>
      </c>
      <c r="G1497">
        <v>22</v>
      </c>
      <c r="H1497">
        <v>12</v>
      </c>
      <c r="I1497">
        <v>10</v>
      </c>
      <c r="J1497">
        <v>27</v>
      </c>
      <c r="K1497">
        <v>294</v>
      </c>
      <c r="L1497">
        <v>88.19</v>
      </c>
      <c r="M1497">
        <v>1923.9</v>
      </c>
      <c r="N1497">
        <v>72470</v>
      </c>
      <c r="O1497">
        <v>1097.45</v>
      </c>
      <c r="P1497" s="1">
        <v>0.127</v>
      </c>
      <c r="Q1497">
        <f t="shared" si="115"/>
        <v>34</v>
      </c>
      <c r="R1497">
        <f t="shared" si="116"/>
        <v>39</v>
      </c>
      <c r="S1497" s="1">
        <f t="shared" si="117"/>
        <v>0.70588235294117652</v>
      </c>
      <c r="T1497">
        <f t="shared" si="118"/>
        <v>0.34</v>
      </c>
      <c r="U1497" t="str">
        <f t="shared" si="119"/>
        <v>Feb</v>
      </c>
    </row>
    <row r="1498" spans="1:21">
      <c r="A1498" s="2">
        <v>46115</v>
      </c>
      <c r="B1498" t="s">
        <v>4</v>
      </c>
      <c r="C1498" t="s">
        <v>34</v>
      </c>
      <c r="D1498" t="s">
        <v>7</v>
      </c>
      <c r="E1498" t="s">
        <v>38</v>
      </c>
      <c r="F1498" t="s">
        <v>39</v>
      </c>
      <c r="G1498">
        <v>46</v>
      </c>
      <c r="H1498">
        <v>42</v>
      </c>
      <c r="I1498">
        <v>59</v>
      </c>
      <c r="J1498">
        <v>19</v>
      </c>
      <c r="K1498">
        <v>407</v>
      </c>
      <c r="L1498">
        <v>108.24</v>
      </c>
      <c r="M1498">
        <v>2365.73</v>
      </c>
      <c r="N1498">
        <v>69596</v>
      </c>
      <c r="O1498">
        <v>1162.1300000000001</v>
      </c>
      <c r="P1498" s="1">
        <v>-0.183</v>
      </c>
      <c r="Q1498">
        <f t="shared" si="115"/>
        <v>88</v>
      </c>
      <c r="R1498">
        <f t="shared" si="116"/>
        <v>61</v>
      </c>
      <c r="S1498" s="1">
        <f t="shared" si="117"/>
        <v>0.32954545454545453</v>
      </c>
      <c r="T1498">
        <f t="shared" si="118"/>
        <v>0.88</v>
      </c>
      <c r="U1498" t="str">
        <f t="shared" si="119"/>
        <v>Apr</v>
      </c>
    </row>
    <row r="1499" spans="1:21">
      <c r="A1499" s="2">
        <v>46124</v>
      </c>
      <c r="B1499" t="s">
        <v>6</v>
      </c>
      <c r="C1499" t="s">
        <v>34</v>
      </c>
      <c r="D1499" t="s">
        <v>7</v>
      </c>
      <c r="E1499" t="s">
        <v>32</v>
      </c>
      <c r="F1499" t="s">
        <v>45</v>
      </c>
      <c r="G1499">
        <v>100</v>
      </c>
      <c r="H1499">
        <v>22</v>
      </c>
      <c r="I1499">
        <v>80</v>
      </c>
      <c r="J1499">
        <v>137</v>
      </c>
      <c r="K1499">
        <v>317</v>
      </c>
      <c r="L1499">
        <v>82.26</v>
      </c>
      <c r="M1499">
        <v>2051.4699999999998</v>
      </c>
      <c r="N1499">
        <v>75841</v>
      </c>
      <c r="O1499">
        <v>1171.0899999999999</v>
      </c>
      <c r="P1499" s="1">
        <v>0.38100000000000001</v>
      </c>
      <c r="Q1499">
        <f t="shared" si="115"/>
        <v>122</v>
      </c>
      <c r="R1499">
        <f t="shared" si="116"/>
        <v>159</v>
      </c>
      <c r="S1499" s="1">
        <f t="shared" si="117"/>
        <v>0.34426229508196721</v>
      </c>
      <c r="T1499">
        <f t="shared" si="118"/>
        <v>1.22</v>
      </c>
      <c r="U1499" t="str">
        <f t="shared" si="119"/>
        <v>Apr</v>
      </c>
    </row>
    <row r="1500" spans="1:21">
      <c r="A1500" s="2">
        <v>46114</v>
      </c>
      <c r="B1500" t="s">
        <v>4</v>
      </c>
      <c r="C1500" t="s">
        <v>51</v>
      </c>
      <c r="D1500" t="s">
        <v>7</v>
      </c>
      <c r="E1500" t="s">
        <v>35</v>
      </c>
      <c r="F1500" t="s">
        <v>33</v>
      </c>
      <c r="G1500">
        <v>24</v>
      </c>
      <c r="H1500">
        <v>50</v>
      </c>
      <c r="I1500">
        <v>46</v>
      </c>
      <c r="J1500">
        <v>40</v>
      </c>
      <c r="K1500">
        <v>70</v>
      </c>
      <c r="L1500">
        <v>135.84</v>
      </c>
      <c r="M1500">
        <v>2241.64</v>
      </c>
      <c r="N1500">
        <v>67481</v>
      </c>
      <c r="O1500">
        <v>1631.9</v>
      </c>
      <c r="P1500" s="1">
        <v>0.81499999999999995</v>
      </c>
      <c r="Q1500">
        <f t="shared" si="115"/>
        <v>74</v>
      </c>
      <c r="R1500">
        <f t="shared" si="116"/>
        <v>90</v>
      </c>
      <c r="S1500" s="1">
        <f t="shared" si="117"/>
        <v>0.3783783783783784</v>
      </c>
      <c r="T1500">
        <f t="shared" si="118"/>
        <v>0.74</v>
      </c>
      <c r="U1500" t="str">
        <f t="shared" si="119"/>
        <v>Apr</v>
      </c>
    </row>
    <row r="1501" spans="1:21">
      <c r="A1501" s="2">
        <v>46116</v>
      </c>
      <c r="B1501" t="s">
        <v>4</v>
      </c>
      <c r="C1501" t="s">
        <v>34</v>
      </c>
      <c r="D1501" t="s">
        <v>9</v>
      </c>
      <c r="E1501" t="s">
        <v>47</v>
      </c>
      <c r="F1501" t="s">
        <v>39</v>
      </c>
      <c r="G1501">
        <v>53</v>
      </c>
      <c r="H1501">
        <v>20</v>
      </c>
      <c r="I1501">
        <v>33</v>
      </c>
      <c r="J1501">
        <v>45</v>
      </c>
      <c r="K1501">
        <v>288</v>
      </c>
      <c r="L1501">
        <v>88.97</v>
      </c>
      <c r="M1501">
        <v>2285.35</v>
      </c>
      <c r="N1501">
        <v>69797</v>
      </c>
      <c r="O1501">
        <v>1464.6</v>
      </c>
      <c r="P1501" s="1">
        <v>0.23</v>
      </c>
      <c r="Q1501">
        <f t="shared" si="115"/>
        <v>73</v>
      </c>
      <c r="R1501">
        <f t="shared" si="116"/>
        <v>65</v>
      </c>
      <c r="S1501" s="1">
        <f t="shared" si="117"/>
        <v>0.54794520547945202</v>
      </c>
      <c r="T1501">
        <f t="shared" si="118"/>
        <v>0.73</v>
      </c>
      <c r="U1501" t="str">
        <f t="shared" si="119"/>
        <v>Apr</v>
      </c>
    </row>
    <row r="1502" spans="1:21">
      <c r="A1502" s="2">
        <v>46107</v>
      </c>
      <c r="B1502" t="s">
        <v>6</v>
      </c>
      <c r="C1502" t="s">
        <v>40</v>
      </c>
      <c r="D1502" t="s">
        <v>5</v>
      </c>
      <c r="E1502" t="s">
        <v>35</v>
      </c>
      <c r="F1502" t="s">
        <v>45</v>
      </c>
      <c r="G1502">
        <v>43</v>
      </c>
      <c r="H1502">
        <v>5</v>
      </c>
      <c r="I1502">
        <v>47</v>
      </c>
      <c r="J1502">
        <v>53</v>
      </c>
      <c r="K1502">
        <v>177</v>
      </c>
      <c r="L1502">
        <v>85.88</v>
      </c>
      <c r="M1502">
        <v>2017.79</v>
      </c>
      <c r="N1502">
        <v>75267</v>
      </c>
      <c r="O1502">
        <v>1593.61</v>
      </c>
      <c r="P1502" s="1">
        <v>0.30299999999999999</v>
      </c>
      <c r="Q1502">
        <f t="shared" si="115"/>
        <v>48</v>
      </c>
      <c r="R1502">
        <f t="shared" si="116"/>
        <v>58</v>
      </c>
      <c r="S1502" s="1">
        <f t="shared" si="117"/>
        <v>2.0833333333333332E-2</v>
      </c>
      <c r="T1502">
        <f t="shared" si="118"/>
        <v>0.48</v>
      </c>
      <c r="U1502" t="str">
        <f t="shared" si="119"/>
        <v>Mar</v>
      </c>
    </row>
    <row r="1503" spans="1:21">
      <c r="A1503" s="2">
        <v>46111</v>
      </c>
      <c r="B1503" t="s">
        <v>6</v>
      </c>
      <c r="C1503" t="s">
        <v>51</v>
      </c>
      <c r="D1503" t="s">
        <v>5</v>
      </c>
      <c r="E1503" t="s">
        <v>37</v>
      </c>
      <c r="F1503" t="s">
        <v>45</v>
      </c>
      <c r="G1503">
        <v>68</v>
      </c>
      <c r="H1503">
        <v>38</v>
      </c>
      <c r="I1503">
        <v>26</v>
      </c>
      <c r="J1503">
        <v>18</v>
      </c>
      <c r="K1503">
        <v>194</v>
      </c>
      <c r="L1503">
        <v>87.69</v>
      </c>
      <c r="M1503">
        <v>2248.09</v>
      </c>
      <c r="N1503">
        <v>66268</v>
      </c>
      <c r="O1503">
        <v>1434.13</v>
      </c>
      <c r="P1503" s="1">
        <v>0.152</v>
      </c>
      <c r="Q1503">
        <f t="shared" si="115"/>
        <v>106</v>
      </c>
      <c r="R1503">
        <f t="shared" si="116"/>
        <v>56</v>
      </c>
      <c r="S1503" s="1">
        <f t="shared" si="117"/>
        <v>0.75471698113207553</v>
      </c>
      <c r="T1503">
        <f t="shared" si="118"/>
        <v>1.06</v>
      </c>
      <c r="U1503" t="str">
        <f t="shared" si="119"/>
        <v>Mar</v>
      </c>
    </row>
    <row r="1504" spans="1:21">
      <c r="A1504" s="2">
        <v>46116</v>
      </c>
      <c r="B1504" t="s">
        <v>6</v>
      </c>
      <c r="C1504" t="s">
        <v>36</v>
      </c>
      <c r="D1504" t="s">
        <v>11</v>
      </c>
      <c r="E1504" t="s">
        <v>42</v>
      </c>
      <c r="F1504" t="s">
        <v>49</v>
      </c>
      <c r="G1504">
        <v>103</v>
      </c>
      <c r="H1504">
        <v>79</v>
      </c>
      <c r="I1504">
        <v>70</v>
      </c>
      <c r="J1504">
        <v>144</v>
      </c>
      <c r="K1504">
        <v>280</v>
      </c>
      <c r="L1504">
        <v>96.33</v>
      </c>
      <c r="M1504">
        <v>1914.89</v>
      </c>
      <c r="N1504">
        <v>70257</v>
      </c>
      <c r="O1504">
        <v>1376.05</v>
      </c>
      <c r="P1504" s="1">
        <v>0.45100000000000001</v>
      </c>
      <c r="Q1504">
        <f t="shared" si="115"/>
        <v>182</v>
      </c>
      <c r="R1504">
        <f t="shared" si="116"/>
        <v>223</v>
      </c>
      <c r="S1504" s="1">
        <f t="shared" si="117"/>
        <v>0.61538461538461542</v>
      </c>
      <c r="T1504">
        <f t="shared" si="118"/>
        <v>1.82</v>
      </c>
      <c r="U1504" t="str">
        <f t="shared" si="119"/>
        <v>Apr</v>
      </c>
    </row>
    <row r="1505" spans="1:21">
      <c r="A1505" s="2">
        <v>46106</v>
      </c>
      <c r="B1505" t="s">
        <v>4</v>
      </c>
      <c r="C1505" t="s">
        <v>40</v>
      </c>
      <c r="D1505" t="s">
        <v>7</v>
      </c>
      <c r="E1505" t="s">
        <v>37</v>
      </c>
      <c r="F1505" t="s">
        <v>45</v>
      </c>
      <c r="G1505">
        <v>30</v>
      </c>
      <c r="H1505">
        <v>59</v>
      </c>
      <c r="I1505">
        <v>41</v>
      </c>
      <c r="J1505">
        <v>7</v>
      </c>
      <c r="K1505">
        <v>84</v>
      </c>
      <c r="L1505">
        <v>99.18</v>
      </c>
      <c r="M1505">
        <v>2238.1</v>
      </c>
      <c r="N1505">
        <v>66846</v>
      </c>
      <c r="O1505">
        <v>1619.87</v>
      </c>
      <c r="P1505" s="1">
        <v>-0.77900000000000003</v>
      </c>
      <c r="Q1505">
        <f t="shared" si="115"/>
        <v>89</v>
      </c>
      <c r="R1505">
        <f t="shared" si="116"/>
        <v>66</v>
      </c>
      <c r="S1505" s="1">
        <f t="shared" si="117"/>
        <v>0.5393258426966292</v>
      </c>
      <c r="T1505">
        <f t="shared" si="118"/>
        <v>0.89</v>
      </c>
      <c r="U1505" t="str">
        <f t="shared" si="119"/>
        <v>Mar</v>
      </c>
    </row>
    <row r="1506" spans="1:21">
      <c r="A1506" s="2">
        <v>46097</v>
      </c>
      <c r="B1506" t="s">
        <v>4</v>
      </c>
      <c r="C1506" t="s">
        <v>34</v>
      </c>
      <c r="D1506" t="s">
        <v>9</v>
      </c>
      <c r="E1506" t="s">
        <v>41</v>
      </c>
      <c r="F1506" t="s">
        <v>49</v>
      </c>
      <c r="G1506">
        <v>96</v>
      </c>
      <c r="H1506">
        <v>0</v>
      </c>
      <c r="I1506">
        <v>41</v>
      </c>
      <c r="J1506">
        <v>100</v>
      </c>
      <c r="K1506">
        <v>141</v>
      </c>
      <c r="L1506">
        <v>116.68</v>
      </c>
      <c r="M1506">
        <v>1870.41</v>
      </c>
      <c r="N1506">
        <v>75979</v>
      </c>
      <c r="O1506">
        <v>996.43</v>
      </c>
      <c r="P1506" s="1">
        <v>0.84499999999999997</v>
      </c>
      <c r="Q1506">
        <f t="shared" si="115"/>
        <v>96</v>
      </c>
      <c r="R1506">
        <f t="shared" si="116"/>
        <v>100</v>
      </c>
      <c r="S1506" s="1">
        <f t="shared" si="117"/>
        <v>0.57291666666666663</v>
      </c>
      <c r="T1506">
        <f t="shared" si="118"/>
        <v>0.96</v>
      </c>
      <c r="U1506" t="str">
        <f t="shared" si="119"/>
        <v>Mar</v>
      </c>
    </row>
    <row r="1507" spans="1:21">
      <c r="A1507" s="2">
        <v>46101</v>
      </c>
      <c r="B1507" t="s">
        <v>6</v>
      </c>
      <c r="C1507" t="s">
        <v>36</v>
      </c>
      <c r="D1507" t="s">
        <v>9</v>
      </c>
      <c r="E1507" t="s">
        <v>38</v>
      </c>
      <c r="F1507" t="s">
        <v>49</v>
      </c>
      <c r="G1507">
        <v>96</v>
      </c>
      <c r="H1507">
        <v>66</v>
      </c>
      <c r="I1507">
        <v>85</v>
      </c>
      <c r="J1507">
        <v>76</v>
      </c>
      <c r="K1507">
        <v>438</v>
      </c>
      <c r="L1507">
        <v>129.13</v>
      </c>
      <c r="M1507">
        <v>2324.34</v>
      </c>
      <c r="N1507">
        <v>72617</v>
      </c>
      <c r="O1507">
        <v>1440.71</v>
      </c>
      <c r="P1507" s="1">
        <v>-0.84299999999999997</v>
      </c>
      <c r="Q1507">
        <f t="shared" si="115"/>
        <v>162</v>
      </c>
      <c r="R1507">
        <f t="shared" si="116"/>
        <v>142</v>
      </c>
      <c r="S1507" s="1">
        <f t="shared" si="117"/>
        <v>0.47530864197530864</v>
      </c>
      <c r="T1507">
        <f t="shared" si="118"/>
        <v>1.62</v>
      </c>
      <c r="U1507" t="str">
        <f t="shared" si="119"/>
        <v>Mar</v>
      </c>
    </row>
    <row r="1508" spans="1:21">
      <c r="A1508" s="2">
        <v>46080</v>
      </c>
      <c r="B1508" t="s">
        <v>6</v>
      </c>
      <c r="C1508" t="s">
        <v>36</v>
      </c>
      <c r="D1508" t="s">
        <v>9</v>
      </c>
      <c r="E1508" t="s">
        <v>32</v>
      </c>
      <c r="F1508" t="s">
        <v>33</v>
      </c>
      <c r="G1508">
        <v>110</v>
      </c>
      <c r="H1508">
        <v>17</v>
      </c>
      <c r="I1508">
        <v>40</v>
      </c>
      <c r="J1508">
        <v>107</v>
      </c>
      <c r="K1508">
        <v>29</v>
      </c>
      <c r="L1508">
        <v>112.16</v>
      </c>
      <c r="M1508">
        <v>1995.29</v>
      </c>
      <c r="N1508">
        <v>75267</v>
      </c>
      <c r="O1508">
        <v>942.25</v>
      </c>
      <c r="P1508" s="1">
        <v>0.91</v>
      </c>
      <c r="Q1508">
        <f t="shared" si="115"/>
        <v>127</v>
      </c>
      <c r="R1508">
        <f t="shared" si="116"/>
        <v>124</v>
      </c>
      <c r="S1508" s="1">
        <f t="shared" si="117"/>
        <v>0.68503937007874016</v>
      </c>
      <c r="T1508">
        <f t="shared" si="118"/>
        <v>1.27</v>
      </c>
      <c r="U1508" t="str">
        <f t="shared" si="119"/>
        <v>Feb</v>
      </c>
    </row>
    <row r="1509" spans="1:21">
      <c r="A1509" s="2">
        <v>46125</v>
      </c>
      <c r="B1509" t="s">
        <v>6</v>
      </c>
      <c r="C1509" t="s">
        <v>51</v>
      </c>
      <c r="D1509" t="s">
        <v>5</v>
      </c>
      <c r="E1509" t="s">
        <v>32</v>
      </c>
      <c r="F1509" t="s">
        <v>49</v>
      </c>
      <c r="G1509">
        <v>21</v>
      </c>
      <c r="H1509">
        <v>10</v>
      </c>
      <c r="I1509">
        <v>51</v>
      </c>
      <c r="J1509">
        <v>44</v>
      </c>
      <c r="K1509">
        <v>300</v>
      </c>
      <c r="L1509">
        <v>96.59</v>
      </c>
      <c r="M1509">
        <v>2465.86</v>
      </c>
      <c r="N1509">
        <v>69351</v>
      </c>
      <c r="O1509">
        <v>1297.3399999999999</v>
      </c>
      <c r="P1509" s="1">
        <v>0.93200000000000005</v>
      </c>
      <c r="Q1509">
        <f t="shared" si="115"/>
        <v>31</v>
      </c>
      <c r="R1509">
        <f t="shared" si="116"/>
        <v>54</v>
      </c>
      <c r="S1509" s="1">
        <f t="shared" si="117"/>
        <v>-0.64516129032258063</v>
      </c>
      <c r="T1509">
        <f t="shared" si="118"/>
        <v>0.31</v>
      </c>
      <c r="U1509" t="str">
        <f t="shared" si="119"/>
        <v>Apr</v>
      </c>
    </row>
    <row r="1510" spans="1:21">
      <c r="A1510" s="2">
        <v>46108</v>
      </c>
      <c r="B1510" t="s">
        <v>4</v>
      </c>
      <c r="C1510" t="s">
        <v>34</v>
      </c>
      <c r="D1510" t="s">
        <v>10</v>
      </c>
      <c r="E1510" t="s">
        <v>32</v>
      </c>
      <c r="F1510" t="s">
        <v>39</v>
      </c>
      <c r="G1510">
        <v>51</v>
      </c>
      <c r="H1510">
        <v>14</v>
      </c>
      <c r="I1510">
        <v>81</v>
      </c>
      <c r="J1510">
        <v>6</v>
      </c>
      <c r="K1510">
        <v>437</v>
      </c>
      <c r="L1510">
        <v>103.92</v>
      </c>
      <c r="M1510">
        <v>1963.48</v>
      </c>
      <c r="N1510">
        <v>66435</v>
      </c>
      <c r="O1510">
        <v>995.28</v>
      </c>
      <c r="P1510" s="1">
        <v>0.496</v>
      </c>
      <c r="Q1510">
        <f t="shared" si="115"/>
        <v>65</v>
      </c>
      <c r="R1510">
        <f t="shared" si="116"/>
        <v>20</v>
      </c>
      <c r="S1510" s="1">
        <f t="shared" si="117"/>
        <v>-0.24615384615384617</v>
      </c>
      <c r="T1510">
        <f t="shared" si="118"/>
        <v>0.65</v>
      </c>
      <c r="U1510" t="str">
        <f t="shared" si="119"/>
        <v>Mar</v>
      </c>
    </row>
    <row r="1511" spans="1:21">
      <c r="A1511" s="2">
        <v>46124</v>
      </c>
      <c r="B1511" t="s">
        <v>4</v>
      </c>
      <c r="C1511" t="s">
        <v>48</v>
      </c>
      <c r="D1511" t="s">
        <v>5</v>
      </c>
      <c r="E1511" t="s">
        <v>42</v>
      </c>
      <c r="F1511" t="s">
        <v>45</v>
      </c>
      <c r="G1511">
        <v>102</v>
      </c>
      <c r="H1511">
        <v>28</v>
      </c>
      <c r="I1511">
        <v>3</v>
      </c>
      <c r="J1511">
        <v>132</v>
      </c>
      <c r="K1511">
        <v>399</v>
      </c>
      <c r="L1511">
        <v>97.47</v>
      </c>
      <c r="M1511">
        <v>1930.22</v>
      </c>
      <c r="N1511">
        <v>67252</v>
      </c>
      <c r="O1511">
        <v>1606.31</v>
      </c>
      <c r="P1511" s="1">
        <v>-0.86499999999999999</v>
      </c>
      <c r="Q1511">
        <f t="shared" si="115"/>
        <v>130</v>
      </c>
      <c r="R1511">
        <f t="shared" si="116"/>
        <v>160</v>
      </c>
      <c r="S1511" s="1">
        <f t="shared" si="117"/>
        <v>0.97692307692307689</v>
      </c>
      <c r="T1511">
        <f t="shared" si="118"/>
        <v>1.3</v>
      </c>
      <c r="U1511" t="str">
        <f t="shared" si="119"/>
        <v>Apr</v>
      </c>
    </row>
    <row r="1512" spans="1:21">
      <c r="A1512" s="2">
        <v>46079</v>
      </c>
      <c r="B1512" t="s">
        <v>4</v>
      </c>
      <c r="C1512" t="s">
        <v>44</v>
      </c>
      <c r="D1512" t="s">
        <v>7</v>
      </c>
      <c r="E1512" t="s">
        <v>32</v>
      </c>
      <c r="F1512" t="s">
        <v>33</v>
      </c>
      <c r="G1512">
        <v>106</v>
      </c>
      <c r="H1512">
        <v>23</v>
      </c>
      <c r="I1512">
        <v>29</v>
      </c>
      <c r="J1512">
        <v>96</v>
      </c>
      <c r="K1512">
        <v>51</v>
      </c>
      <c r="L1512">
        <v>85.47</v>
      </c>
      <c r="M1512">
        <v>2369.17</v>
      </c>
      <c r="N1512">
        <v>72639</v>
      </c>
      <c r="O1512">
        <v>1266.53</v>
      </c>
      <c r="P1512" s="1">
        <v>0.71599999999999997</v>
      </c>
      <c r="Q1512">
        <f t="shared" si="115"/>
        <v>129</v>
      </c>
      <c r="R1512">
        <f t="shared" si="116"/>
        <v>119</v>
      </c>
      <c r="S1512" s="1">
        <f t="shared" si="117"/>
        <v>0.77519379844961245</v>
      </c>
      <c r="T1512">
        <f t="shared" si="118"/>
        <v>1.29</v>
      </c>
      <c r="U1512" t="str">
        <f t="shared" si="119"/>
        <v>Feb</v>
      </c>
    </row>
    <row r="1513" spans="1:21">
      <c r="A1513" s="2">
        <v>46069</v>
      </c>
      <c r="B1513" t="s">
        <v>4</v>
      </c>
      <c r="C1513" t="s">
        <v>51</v>
      </c>
      <c r="D1513" t="s">
        <v>5</v>
      </c>
      <c r="E1513" t="s">
        <v>42</v>
      </c>
      <c r="F1513" t="s">
        <v>45</v>
      </c>
      <c r="G1513">
        <v>84</v>
      </c>
      <c r="H1513">
        <v>16</v>
      </c>
      <c r="I1513">
        <v>47</v>
      </c>
      <c r="J1513">
        <v>77</v>
      </c>
      <c r="K1513">
        <v>230</v>
      </c>
      <c r="L1513">
        <v>127.16</v>
      </c>
      <c r="M1513">
        <v>1906.76</v>
      </c>
      <c r="N1513">
        <v>72495</v>
      </c>
      <c r="O1513">
        <v>1645.6</v>
      </c>
      <c r="P1513" s="1">
        <v>0.56799999999999995</v>
      </c>
      <c r="Q1513">
        <f t="shared" si="115"/>
        <v>100</v>
      </c>
      <c r="R1513">
        <f t="shared" si="116"/>
        <v>93</v>
      </c>
      <c r="S1513" s="1">
        <f t="shared" si="117"/>
        <v>0.53</v>
      </c>
      <c r="T1513">
        <f t="shared" si="118"/>
        <v>1</v>
      </c>
      <c r="U1513" t="str">
        <f t="shared" si="119"/>
        <v>Feb</v>
      </c>
    </row>
    <row r="1514" spans="1:21">
      <c r="A1514" s="2">
        <v>46089</v>
      </c>
      <c r="B1514" t="s">
        <v>6</v>
      </c>
      <c r="C1514" t="s">
        <v>44</v>
      </c>
      <c r="D1514" t="s">
        <v>11</v>
      </c>
      <c r="E1514" t="s">
        <v>32</v>
      </c>
      <c r="F1514" t="s">
        <v>49</v>
      </c>
      <c r="G1514">
        <v>62</v>
      </c>
      <c r="H1514">
        <v>29</v>
      </c>
      <c r="I1514">
        <v>7</v>
      </c>
      <c r="J1514">
        <v>105</v>
      </c>
      <c r="K1514">
        <v>367</v>
      </c>
      <c r="L1514">
        <v>109.01</v>
      </c>
      <c r="M1514">
        <v>2061.96</v>
      </c>
      <c r="N1514">
        <v>68758</v>
      </c>
      <c r="O1514">
        <v>1713.87</v>
      </c>
      <c r="P1514" s="1">
        <v>0.318</v>
      </c>
      <c r="Q1514">
        <f t="shared" si="115"/>
        <v>91</v>
      </c>
      <c r="R1514">
        <f t="shared" si="116"/>
        <v>134</v>
      </c>
      <c r="S1514" s="1">
        <f t="shared" si="117"/>
        <v>0.92307692307692313</v>
      </c>
      <c r="T1514">
        <f t="shared" si="118"/>
        <v>0.91</v>
      </c>
      <c r="U1514" t="str">
        <f t="shared" si="119"/>
        <v>Mar</v>
      </c>
    </row>
    <row r="1515" spans="1:21">
      <c r="A1515" s="2">
        <v>46095</v>
      </c>
      <c r="B1515" t="s">
        <v>6</v>
      </c>
      <c r="C1515" t="s">
        <v>36</v>
      </c>
      <c r="D1515" t="s">
        <v>7</v>
      </c>
      <c r="E1515" t="s">
        <v>41</v>
      </c>
      <c r="F1515" t="s">
        <v>45</v>
      </c>
      <c r="G1515">
        <v>17</v>
      </c>
      <c r="H1515">
        <v>14</v>
      </c>
      <c r="I1515">
        <v>17</v>
      </c>
      <c r="J1515">
        <v>21</v>
      </c>
      <c r="K1515">
        <v>35</v>
      </c>
      <c r="L1515">
        <v>125.42</v>
      </c>
      <c r="M1515">
        <v>2062.7399999999998</v>
      </c>
      <c r="N1515">
        <v>65794</v>
      </c>
      <c r="O1515">
        <v>958.27</v>
      </c>
      <c r="P1515" s="1">
        <v>-0.84499999999999997</v>
      </c>
      <c r="Q1515">
        <f t="shared" si="115"/>
        <v>31</v>
      </c>
      <c r="R1515">
        <f t="shared" si="116"/>
        <v>35</v>
      </c>
      <c r="S1515" s="1">
        <f t="shared" si="117"/>
        <v>0.45161290322580644</v>
      </c>
      <c r="T1515">
        <f t="shared" si="118"/>
        <v>0.31</v>
      </c>
      <c r="U1515" t="str">
        <f t="shared" si="119"/>
        <v>Mar</v>
      </c>
    </row>
    <row r="1516" spans="1:21">
      <c r="A1516" s="2">
        <v>46109</v>
      </c>
      <c r="B1516" t="s">
        <v>4</v>
      </c>
      <c r="C1516" t="s">
        <v>34</v>
      </c>
      <c r="D1516" t="s">
        <v>11</v>
      </c>
      <c r="E1516" t="s">
        <v>42</v>
      </c>
      <c r="F1516" t="s">
        <v>49</v>
      </c>
      <c r="G1516">
        <v>90</v>
      </c>
      <c r="H1516">
        <v>8</v>
      </c>
      <c r="I1516">
        <v>50</v>
      </c>
      <c r="J1516">
        <v>75</v>
      </c>
      <c r="K1516">
        <v>278</v>
      </c>
      <c r="L1516">
        <v>97.69</v>
      </c>
      <c r="M1516">
        <v>2498.34</v>
      </c>
      <c r="N1516">
        <v>65793</v>
      </c>
      <c r="O1516">
        <v>1353.55</v>
      </c>
      <c r="P1516" s="1">
        <v>0.94799999999999995</v>
      </c>
      <c r="Q1516">
        <f t="shared" si="115"/>
        <v>98</v>
      </c>
      <c r="R1516">
        <f t="shared" si="116"/>
        <v>83</v>
      </c>
      <c r="S1516" s="1">
        <f t="shared" si="117"/>
        <v>0.48979591836734693</v>
      </c>
      <c r="T1516">
        <f t="shared" si="118"/>
        <v>0.98</v>
      </c>
      <c r="U1516" t="str">
        <f t="shared" si="119"/>
        <v>Mar</v>
      </c>
    </row>
    <row r="1517" spans="1:21">
      <c r="A1517" s="2">
        <v>46096</v>
      </c>
      <c r="B1517" t="s">
        <v>6</v>
      </c>
      <c r="C1517" t="s">
        <v>44</v>
      </c>
      <c r="D1517" t="s">
        <v>7</v>
      </c>
      <c r="E1517" t="s">
        <v>38</v>
      </c>
      <c r="F1517" t="s">
        <v>39</v>
      </c>
      <c r="G1517">
        <v>2</v>
      </c>
      <c r="H1517">
        <v>4</v>
      </c>
      <c r="I1517">
        <v>8</v>
      </c>
      <c r="J1517">
        <v>148</v>
      </c>
      <c r="K1517">
        <v>144</v>
      </c>
      <c r="L1517">
        <v>94.51</v>
      </c>
      <c r="M1517">
        <v>2032.33</v>
      </c>
      <c r="N1517">
        <v>66870</v>
      </c>
      <c r="O1517">
        <v>1758.56</v>
      </c>
      <c r="P1517" s="1">
        <v>0.37</v>
      </c>
      <c r="Q1517">
        <f t="shared" si="115"/>
        <v>6</v>
      </c>
      <c r="R1517">
        <f t="shared" si="116"/>
        <v>152</v>
      </c>
      <c r="S1517" s="1">
        <f t="shared" si="117"/>
        <v>-0.33333333333333331</v>
      </c>
      <c r="T1517">
        <f t="shared" si="118"/>
        <v>0.06</v>
      </c>
      <c r="U1517" t="str">
        <f t="shared" si="119"/>
        <v>Mar</v>
      </c>
    </row>
    <row r="1518" spans="1:21">
      <c r="A1518" s="2">
        <v>46101</v>
      </c>
      <c r="B1518" t="s">
        <v>6</v>
      </c>
      <c r="C1518" t="s">
        <v>48</v>
      </c>
      <c r="D1518" t="s">
        <v>9</v>
      </c>
      <c r="E1518" t="s">
        <v>37</v>
      </c>
      <c r="F1518" t="s">
        <v>33</v>
      </c>
      <c r="G1518">
        <v>38</v>
      </c>
      <c r="H1518">
        <v>75</v>
      </c>
      <c r="I1518">
        <v>5</v>
      </c>
      <c r="J1518">
        <v>88</v>
      </c>
      <c r="K1518">
        <v>259</v>
      </c>
      <c r="L1518">
        <v>131.72999999999999</v>
      </c>
      <c r="M1518">
        <v>2078.2600000000002</v>
      </c>
      <c r="N1518">
        <v>67042</v>
      </c>
      <c r="O1518">
        <v>1304.68</v>
      </c>
      <c r="P1518" s="1">
        <v>-0.20200000000000001</v>
      </c>
      <c r="Q1518">
        <f t="shared" si="115"/>
        <v>113</v>
      </c>
      <c r="R1518">
        <f t="shared" si="116"/>
        <v>163</v>
      </c>
      <c r="S1518" s="1">
        <f t="shared" si="117"/>
        <v>0.95575221238938057</v>
      </c>
      <c r="T1518">
        <f t="shared" si="118"/>
        <v>1.1299999999999999</v>
      </c>
      <c r="U1518" t="str">
        <f t="shared" si="119"/>
        <v>Mar</v>
      </c>
    </row>
    <row r="1519" spans="1:21">
      <c r="A1519" s="2">
        <v>46069</v>
      </c>
      <c r="B1519" t="s">
        <v>4</v>
      </c>
      <c r="C1519" t="s">
        <v>31</v>
      </c>
      <c r="D1519" t="s">
        <v>9</v>
      </c>
      <c r="E1519" t="s">
        <v>32</v>
      </c>
      <c r="F1519" t="s">
        <v>33</v>
      </c>
      <c r="G1519">
        <v>8</v>
      </c>
      <c r="H1519">
        <v>17</v>
      </c>
      <c r="I1519">
        <v>75</v>
      </c>
      <c r="J1519">
        <v>88</v>
      </c>
      <c r="K1519">
        <v>127</v>
      </c>
      <c r="L1519">
        <v>112.89</v>
      </c>
      <c r="M1519">
        <v>2494.9899999999998</v>
      </c>
      <c r="N1519">
        <v>72664</v>
      </c>
      <c r="O1519">
        <v>1641.89</v>
      </c>
      <c r="P1519" s="1">
        <v>-0.41399999999999998</v>
      </c>
      <c r="Q1519">
        <f t="shared" si="115"/>
        <v>25</v>
      </c>
      <c r="R1519">
        <f t="shared" si="116"/>
        <v>105</v>
      </c>
      <c r="S1519" s="1">
        <f t="shared" si="117"/>
        <v>-2</v>
      </c>
      <c r="T1519">
        <f t="shared" si="118"/>
        <v>0.25</v>
      </c>
      <c r="U1519" t="str">
        <f t="shared" si="119"/>
        <v>Feb</v>
      </c>
    </row>
    <row r="1520" spans="1:21">
      <c r="A1520" s="2">
        <v>46080</v>
      </c>
      <c r="B1520" t="s">
        <v>6</v>
      </c>
      <c r="C1520" t="s">
        <v>48</v>
      </c>
      <c r="D1520" t="s">
        <v>7</v>
      </c>
      <c r="E1520" t="s">
        <v>35</v>
      </c>
      <c r="F1520" t="s">
        <v>39</v>
      </c>
      <c r="G1520">
        <v>14</v>
      </c>
      <c r="H1520">
        <v>7</v>
      </c>
      <c r="I1520">
        <v>74</v>
      </c>
      <c r="J1520">
        <v>56</v>
      </c>
      <c r="K1520">
        <v>26</v>
      </c>
      <c r="L1520">
        <v>139.16</v>
      </c>
      <c r="M1520">
        <v>2179.4299999999998</v>
      </c>
      <c r="N1520">
        <v>73000</v>
      </c>
      <c r="O1520">
        <v>1429.32</v>
      </c>
      <c r="P1520" s="1">
        <v>0.70099999999999996</v>
      </c>
      <c r="Q1520">
        <f t="shared" si="115"/>
        <v>21</v>
      </c>
      <c r="R1520">
        <f t="shared" si="116"/>
        <v>63</v>
      </c>
      <c r="S1520" s="1">
        <f t="shared" si="117"/>
        <v>-2.5238095238095237</v>
      </c>
      <c r="T1520">
        <f t="shared" si="118"/>
        <v>0.21</v>
      </c>
      <c r="U1520" t="str">
        <f t="shared" si="119"/>
        <v>Feb</v>
      </c>
    </row>
    <row r="1521" spans="1:21">
      <c r="A1521" s="2">
        <v>46093</v>
      </c>
      <c r="B1521" t="s">
        <v>6</v>
      </c>
      <c r="C1521" t="s">
        <v>43</v>
      </c>
      <c r="D1521" t="s">
        <v>10</v>
      </c>
      <c r="E1521" t="s">
        <v>37</v>
      </c>
      <c r="F1521" t="s">
        <v>49</v>
      </c>
      <c r="G1521">
        <v>30</v>
      </c>
      <c r="H1521">
        <v>28</v>
      </c>
      <c r="I1521">
        <v>18</v>
      </c>
      <c r="J1521">
        <v>23</v>
      </c>
      <c r="K1521">
        <v>346</v>
      </c>
      <c r="L1521">
        <v>126.95</v>
      </c>
      <c r="M1521">
        <v>2111.86</v>
      </c>
      <c r="N1521">
        <v>73900</v>
      </c>
      <c r="O1521">
        <v>1312.34</v>
      </c>
      <c r="P1521" s="1">
        <v>0.57799999999999996</v>
      </c>
      <c r="Q1521">
        <f t="shared" si="115"/>
        <v>58</v>
      </c>
      <c r="R1521">
        <f t="shared" si="116"/>
        <v>51</v>
      </c>
      <c r="S1521" s="1">
        <f t="shared" si="117"/>
        <v>0.68965517241379315</v>
      </c>
      <c r="T1521">
        <f t="shared" si="118"/>
        <v>0.57999999999999996</v>
      </c>
      <c r="U1521" t="str">
        <f t="shared" si="119"/>
        <v>Mar</v>
      </c>
    </row>
    <row r="1522" spans="1:21">
      <c r="A1522" s="2">
        <v>46074</v>
      </c>
      <c r="B1522" t="s">
        <v>6</v>
      </c>
      <c r="C1522" t="s">
        <v>44</v>
      </c>
      <c r="D1522" t="s">
        <v>9</v>
      </c>
      <c r="E1522" t="s">
        <v>42</v>
      </c>
      <c r="F1522" t="s">
        <v>45</v>
      </c>
      <c r="G1522">
        <v>115</v>
      </c>
      <c r="H1522">
        <v>58</v>
      </c>
      <c r="I1522">
        <v>34</v>
      </c>
      <c r="J1522">
        <v>109</v>
      </c>
      <c r="K1522">
        <v>303</v>
      </c>
      <c r="L1522">
        <v>118.36</v>
      </c>
      <c r="M1522">
        <v>2334.46</v>
      </c>
      <c r="N1522">
        <v>74612</v>
      </c>
      <c r="O1522">
        <v>1022.35</v>
      </c>
      <c r="P1522" s="1">
        <v>-0.72199999999999998</v>
      </c>
      <c r="Q1522">
        <f t="shared" si="115"/>
        <v>173</v>
      </c>
      <c r="R1522">
        <f t="shared" si="116"/>
        <v>167</v>
      </c>
      <c r="S1522" s="1">
        <f t="shared" si="117"/>
        <v>0.80346820809248554</v>
      </c>
      <c r="T1522">
        <f t="shared" si="118"/>
        <v>1.73</v>
      </c>
      <c r="U1522" t="str">
        <f t="shared" si="119"/>
        <v>Feb</v>
      </c>
    </row>
    <row r="1523" spans="1:21">
      <c r="A1523" s="2">
        <v>46115</v>
      </c>
      <c r="B1523" t="s">
        <v>6</v>
      </c>
      <c r="C1523" t="s">
        <v>44</v>
      </c>
      <c r="D1523" t="s">
        <v>5</v>
      </c>
      <c r="E1523" t="s">
        <v>42</v>
      </c>
      <c r="F1523" t="s">
        <v>33</v>
      </c>
      <c r="G1523">
        <v>93</v>
      </c>
      <c r="H1523">
        <v>68</v>
      </c>
      <c r="I1523">
        <v>35</v>
      </c>
      <c r="J1523">
        <v>5</v>
      </c>
      <c r="K1523">
        <v>338</v>
      </c>
      <c r="L1523">
        <v>94.31</v>
      </c>
      <c r="M1523">
        <v>2293.29</v>
      </c>
      <c r="N1523">
        <v>64292</v>
      </c>
      <c r="O1523">
        <v>1099.6099999999999</v>
      </c>
      <c r="P1523" s="1">
        <v>0.73299999999999998</v>
      </c>
      <c r="Q1523">
        <f t="shared" si="115"/>
        <v>161</v>
      </c>
      <c r="R1523">
        <f t="shared" si="116"/>
        <v>73</v>
      </c>
      <c r="S1523" s="1">
        <f t="shared" si="117"/>
        <v>0.78260869565217395</v>
      </c>
      <c r="T1523">
        <f t="shared" si="118"/>
        <v>1.61</v>
      </c>
      <c r="U1523" t="str">
        <f t="shared" si="119"/>
        <v>Apr</v>
      </c>
    </row>
    <row r="1524" spans="1:21">
      <c r="A1524" s="2">
        <v>46103</v>
      </c>
      <c r="B1524" t="s">
        <v>6</v>
      </c>
      <c r="C1524" t="s">
        <v>44</v>
      </c>
      <c r="D1524" t="s">
        <v>9</v>
      </c>
      <c r="E1524" t="s">
        <v>37</v>
      </c>
      <c r="F1524" t="s">
        <v>49</v>
      </c>
      <c r="G1524">
        <v>88</v>
      </c>
      <c r="H1524">
        <v>34</v>
      </c>
      <c r="I1524">
        <v>17</v>
      </c>
      <c r="J1524">
        <v>58</v>
      </c>
      <c r="K1524">
        <v>150</v>
      </c>
      <c r="L1524">
        <v>82.35</v>
      </c>
      <c r="M1524">
        <v>2312.61</v>
      </c>
      <c r="N1524">
        <v>70318</v>
      </c>
      <c r="O1524">
        <v>1195.1300000000001</v>
      </c>
      <c r="P1524" s="1">
        <v>0.24099999999999999</v>
      </c>
      <c r="Q1524">
        <f t="shared" si="115"/>
        <v>122</v>
      </c>
      <c r="R1524">
        <f t="shared" si="116"/>
        <v>92</v>
      </c>
      <c r="S1524" s="1">
        <f t="shared" si="117"/>
        <v>0.86065573770491799</v>
      </c>
      <c r="T1524">
        <f t="shared" si="118"/>
        <v>1.22</v>
      </c>
      <c r="U1524" t="str">
        <f t="shared" si="119"/>
        <v>Mar</v>
      </c>
    </row>
    <row r="1525" spans="1:21">
      <c r="A1525" s="2">
        <v>46127</v>
      </c>
      <c r="B1525" t="s">
        <v>4</v>
      </c>
      <c r="C1525" t="s">
        <v>51</v>
      </c>
      <c r="D1525" t="s">
        <v>9</v>
      </c>
      <c r="E1525" t="s">
        <v>47</v>
      </c>
      <c r="F1525" t="s">
        <v>33</v>
      </c>
      <c r="G1525">
        <v>90</v>
      </c>
      <c r="H1525">
        <v>9</v>
      </c>
      <c r="I1525">
        <v>14</v>
      </c>
      <c r="J1525">
        <v>15</v>
      </c>
      <c r="K1525">
        <v>53</v>
      </c>
      <c r="L1525">
        <v>121.41</v>
      </c>
      <c r="M1525">
        <v>2037.81</v>
      </c>
      <c r="N1525">
        <v>66012</v>
      </c>
      <c r="O1525">
        <v>1594.61</v>
      </c>
      <c r="P1525" s="1">
        <v>0.47199999999999998</v>
      </c>
      <c r="Q1525">
        <f t="shared" si="115"/>
        <v>99</v>
      </c>
      <c r="R1525">
        <f t="shared" si="116"/>
        <v>24</v>
      </c>
      <c r="S1525" s="1">
        <f t="shared" si="117"/>
        <v>0.85858585858585856</v>
      </c>
      <c r="T1525">
        <f t="shared" si="118"/>
        <v>0.99</v>
      </c>
      <c r="U1525" t="str">
        <f t="shared" si="119"/>
        <v>Apr</v>
      </c>
    </row>
    <row r="1526" spans="1:21">
      <c r="A1526" s="2">
        <v>46078</v>
      </c>
      <c r="B1526" t="s">
        <v>6</v>
      </c>
      <c r="C1526" t="s">
        <v>50</v>
      </c>
      <c r="D1526" t="s">
        <v>11</v>
      </c>
      <c r="E1526" t="s">
        <v>37</v>
      </c>
      <c r="F1526" t="s">
        <v>39</v>
      </c>
      <c r="G1526">
        <v>46</v>
      </c>
      <c r="H1526">
        <v>26</v>
      </c>
      <c r="I1526">
        <v>57</v>
      </c>
      <c r="J1526">
        <v>135</v>
      </c>
      <c r="K1526">
        <v>320</v>
      </c>
      <c r="L1526">
        <v>111.2</v>
      </c>
      <c r="M1526">
        <v>2181.2800000000002</v>
      </c>
      <c r="N1526">
        <v>75752</v>
      </c>
      <c r="O1526">
        <v>1733.27</v>
      </c>
      <c r="P1526" s="1">
        <v>0.504</v>
      </c>
      <c r="Q1526">
        <f t="shared" si="115"/>
        <v>72</v>
      </c>
      <c r="R1526">
        <f t="shared" si="116"/>
        <v>161</v>
      </c>
      <c r="S1526" s="1">
        <f t="shared" si="117"/>
        <v>0.20833333333333334</v>
      </c>
      <c r="T1526">
        <f t="shared" si="118"/>
        <v>0.72</v>
      </c>
      <c r="U1526" t="str">
        <f t="shared" si="119"/>
        <v>Feb</v>
      </c>
    </row>
    <row r="1527" spans="1:21">
      <c r="A1527" s="2">
        <v>46122</v>
      </c>
      <c r="B1527" t="s">
        <v>6</v>
      </c>
      <c r="C1527" t="s">
        <v>51</v>
      </c>
      <c r="D1527" t="s">
        <v>11</v>
      </c>
      <c r="E1527" t="s">
        <v>37</v>
      </c>
      <c r="F1527" t="s">
        <v>39</v>
      </c>
      <c r="G1527">
        <v>48</v>
      </c>
      <c r="H1527">
        <v>29</v>
      </c>
      <c r="I1527">
        <v>32</v>
      </c>
      <c r="J1527">
        <v>72</v>
      </c>
      <c r="K1527">
        <v>277</v>
      </c>
      <c r="L1527">
        <v>109.84</v>
      </c>
      <c r="M1527">
        <v>1838.3</v>
      </c>
      <c r="N1527">
        <v>66064</v>
      </c>
      <c r="O1527">
        <v>1271.04</v>
      </c>
      <c r="P1527" s="1">
        <v>-0.36099999999999999</v>
      </c>
      <c r="Q1527">
        <f t="shared" si="115"/>
        <v>77</v>
      </c>
      <c r="R1527">
        <f t="shared" si="116"/>
        <v>101</v>
      </c>
      <c r="S1527" s="1">
        <f t="shared" si="117"/>
        <v>0.58441558441558439</v>
      </c>
      <c r="T1527">
        <f t="shared" si="118"/>
        <v>0.77</v>
      </c>
      <c r="U1527" t="str">
        <f t="shared" si="119"/>
        <v>Apr</v>
      </c>
    </row>
    <row r="1528" spans="1:21">
      <c r="A1528" s="2">
        <v>46113</v>
      </c>
      <c r="B1528" t="s">
        <v>4</v>
      </c>
      <c r="C1528" t="s">
        <v>40</v>
      </c>
      <c r="D1528" t="s">
        <v>5</v>
      </c>
      <c r="E1528" t="s">
        <v>35</v>
      </c>
      <c r="F1528" t="s">
        <v>45</v>
      </c>
      <c r="G1528">
        <v>6</v>
      </c>
      <c r="H1528">
        <v>27</v>
      </c>
      <c r="I1528">
        <v>63</v>
      </c>
      <c r="J1528">
        <v>58</v>
      </c>
      <c r="K1528">
        <v>332</v>
      </c>
      <c r="L1528">
        <v>102.56</v>
      </c>
      <c r="M1528">
        <v>2435.73</v>
      </c>
      <c r="N1528">
        <v>69512</v>
      </c>
      <c r="O1528">
        <v>1670.14</v>
      </c>
      <c r="P1528" s="1">
        <v>0.42899999999999999</v>
      </c>
      <c r="Q1528">
        <f t="shared" si="115"/>
        <v>33</v>
      </c>
      <c r="R1528">
        <f t="shared" si="116"/>
        <v>85</v>
      </c>
      <c r="S1528" s="1">
        <f t="shared" si="117"/>
        <v>-0.90909090909090906</v>
      </c>
      <c r="T1528">
        <f t="shared" si="118"/>
        <v>0.33</v>
      </c>
      <c r="U1528" t="str">
        <f t="shared" si="119"/>
        <v>Apr</v>
      </c>
    </row>
    <row r="1529" spans="1:21">
      <c r="A1529" s="2">
        <v>46093</v>
      </c>
      <c r="B1529" t="s">
        <v>6</v>
      </c>
      <c r="C1529" t="s">
        <v>31</v>
      </c>
      <c r="D1529" t="s">
        <v>5</v>
      </c>
      <c r="E1529" t="s">
        <v>37</v>
      </c>
      <c r="F1529" t="s">
        <v>49</v>
      </c>
      <c r="G1529">
        <v>1</v>
      </c>
      <c r="H1529">
        <v>62</v>
      </c>
      <c r="I1529">
        <v>50</v>
      </c>
      <c r="J1529">
        <v>77</v>
      </c>
      <c r="K1529">
        <v>135</v>
      </c>
      <c r="L1529">
        <v>108.05</v>
      </c>
      <c r="M1529">
        <v>2160.25</v>
      </c>
      <c r="N1529">
        <v>74168</v>
      </c>
      <c r="O1529">
        <v>1123.56</v>
      </c>
      <c r="P1529" s="1">
        <v>-0.22</v>
      </c>
      <c r="Q1529">
        <f t="shared" si="115"/>
        <v>63</v>
      </c>
      <c r="R1529">
        <f t="shared" si="116"/>
        <v>139</v>
      </c>
      <c r="S1529" s="1">
        <f t="shared" si="117"/>
        <v>0.20634920634920634</v>
      </c>
      <c r="T1529">
        <f t="shared" si="118"/>
        <v>0.63</v>
      </c>
      <c r="U1529" t="str">
        <f t="shared" si="119"/>
        <v>Mar</v>
      </c>
    </row>
    <row r="1530" spans="1:21">
      <c r="A1530" s="2">
        <v>46087</v>
      </c>
      <c r="B1530" t="s">
        <v>4</v>
      </c>
      <c r="C1530" t="s">
        <v>31</v>
      </c>
      <c r="D1530" t="s">
        <v>5</v>
      </c>
      <c r="E1530" t="s">
        <v>35</v>
      </c>
      <c r="F1530" t="s">
        <v>45</v>
      </c>
      <c r="G1530">
        <v>43</v>
      </c>
      <c r="H1530">
        <v>47</v>
      </c>
      <c r="I1530">
        <v>2</v>
      </c>
      <c r="J1530">
        <v>69</v>
      </c>
      <c r="K1530">
        <v>249</v>
      </c>
      <c r="L1530">
        <v>135.52000000000001</v>
      </c>
      <c r="M1530">
        <v>2035.38</v>
      </c>
      <c r="N1530">
        <v>75803</v>
      </c>
      <c r="O1530">
        <v>1104.81</v>
      </c>
      <c r="P1530" s="1">
        <v>0.438</v>
      </c>
      <c r="Q1530">
        <f t="shared" si="115"/>
        <v>90</v>
      </c>
      <c r="R1530">
        <f t="shared" si="116"/>
        <v>116</v>
      </c>
      <c r="S1530" s="1">
        <f t="shared" si="117"/>
        <v>0.97777777777777775</v>
      </c>
      <c r="T1530">
        <f t="shared" si="118"/>
        <v>0.9</v>
      </c>
      <c r="U1530" t="str">
        <f t="shared" si="119"/>
        <v>Mar</v>
      </c>
    </row>
    <row r="1531" spans="1:21">
      <c r="A1531" s="2">
        <v>46090</v>
      </c>
      <c r="B1531" t="s">
        <v>4</v>
      </c>
      <c r="C1531" t="s">
        <v>40</v>
      </c>
      <c r="D1531" t="s">
        <v>10</v>
      </c>
      <c r="E1531" t="s">
        <v>38</v>
      </c>
      <c r="F1531" t="s">
        <v>33</v>
      </c>
      <c r="G1531">
        <v>85</v>
      </c>
      <c r="H1531">
        <v>23</v>
      </c>
      <c r="I1531">
        <v>37</v>
      </c>
      <c r="J1531">
        <v>51</v>
      </c>
      <c r="K1531">
        <v>332</v>
      </c>
      <c r="L1531">
        <v>134.68</v>
      </c>
      <c r="M1531">
        <v>1834.2</v>
      </c>
      <c r="N1531">
        <v>70164</v>
      </c>
      <c r="O1531">
        <v>1105.8499999999999</v>
      </c>
      <c r="P1531" s="1">
        <v>-0.29899999999999999</v>
      </c>
      <c r="Q1531">
        <f t="shared" si="115"/>
        <v>108</v>
      </c>
      <c r="R1531">
        <f t="shared" si="116"/>
        <v>74</v>
      </c>
      <c r="S1531" s="1">
        <f t="shared" si="117"/>
        <v>0.65740740740740744</v>
      </c>
      <c r="T1531">
        <f t="shared" si="118"/>
        <v>1.08</v>
      </c>
      <c r="U1531" t="str">
        <f t="shared" si="119"/>
        <v>Mar</v>
      </c>
    </row>
    <row r="1532" spans="1:21">
      <c r="A1532" s="2">
        <v>46085</v>
      </c>
      <c r="B1532" t="s">
        <v>4</v>
      </c>
      <c r="C1532" t="s">
        <v>34</v>
      </c>
      <c r="D1532" t="s">
        <v>9</v>
      </c>
      <c r="E1532" t="s">
        <v>42</v>
      </c>
      <c r="F1532" t="s">
        <v>45</v>
      </c>
      <c r="G1532">
        <v>72</v>
      </c>
      <c r="H1532">
        <v>77</v>
      </c>
      <c r="I1532">
        <v>40</v>
      </c>
      <c r="J1532">
        <v>102</v>
      </c>
      <c r="K1532">
        <v>363</v>
      </c>
      <c r="L1532">
        <v>139.28</v>
      </c>
      <c r="M1532">
        <v>1995.78</v>
      </c>
      <c r="N1532">
        <v>67050</v>
      </c>
      <c r="O1532">
        <v>1490.96</v>
      </c>
      <c r="P1532" s="1">
        <v>-0.39400000000000002</v>
      </c>
      <c r="Q1532">
        <f t="shared" si="115"/>
        <v>149</v>
      </c>
      <c r="R1532">
        <f t="shared" si="116"/>
        <v>179</v>
      </c>
      <c r="S1532" s="1">
        <f t="shared" si="117"/>
        <v>0.73154362416107388</v>
      </c>
      <c r="T1532">
        <f t="shared" si="118"/>
        <v>1.49</v>
      </c>
      <c r="U1532" t="str">
        <f t="shared" si="119"/>
        <v>Mar</v>
      </c>
    </row>
    <row r="1533" spans="1:21">
      <c r="A1533" s="2">
        <v>46116</v>
      </c>
      <c r="B1533" t="s">
        <v>4</v>
      </c>
      <c r="C1533" t="s">
        <v>36</v>
      </c>
      <c r="D1533" t="s">
        <v>11</v>
      </c>
      <c r="E1533" t="s">
        <v>41</v>
      </c>
      <c r="F1533" t="s">
        <v>33</v>
      </c>
      <c r="G1533">
        <v>88</v>
      </c>
      <c r="H1533">
        <v>5</v>
      </c>
      <c r="I1533">
        <v>81</v>
      </c>
      <c r="J1533">
        <v>91</v>
      </c>
      <c r="K1533">
        <v>185</v>
      </c>
      <c r="L1533">
        <v>102.04</v>
      </c>
      <c r="M1533">
        <v>2196.35</v>
      </c>
      <c r="N1533">
        <v>68889</v>
      </c>
      <c r="O1533">
        <v>1594.75</v>
      </c>
      <c r="P1533" s="1">
        <v>-0.33300000000000002</v>
      </c>
      <c r="Q1533">
        <f t="shared" si="115"/>
        <v>93</v>
      </c>
      <c r="R1533">
        <f t="shared" si="116"/>
        <v>96</v>
      </c>
      <c r="S1533" s="1">
        <f t="shared" si="117"/>
        <v>0.12903225806451613</v>
      </c>
      <c r="T1533">
        <f t="shared" si="118"/>
        <v>0.93</v>
      </c>
      <c r="U1533" t="str">
        <f t="shared" si="119"/>
        <v>Apr</v>
      </c>
    </row>
    <row r="1534" spans="1:21">
      <c r="A1534" s="2">
        <v>46106</v>
      </c>
      <c r="B1534" t="s">
        <v>6</v>
      </c>
      <c r="C1534" t="s">
        <v>36</v>
      </c>
      <c r="D1534" t="s">
        <v>10</v>
      </c>
      <c r="E1534" t="s">
        <v>32</v>
      </c>
      <c r="F1534" t="s">
        <v>39</v>
      </c>
      <c r="G1534">
        <v>57</v>
      </c>
      <c r="H1534">
        <v>75</v>
      </c>
      <c r="I1534">
        <v>67</v>
      </c>
      <c r="J1534">
        <v>116</v>
      </c>
      <c r="K1534">
        <v>215</v>
      </c>
      <c r="L1534">
        <v>131.16</v>
      </c>
      <c r="M1534">
        <v>2165.84</v>
      </c>
      <c r="N1534">
        <v>69932</v>
      </c>
      <c r="O1534">
        <v>905.5</v>
      </c>
      <c r="P1534" s="1">
        <v>0.97</v>
      </c>
      <c r="Q1534">
        <f t="shared" si="115"/>
        <v>132</v>
      </c>
      <c r="R1534">
        <f t="shared" si="116"/>
        <v>191</v>
      </c>
      <c r="S1534" s="1">
        <f t="shared" si="117"/>
        <v>0.49242424242424243</v>
      </c>
      <c r="T1534">
        <f t="shared" si="118"/>
        <v>1.32</v>
      </c>
      <c r="U1534" t="str">
        <f t="shared" si="119"/>
        <v>Mar</v>
      </c>
    </row>
    <row r="1535" spans="1:21">
      <c r="A1535" s="2">
        <v>46122</v>
      </c>
      <c r="B1535" t="s">
        <v>4</v>
      </c>
      <c r="C1535" t="s">
        <v>36</v>
      </c>
      <c r="D1535" t="s">
        <v>7</v>
      </c>
      <c r="E1535" t="s">
        <v>41</v>
      </c>
      <c r="F1535" t="s">
        <v>49</v>
      </c>
      <c r="G1535">
        <v>72</v>
      </c>
      <c r="H1535">
        <v>49</v>
      </c>
      <c r="I1535">
        <v>86</v>
      </c>
      <c r="J1535">
        <v>19</v>
      </c>
      <c r="K1535">
        <v>216</v>
      </c>
      <c r="L1535">
        <v>122.38</v>
      </c>
      <c r="M1535">
        <v>2210.19</v>
      </c>
      <c r="N1535">
        <v>64959</v>
      </c>
      <c r="O1535">
        <v>1397.09</v>
      </c>
      <c r="P1535" s="1">
        <v>-0.89300000000000002</v>
      </c>
      <c r="Q1535">
        <f t="shared" si="115"/>
        <v>121</v>
      </c>
      <c r="R1535">
        <f t="shared" si="116"/>
        <v>68</v>
      </c>
      <c r="S1535" s="1">
        <f t="shared" si="117"/>
        <v>0.28925619834710742</v>
      </c>
      <c r="T1535">
        <f t="shared" si="118"/>
        <v>1.21</v>
      </c>
      <c r="U1535" t="str">
        <f t="shared" si="119"/>
        <v>Apr</v>
      </c>
    </row>
    <row r="1536" spans="1:21">
      <c r="A1536" s="2">
        <v>46097</v>
      </c>
      <c r="B1536" t="s">
        <v>6</v>
      </c>
      <c r="C1536" t="s">
        <v>43</v>
      </c>
      <c r="D1536" t="s">
        <v>11</v>
      </c>
      <c r="E1536" t="s">
        <v>42</v>
      </c>
      <c r="F1536" t="s">
        <v>39</v>
      </c>
      <c r="G1536">
        <v>53</v>
      </c>
      <c r="H1536">
        <v>40</v>
      </c>
      <c r="I1536">
        <v>29</v>
      </c>
      <c r="J1536">
        <v>4</v>
      </c>
      <c r="K1536">
        <v>388</v>
      </c>
      <c r="L1536">
        <v>137.22</v>
      </c>
      <c r="M1536">
        <v>1963.06</v>
      </c>
      <c r="N1536">
        <v>72304</v>
      </c>
      <c r="O1536">
        <v>1039.3599999999999</v>
      </c>
      <c r="P1536" s="1">
        <v>-1.7999999999999999E-2</v>
      </c>
      <c r="Q1536">
        <f t="shared" si="115"/>
        <v>93</v>
      </c>
      <c r="R1536">
        <f t="shared" si="116"/>
        <v>44</v>
      </c>
      <c r="S1536" s="1">
        <f t="shared" si="117"/>
        <v>0.68817204301075274</v>
      </c>
      <c r="T1536">
        <f t="shared" si="118"/>
        <v>0.93</v>
      </c>
      <c r="U1536" t="str">
        <f t="shared" si="119"/>
        <v>Mar</v>
      </c>
    </row>
    <row r="1537" spans="1:21">
      <c r="A1537" s="2">
        <v>46127</v>
      </c>
      <c r="B1537" t="s">
        <v>6</v>
      </c>
      <c r="C1537" t="s">
        <v>50</v>
      </c>
      <c r="D1537" t="s">
        <v>10</v>
      </c>
      <c r="E1537" t="s">
        <v>41</v>
      </c>
      <c r="F1537" t="s">
        <v>49</v>
      </c>
      <c r="G1537">
        <v>54</v>
      </c>
      <c r="H1537">
        <v>23</v>
      </c>
      <c r="I1537">
        <v>9</v>
      </c>
      <c r="J1537">
        <v>13</v>
      </c>
      <c r="K1537">
        <v>279</v>
      </c>
      <c r="L1537">
        <v>118.08</v>
      </c>
      <c r="M1537">
        <v>2209.7600000000002</v>
      </c>
      <c r="N1537">
        <v>71232</v>
      </c>
      <c r="O1537">
        <v>1662.91</v>
      </c>
      <c r="P1537" s="1">
        <v>-0.82799999999999996</v>
      </c>
      <c r="Q1537">
        <f t="shared" si="115"/>
        <v>77</v>
      </c>
      <c r="R1537">
        <f t="shared" si="116"/>
        <v>36</v>
      </c>
      <c r="S1537" s="1">
        <f t="shared" si="117"/>
        <v>0.88311688311688308</v>
      </c>
      <c r="T1537">
        <f t="shared" si="118"/>
        <v>0.77</v>
      </c>
      <c r="U1537" t="str">
        <f t="shared" si="119"/>
        <v>Apr</v>
      </c>
    </row>
    <row r="1538" spans="1:21">
      <c r="A1538" s="2">
        <v>46100</v>
      </c>
      <c r="B1538" t="s">
        <v>4</v>
      </c>
      <c r="C1538" t="s">
        <v>51</v>
      </c>
      <c r="D1538" t="s">
        <v>11</v>
      </c>
      <c r="E1538" t="s">
        <v>47</v>
      </c>
      <c r="F1538" t="s">
        <v>49</v>
      </c>
      <c r="G1538">
        <v>14</v>
      </c>
      <c r="H1538">
        <v>37</v>
      </c>
      <c r="I1538">
        <v>20</v>
      </c>
      <c r="J1538">
        <v>152</v>
      </c>
      <c r="K1538">
        <v>306</v>
      </c>
      <c r="L1538">
        <v>110.46</v>
      </c>
      <c r="M1538">
        <v>2020.32</v>
      </c>
      <c r="N1538">
        <v>71498</v>
      </c>
      <c r="O1538">
        <v>1794.21</v>
      </c>
      <c r="P1538" s="1">
        <v>0.34899999999999998</v>
      </c>
      <c r="Q1538">
        <f t="shared" si="115"/>
        <v>51</v>
      </c>
      <c r="R1538">
        <f t="shared" si="116"/>
        <v>189</v>
      </c>
      <c r="S1538" s="1">
        <f t="shared" si="117"/>
        <v>0.60784313725490191</v>
      </c>
      <c r="T1538">
        <f t="shared" si="118"/>
        <v>0.51</v>
      </c>
      <c r="U1538" t="str">
        <f t="shared" si="119"/>
        <v>Mar</v>
      </c>
    </row>
    <row r="1539" spans="1:21">
      <c r="A1539" s="2">
        <v>46074</v>
      </c>
      <c r="B1539" t="s">
        <v>4</v>
      </c>
      <c r="C1539" t="s">
        <v>43</v>
      </c>
      <c r="D1539" t="s">
        <v>9</v>
      </c>
      <c r="E1539" t="s">
        <v>47</v>
      </c>
      <c r="F1539" t="s">
        <v>33</v>
      </c>
      <c r="G1539">
        <v>108</v>
      </c>
      <c r="H1539">
        <v>68</v>
      </c>
      <c r="I1539">
        <v>25</v>
      </c>
      <c r="J1539">
        <v>114</v>
      </c>
      <c r="K1539">
        <v>200</v>
      </c>
      <c r="L1539">
        <v>136.97</v>
      </c>
      <c r="M1539">
        <v>2378.3200000000002</v>
      </c>
      <c r="N1539">
        <v>74400</v>
      </c>
      <c r="O1539">
        <v>1089.6600000000001</v>
      </c>
      <c r="P1539" s="1">
        <v>-0.96599999999999997</v>
      </c>
      <c r="Q1539">
        <f t="shared" ref="Q1539:Q1602" si="120">G1539+H1539</f>
        <v>176</v>
      </c>
      <c r="R1539">
        <f t="shared" ref="R1539:R1602" si="121">J1539+H1539</f>
        <v>182</v>
      </c>
      <c r="S1539" s="1">
        <f t="shared" ref="S1539:S1602" si="122">(Q1539-I1539)/(Q1539)</f>
        <v>0.85795454545454541</v>
      </c>
      <c r="T1539">
        <f t="shared" ref="T1539:T1602" si="123">Q1539/100</f>
        <v>1.76</v>
      </c>
      <c r="U1539" t="str">
        <f t="shared" ref="U1539:U1602" si="124">TEXT(A1539,"mmm")</f>
        <v>Feb</v>
      </c>
    </row>
    <row r="1540" spans="1:21">
      <c r="A1540" s="2">
        <v>46125</v>
      </c>
      <c r="B1540" t="s">
        <v>6</v>
      </c>
      <c r="C1540" t="s">
        <v>31</v>
      </c>
      <c r="D1540" t="s">
        <v>11</v>
      </c>
      <c r="E1540" t="s">
        <v>42</v>
      </c>
      <c r="F1540" t="s">
        <v>33</v>
      </c>
      <c r="G1540">
        <v>117</v>
      </c>
      <c r="H1540">
        <v>40</v>
      </c>
      <c r="I1540">
        <v>61</v>
      </c>
      <c r="J1540">
        <v>128</v>
      </c>
      <c r="K1540">
        <v>391</v>
      </c>
      <c r="L1540">
        <v>90.73</v>
      </c>
      <c r="M1540">
        <v>2193.67</v>
      </c>
      <c r="N1540">
        <v>72566</v>
      </c>
      <c r="O1540">
        <v>1293.81</v>
      </c>
      <c r="P1540" s="1">
        <v>0.36499999999999999</v>
      </c>
      <c r="Q1540">
        <f t="shared" si="120"/>
        <v>157</v>
      </c>
      <c r="R1540">
        <f t="shared" si="121"/>
        <v>168</v>
      </c>
      <c r="S1540" s="1">
        <f t="shared" si="122"/>
        <v>0.61146496815286622</v>
      </c>
      <c r="T1540">
        <f t="shared" si="123"/>
        <v>1.57</v>
      </c>
      <c r="U1540" t="str">
        <f t="shared" si="124"/>
        <v>Apr</v>
      </c>
    </row>
    <row r="1541" spans="1:21">
      <c r="A1541" s="2">
        <v>46084</v>
      </c>
      <c r="B1541" t="s">
        <v>6</v>
      </c>
      <c r="C1541" t="s">
        <v>44</v>
      </c>
      <c r="D1541" t="s">
        <v>7</v>
      </c>
      <c r="E1541" t="s">
        <v>47</v>
      </c>
      <c r="F1541" t="s">
        <v>33</v>
      </c>
      <c r="G1541">
        <v>2</v>
      </c>
      <c r="H1541">
        <v>0</v>
      </c>
      <c r="I1541">
        <v>46</v>
      </c>
      <c r="J1541">
        <v>57</v>
      </c>
      <c r="K1541">
        <v>104</v>
      </c>
      <c r="L1541">
        <v>82.54</v>
      </c>
      <c r="M1541">
        <v>1974.58</v>
      </c>
      <c r="N1541">
        <v>64119</v>
      </c>
      <c r="O1541">
        <v>1506.6</v>
      </c>
      <c r="P1541" s="1">
        <v>-0.46300000000000002</v>
      </c>
      <c r="Q1541">
        <f t="shared" si="120"/>
        <v>2</v>
      </c>
      <c r="R1541">
        <f t="shared" si="121"/>
        <v>57</v>
      </c>
      <c r="S1541" s="1">
        <f t="shared" si="122"/>
        <v>-22</v>
      </c>
      <c r="T1541">
        <f t="shared" si="123"/>
        <v>0.02</v>
      </c>
      <c r="U1541" t="str">
        <f t="shared" si="124"/>
        <v>Mar</v>
      </c>
    </row>
    <row r="1542" spans="1:21">
      <c r="A1542" s="2">
        <v>46124</v>
      </c>
      <c r="B1542" t="s">
        <v>4</v>
      </c>
      <c r="C1542" t="s">
        <v>44</v>
      </c>
      <c r="D1542" t="s">
        <v>10</v>
      </c>
      <c r="E1542" t="s">
        <v>38</v>
      </c>
      <c r="F1542" t="s">
        <v>45</v>
      </c>
      <c r="G1542">
        <v>77</v>
      </c>
      <c r="H1542">
        <v>51</v>
      </c>
      <c r="I1542">
        <v>12</v>
      </c>
      <c r="J1542">
        <v>152</v>
      </c>
      <c r="K1542">
        <v>297</v>
      </c>
      <c r="L1542">
        <v>126.79</v>
      </c>
      <c r="M1542">
        <v>2036.76</v>
      </c>
      <c r="N1542">
        <v>68756</v>
      </c>
      <c r="O1542">
        <v>1434.41</v>
      </c>
      <c r="P1542" s="1">
        <v>-0.751</v>
      </c>
      <c r="Q1542">
        <f t="shared" si="120"/>
        <v>128</v>
      </c>
      <c r="R1542">
        <f t="shared" si="121"/>
        <v>203</v>
      </c>
      <c r="S1542" s="1">
        <f t="shared" si="122"/>
        <v>0.90625</v>
      </c>
      <c r="T1542">
        <f t="shared" si="123"/>
        <v>1.28</v>
      </c>
      <c r="U1542" t="str">
        <f t="shared" si="124"/>
        <v>Apr</v>
      </c>
    </row>
    <row r="1543" spans="1:21">
      <c r="A1543" s="2">
        <v>46081</v>
      </c>
      <c r="B1543" t="s">
        <v>6</v>
      </c>
      <c r="C1543" t="s">
        <v>40</v>
      </c>
      <c r="D1543" t="s">
        <v>10</v>
      </c>
      <c r="E1543" t="s">
        <v>38</v>
      </c>
      <c r="F1543" t="s">
        <v>33</v>
      </c>
      <c r="G1543">
        <v>94</v>
      </c>
      <c r="H1543">
        <v>39</v>
      </c>
      <c r="I1543">
        <v>10</v>
      </c>
      <c r="J1543">
        <v>137</v>
      </c>
      <c r="K1543">
        <v>259</v>
      </c>
      <c r="L1543">
        <v>129.47999999999999</v>
      </c>
      <c r="M1543">
        <v>1876.33</v>
      </c>
      <c r="N1543">
        <v>66132</v>
      </c>
      <c r="O1543">
        <v>1680.45</v>
      </c>
      <c r="P1543" s="1">
        <v>0.14099999999999999</v>
      </c>
      <c r="Q1543">
        <f t="shared" si="120"/>
        <v>133</v>
      </c>
      <c r="R1543">
        <f t="shared" si="121"/>
        <v>176</v>
      </c>
      <c r="S1543" s="1">
        <f t="shared" si="122"/>
        <v>0.92481203007518797</v>
      </c>
      <c r="T1543">
        <f t="shared" si="123"/>
        <v>1.33</v>
      </c>
      <c r="U1543" t="str">
        <f t="shared" si="124"/>
        <v>Feb</v>
      </c>
    </row>
    <row r="1544" spans="1:21">
      <c r="A1544" s="2">
        <v>46082</v>
      </c>
      <c r="B1544" t="s">
        <v>4</v>
      </c>
      <c r="C1544" t="s">
        <v>51</v>
      </c>
      <c r="D1544" t="s">
        <v>5</v>
      </c>
      <c r="E1544" t="s">
        <v>42</v>
      </c>
      <c r="F1544" t="s">
        <v>49</v>
      </c>
      <c r="G1544">
        <v>70</v>
      </c>
      <c r="H1544">
        <v>44</v>
      </c>
      <c r="I1544">
        <v>86</v>
      </c>
      <c r="J1544">
        <v>4</v>
      </c>
      <c r="K1544">
        <v>93</v>
      </c>
      <c r="L1544">
        <v>123.93</v>
      </c>
      <c r="M1544">
        <v>2317.04</v>
      </c>
      <c r="N1544">
        <v>64750</v>
      </c>
      <c r="O1544">
        <v>1746.47</v>
      </c>
      <c r="P1544" s="1">
        <v>0.82</v>
      </c>
      <c r="Q1544">
        <f t="shared" si="120"/>
        <v>114</v>
      </c>
      <c r="R1544">
        <f t="shared" si="121"/>
        <v>48</v>
      </c>
      <c r="S1544" s="1">
        <f t="shared" si="122"/>
        <v>0.24561403508771928</v>
      </c>
      <c r="T1544">
        <f t="shared" si="123"/>
        <v>1.1399999999999999</v>
      </c>
      <c r="U1544" t="str">
        <f t="shared" si="124"/>
        <v>Mar</v>
      </c>
    </row>
    <row r="1545" spans="1:21">
      <c r="A1545" s="2">
        <v>46069</v>
      </c>
      <c r="B1545" t="s">
        <v>6</v>
      </c>
      <c r="C1545" t="s">
        <v>50</v>
      </c>
      <c r="D1545" t="s">
        <v>5</v>
      </c>
      <c r="E1545" t="s">
        <v>38</v>
      </c>
      <c r="F1545" t="s">
        <v>39</v>
      </c>
      <c r="G1545">
        <v>52</v>
      </c>
      <c r="H1545">
        <v>36</v>
      </c>
      <c r="I1545">
        <v>17</v>
      </c>
      <c r="J1545">
        <v>129</v>
      </c>
      <c r="K1545">
        <v>315</v>
      </c>
      <c r="L1545">
        <v>101.52</v>
      </c>
      <c r="M1545">
        <v>2044.14</v>
      </c>
      <c r="N1545">
        <v>74846</v>
      </c>
      <c r="O1545">
        <v>982.78</v>
      </c>
      <c r="P1545" s="1">
        <v>0.126</v>
      </c>
      <c r="Q1545">
        <f t="shared" si="120"/>
        <v>88</v>
      </c>
      <c r="R1545">
        <f t="shared" si="121"/>
        <v>165</v>
      </c>
      <c r="S1545" s="1">
        <f t="shared" si="122"/>
        <v>0.80681818181818177</v>
      </c>
      <c r="T1545">
        <f t="shared" si="123"/>
        <v>0.88</v>
      </c>
      <c r="U1545" t="str">
        <f t="shared" si="124"/>
        <v>Feb</v>
      </c>
    </row>
    <row r="1546" spans="1:21">
      <c r="A1546" s="2">
        <v>46098</v>
      </c>
      <c r="B1546" t="s">
        <v>6</v>
      </c>
      <c r="C1546" t="s">
        <v>44</v>
      </c>
      <c r="D1546" t="s">
        <v>9</v>
      </c>
      <c r="E1546" t="s">
        <v>47</v>
      </c>
      <c r="F1546" t="s">
        <v>45</v>
      </c>
      <c r="G1546">
        <v>117</v>
      </c>
      <c r="H1546">
        <v>75</v>
      </c>
      <c r="I1546">
        <v>11</v>
      </c>
      <c r="J1546">
        <v>68</v>
      </c>
      <c r="K1546">
        <v>28</v>
      </c>
      <c r="L1546">
        <v>82.62</v>
      </c>
      <c r="M1546">
        <v>2130.71</v>
      </c>
      <c r="N1546">
        <v>71807</v>
      </c>
      <c r="O1546">
        <v>1146.83</v>
      </c>
      <c r="P1546" s="1">
        <v>0.37</v>
      </c>
      <c r="Q1546">
        <f t="shared" si="120"/>
        <v>192</v>
      </c>
      <c r="R1546">
        <f t="shared" si="121"/>
        <v>143</v>
      </c>
      <c r="S1546" s="1">
        <f t="shared" si="122"/>
        <v>0.94270833333333337</v>
      </c>
      <c r="T1546">
        <f t="shared" si="123"/>
        <v>1.92</v>
      </c>
      <c r="U1546" t="str">
        <f t="shared" si="124"/>
        <v>Mar</v>
      </c>
    </row>
    <row r="1547" spans="1:21">
      <c r="A1547" s="2">
        <v>46085</v>
      </c>
      <c r="B1547" t="s">
        <v>6</v>
      </c>
      <c r="C1547" t="s">
        <v>43</v>
      </c>
      <c r="D1547" t="s">
        <v>5</v>
      </c>
      <c r="E1547" t="s">
        <v>41</v>
      </c>
      <c r="F1547" t="s">
        <v>49</v>
      </c>
      <c r="G1547">
        <v>45</v>
      </c>
      <c r="H1547">
        <v>69</v>
      </c>
      <c r="I1547">
        <v>33</v>
      </c>
      <c r="J1547">
        <v>8</v>
      </c>
      <c r="K1547">
        <v>380</v>
      </c>
      <c r="L1547">
        <v>93.02</v>
      </c>
      <c r="M1547">
        <v>1971.05</v>
      </c>
      <c r="N1547">
        <v>68408</v>
      </c>
      <c r="O1547">
        <v>1001.16</v>
      </c>
      <c r="P1547" s="1">
        <v>-0.81299999999999994</v>
      </c>
      <c r="Q1547">
        <f t="shared" si="120"/>
        <v>114</v>
      </c>
      <c r="R1547">
        <f t="shared" si="121"/>
        <v>77</v>
      </c>
      <c r="S1547" s="1">
        <f t="shared" si="122"/>
        <v>0.71052631578947367</v>
      </c>
      <c r="T1547">
        <f t="shared" si="123"/>
        <v>1.1399999999999999</v>
      </c>
      <c r="U1547" t="str">
        <f t="shared" si="124"/>
        <v>Mar</v>
      </c>
    </row>
    <row r="1548" spans="1:21">
      <c r="A1548" s="2">
        <v>46102</v>
      </c>
      <c r="B1548" t="s">
        <v>6</v>
      </c>
      <c r="C1548" t="s">
        <v>46</v>
      </c>
      <c r="D1548" t="s">
        <v>11</v>
      </c>
      <c r="E1548" t="s">
        <v>41</v>
      </c>
      <c r="F1548" t="s">
        <v>39</v>
      </c>
      <c r="G1548">
        <v>106</v>
      </c>
      <c r="H1548">
        <v>30</v>
      </c>
      <c r="I1548">
        <v>5</v>
      </c>
      <c r="J1548">
        <v>2</v>
      </c>
      <c r="K1548">
        <v>229</v>
      </c>
      <c r="L1548">
        <v>90.78</v>
      </c>
      <c r="M1548">
        <v>2319.84</v>
      </c>
      <c r="N1548">
        <v>66969</v>
      </c>
      <c r="O1548">
        <v>1569.34</v>
      </c>
      <c r="P1548" s="1">
        <v>0.75700000000000001</v>
      </c>
      <c r="Q1548">
        <f t="shared" si="120"/>
        <v>136</v>
      </c>
      <c r="R1548">
        <f t="shared" si="121"/>
        <v>32</v>
      </c>
      <c r="S1548" s="1">
        <f t="shared" si="122"/>
        <v>0.96323529411764708</v>
      </c>
      <c r="T1548">
        <f t="shared" si="123"/>
        <v>1.36</v>
      </c>
      <c r="U1548" t="str">
        <f t="shared" si="124"/>
        <v>Mar</v>
      </c>
    </row>
    <row r="1549" spans="1:21">
      <c r="A1549" s="2">
        <v>46101</v>
      </c>
      <c r="B1549" t="s">
        <v>6</v>
      </c>
      <c r="C1549" t="s">
        <v>36</v>
      </c>
      <c r="D1549" t="s">
        <v>7</v>
      </c>
      <c r="E1549" t="s">
        <v>42</v>
      </c>
      <c r="F1549" t="s">
        <v>39</v>
      </c>
      <c r="G1549">
        <v>51</v>
      </c>
      <c r="H1549">
        <v>3</v>
      </c>
      <c r="I1549">
        <v>40</v>
      </c>
      <c r="J1549">
        <v>81</v>
      </c>
      <c r="K1549">
        <v>42</v>
      </c>
      <c r="L1549">
        <v>124.97</v>
      </c>
      <c r="M1549">
        <v>2421.36</v>
      </c>
      <c r="N1549">
        <v>72991</v>
      </c>
      <c r="O1549">
        <v>1009.38</v>
      </c>
      <c r="P1549" s="1">
        <v>-0.84</v>
      </c>
      <c r="Q1549">
        <f t="shared" si="120"/>
        <v>54</v>
      </c>
      <c r="R1549">
        <f t="shared" si="121"/>
        <v>84</v>
      </c>
      <c r="S1549" s="1">
        <f t="shared" si="122"/>
        <v>0.25925925925925924</v>
      </c>
      <c r="T1549">
        <f t="shared" si="123"/>
        <v>0.54</v>
      </c>
      <c r="U1549" t="str">
        <f t="shared" si="124"/>
        <v>Mar</v>
      </c>
    </row>
    <row r="1550" spans="1:21">
      <c r="A1550" s="2">
        <v>46127</v>
      </c>
      <c r="B1550" t="s">
        <v>4</v>
      </c>
      <c r="C1550" t="s">
        <v>46</v>
      </c>
      <c r="D1550" t="s">
        <v>7</v>
      </c>
      <c r="E1550" t="s">
        <v>41</v>
      </c>
      <c r="F1550" t="s">
        <v>33</v>
      </c>
      <c r="G1550">
        <v>72</v>
      </c>
      <c r="H1550">
        <v>77</v>
      </c>
      <c r="I1550">
        <v>51</v>
      </c>
      <c r="J1550">
        <v>29</v>
      </c>
      <c r="K1550">
        <v>150</v>
      </c>
      <c r="L1550">
        <v>92.58</v>
      </c>
      <c r="M1550">
        <v>2246.5</v>
      </c>
      <c r="N1550">
        <v>66345</v>
      </c>
      <c r="O1550">
        <v>1210.67</v>
      </c>
      <c r="P1550" s="1">
        <v>-0.83099999999999996</v>
      </c>
      <c r="Q1550">
        <f t="shared" si="120"/>
        <v>149</v>
      </c>
      <c r="R1550">
        <f t="shared" si="121"/>
        <v>106</v>
      </c>
      <c r="S1550" s="1">
        <f t="shared" si="122"/>
        <v>0.65771812080536918</v>
      </c>
      <c r="T1550">
        <f t="shared" si="123"/>
        <v>1.49</v>
      </c>
      <c r="U1550" t="str">
        <f t="shared" si="124"/>
        <v>Apr</v>
      </c>
    </row>
    <row r="1551" spans="1:21">
      <c r="A1551" s="2">
        <v>46119</v>
      </c>
      <c r="B1551" t="s">
        <v>6</v>
      </c>
      <c r="C1551" t="s">
        <v>48</v>
      </c>
      <c r="D1551" t="s">
        <v>9</v>
      </c>
      <c r="E1551" t="s">
        <v>35</v>
      </c>
      <c r="F1551" t="s">
        <v>49</v>
      </c>
      <c r="G1551">
        <v>17</v>
      </c>
      <c r="H1551">
        <v>18</v>
      </c>
      <c r="I1551">
        <v>82</v>
      </c>
      <c r="J1551">
        <v>157</v>
      </c>
      <c r="K1551">
        <v>12</v>
      </c>
      <c r="L1551">
        <v>111.98</v>
      </c>
      <c r="M1551">
        <v>2432.8000000000002</v>
      </c>
      <c r="N1551">
        <v>64212</v>
      </c>
      <c r="O1551">
        <v>1454.8</v>
      </c>
      <c r="P1551" s="1">
        <v>2.5000000000000001E-2</v>
      </c>
      <c r="Q1551">
        <f t="shared" si="120"/>
        <v>35</v>
      </c>
      <c r="R1551">
        <f t="shared" si="121"/>
        <v>175</v>
      </c>
      <c r="S1551" s="1">
        <f t="shared" si="122"/>
        <v>-1.3428571428571427</v>
      </c>
      <c r="T1551">
        <f t="shared" si="123"/>
        <v>0.35</v>
      </c>
      <c r="U1551" t="str">
        <f t="shared" si="124"/>
        <v>Apr</v>
      </c>
    </row>
    <row r="1552" spans="1:21">
      <c r="A1552" s="2">
        <v>46068</v>
      </c>
      <c r="B1552" t="s">
        <v>4</v>
      </c>
      <c r="C1552" t="s">
        <v>44</v>
      </c>
      <c r="D1552" t="s">
        <v>10</v>
      </c>
      <c r="E1552" t="s">
        <v>32</v>
      </c>
      <c r="F1552" t="s">
        <v>39</v>
      </c>
      <c r="G1552">
        <v>72</v>
      </c>
      <c r="H1552">
        <v>56</v>
      </c>
      <c r="I1552">
        <v>63</v>
      </c>
      <c r="J1552">
        <v>125</v>
      </c>
      <c r="K1552">
        <v>365</v>
      </c>
      <c r="L1552">
        <v>126.88</v>
      </c>
      <c r="M1552">
        <v>1938.65</v>
      </c>
      <c r="N1552">
        <v>74021</v>
      </c>
      <c r="O1552">
        <v>1172.73</v>
      </c>
      <c r="P1552" s="1">
        <v>0.442</v>
      </c>
      <c r="Q1552">
        <f t="shared" si="120"/>
        <v>128</v>
      </c>
      <c r="R1552">
        <f t="shared" si="121"/>
        <v>181</v>
      </c>
      <c r="S1552" s="1">
        <f t="shared" si="122"/>
        <v>0.5078125</v>
      </c>
      <c r="T1552">
        <f t="shared" si="123"/>
        <v>1.28</v>
      </c>
      <c r="U1552" t="str">
        <f t="shared" si="124"/>
        <v>Feb</v>
      </c>
    </row>
    <row r="1553" spans="1:21">
      <c r="A1553" s="2">
        <v>46087</v>
      </c>
      <c r="B1553" t="s">
        <v>4</v>
      </c>
      <c r="C1553" t="s">
        <v>31</v>
      </c>
      <c r="D1553" t="s">
        <v>10</v>
      </c>
      <c r="E1553" t="s">
        <v>42</v>
      </c>
      <c r="F1553" t="s">
        <v>49</v>
      </c>
      <c r="G1553">
        <v>29</v>
      </c>
      <c r="H1553">
        <v>79</v>
      </c>
      <c r="I1553">
        <v>49</v>
      </c>
      <c r="J1553">
        <v>90</v>
      </c>
      <c r="K1553">
        <v>371</v>
      </c>
      <c r="L1553">
        <v>112.14</v>
      </c>
      <c r="M1553">
        <v>2023.29</v>
      </c>
      <c r="N1553">
        <v>65621</v>
      </c>
      <c r="O1553">
        <v>1505.09</v>
      </c>
      <c r="P1553" s="1">
        <v>0.41399999999999998</v>
      </c>
      <c r="Q1553">
        <f t="shared" si="120"/>
        <v>108</v>
      </c>
      <c r="R1553">
        <f t="shared" si="121"/>
        <v>169</v>
      </c>
      <c r="S1553" s="1">
        <f t="shared" si="122"/>
        <v>0.54629629629629628</v>
      </c>
      <c r="T1553">
        <f t="shared" si="123"/>
        <v>1.08</v>
      </c>
      <c r="U1553" t="str">
        <f t="shared" si="124"/>
        <v>Mar</v>
      </c>
    </row>
    <row r="1554" spans="1:21">
      <c r="A1554" s="2">
        <v>46110</v>
      </c>
      <c r="B1554" t="s">
        <v>6</v>
      </c>
      <c r="C1554" t="s">
        <v>31</v>
      </c>
      <c r="D1554" t="s">
        <v>9</v>
      </c>
      <c r="E1554" t="s">
        <v>41</v>
      </c>
      <c r="F1554" t="s">
        <v>33</v>
      </c>
      <c r="G1554">
        <v>61</v>
      </c>
      <c r="H1554">
        <v>32</v>
      </c>
      <c r="I1554">
        <v>88</v>
      </c>
      <c r="J1554">
        <v>71</v>
      </c>
      <c r="K1554">
        <v>448</v>
      </c>
      <c r="L1554">
        <v>83.78</v>
      </c>
      <c r="M1554">
        <v>2074.89</v>
      </c>
      <c r="N1554">
        <v>69628</v>
      </c>
      <c r="O1554">
        <v>1137.05</v>
      </c>
      <c r="P1554" s="1">
        <v>0.23400000000000001</v>
      </c>
      <c r="Q1554">
        <f t="shared" si="120"/>
        <v>93</v>
      </c>
      <c r="R1554">
        <f t="shared" si="121"/>
        <v>103</v>
      </c>
      <c r="S1554" s="1">
        <f t="shared" si="122"/>
        <v>5.3763440860215055E-2</v>
      </c>
      <c r="T1554">
        <f t="shared" si="123"/>
        <v>0.93</v>
      </c>
      <c r="U1554" t="str">
        <f t="shared" si="124"/>
        <v>Mar</v>
      </c>
    </row>
    <row r="1555" spans="1:21">
      <c r="A1555" s="2">
        <v>46096</v>
      </c>
      <c r="B1555" t="s">
        <v>4</v>
      </c>
      <c r="C1555" t="s">
        <v>48</v>
      </c>
      <c r="D1555" t="s">
        <v>10</v>
      </c>
      <c r="E1555" t="s">
        <v>38</v>
      </c>
      <c r="F1555" t="s">
        <v>33</v>
      </c>
      <c r="G1555">
        <v>27</v>
      </c>
      <c r="H1555">
        <v>49</v>
      </c>
      <c r="I1555">
        <v>61</v>
      </c>
      <c r="J1555">
        <v>40</v>
      </c>
      <c r="K1555">
        <v>182</v>
      </c>
      <c r="L1555">
        <v>120.77</v>
      </c>
      <c r="M1555">
        <v>2141.58</v>
      </c>
      <c r="N1555">
        <v>66922</v>
      </c>
      <c r="O1555">
        <v>1244.82</v>
      </c>
      <c r="P1555" s="1">
        <v>0.23499999999999999</v>
      </c>
      <c r="Q1555">
        <f t="shared" si="120"/>
        <v>76</v>
      </c>
      <c r="R1555">
        <f t="shared" si="121"/>
        <v>89</v>
      </c>
      <c r="S1555" s="1">
        <f t="shared" si="122"/>
        <v>0.19736842105263158</v>
      </c>
      <c r="T1555">
        <f t="shared" si="123"/>
        <v>0.76</v>
      </c>
      <c r="U1555" t="str">
        <f t="shared" si="124"/>
        <v>Mar</v>
      </c>
    </row>
    <row r="1556" spans="1:21">
      <c r="A1556" s="2">
        <v>46073</v>
      </c>
      <c r="B1556" t="s">
        <v>6</v>
      </c>
      <c r="C1556" t="s">
        <v>40</v>
      </c>
      <c r="D1556" t="s">
        <v>7</v>
      </c>
      <c r="E1556" t="s">
        <v>35</v>
      </c>
      <c r="F1556" t="s">
        <v>45</v>
      </c>
      <c r="G1556">
        <v>69</v>
      </c>
      <c r="H1556">
        <v>38</v>
      </c>
      <c r="I1556">
        <v>35</v>
      </c>
      <c r="J1556">
        <v>51</v>
      </c>
      <c r="K1556">
        <v>67</v>
      </c>
      <c r="L1556">
        <v>87.3</v>
      </c>
      <c r="M1556">
        <v>1922</v>
      </c>
      <c r="N1556">
        <v>68057</v>
      </c>
      <c r="O1556">
        <v>1795.47</v>
      </c>
      <c r="P1556" s="1">
        <v>-0.67800000000000005</v>
      </c>
      <c r="Q1556">
        <f t="shared" si="120"/>
        <v>107</v>
      </c>
      <c r="R1556">
        <f t="shared" si="121"/>
        <v>89</v>
      </c>
      <c r="S1556" s="1">
        <f t="shared" si="122"/>
        <v>0.67289719626168221</v>
      </c>
      <c r="T1556">
        <f t="shared" si="123"/>
        <v>1.07</v>
      </c>
      <c r="U1556" t="str">
        <f t="shared" si="124"/>
        <v>Feb</v>
      </c>
    </row>
    <row r="1557" spans="1:21">
      <c r="A1557" s="2">
        <v>46088</v>
      </c>
      <c r="B1557" t="s">
        <v>4</v>
      </c>
      <c r="C1557" t="s">
        <v>48</v>
      </c>
      <c r="D1557" t="s">
        <v>11</v>
      </c>
      <c r="E1557" t="s">
        <v>42</v>
      </c>
      <c r="F1557" t="s">
        <v>49</v>
      </c>
      <c r="G1557">
        <v>59</v>
      </c>
      <c r="H1557">
        <v>2</v>
      </c>
      <c r="I1557">
        <v>26</v>
      </c>
      <c r="J1557">
        <v>39</v>
      </c>
      <c r="K1557">
        <v>377</v>
      </c>
      <c r="L1557">
        <v>94.28</v>
      </c>
      <c r="M1557">
        <v>2180.15</v>
      </c>
      <c r="N1557">
        <v>71430</v>
      </c>
      <c r="O1557">
        <v>927.2</v>
      </c>
      <c r="P1557" s="1">
        <v>-0.53300000000000003</v>
      </c>
      <c r="Q1557">
        <f t="shared" si="120"/>
        <v>61</v>
      </c>
      <c r="R1557">
        <f t="shared" si="121"/>
        <v>41</v>
      </c>
      <c r="S1557" s="1">
        <f t="shared" si="122"/>
        <v>0.57377049180327866</v>
      </c>
      <c r="T1557">
        <f t="shared" si="123"/>
        <v>0.61</v>
      </c>
      <c r="U1557" t="str">
        <f t="shared" si="124"/>
        <v>Mar</v>
      </c>
    </row>
    <row r="1558" spans="1:21">
      <c r="A1558" s="2">
        <v>46087</v>
      </c>
      <c r="B1558" t="s">
        <v>6</v>
      </c>
      <c r="C1558" t="s">
        <v>36</v>
      </c>
      <c r="D1558" t="s">
        <v>10</v>
      </c>
      <c r="E1558" t="s">
        <v>42</v>
      </c>
      <c r="F1558" t="s">
        <v>49</v>
      </c>
      <c r="G1558">
        <v>36</v>
      </c>
      <c r="H1558">
        <v>27</v>
      </c>
      <c r="I1558">
        <v>66</v>
      </c>
      <c r="J1558">
        <v>117</v>
      </c>
      <c r="K1558">
        <v>61</v>
      </c>
      <c r="L1558">
        <v>118.26</v>
      </c>
      <c r="M1558">
        <v>2455.09</v>
      </c>
      <c r="N1558">
        <v>66178</v>
      </c>
      <c r="O1558">
        <v>1740.86</v>
      </c>
      <c r="P1558" s="1">
        <v>0.29299999999999998</v>
      </c>
      <c r="Q1558">
        <f t="shared" si="120"/>
        <v>63</v>
      </c>
      <c r="R1558">
        <f t="shared" si="121"/>
        <v>144</v>
      </c>
      <c r="S1558" s="1">
        <f t="shared" si="122"/>
        <v>-4.7619047619047616E-2</v>
      </c>
      <c r="T1558">
        <f t="shared" si="123"/>
        <v>0.63</v>
      </c>
      <c r="U1558" t="str">
        <f t="shared" si="124"/>
        <v>Mar</v>
      </c>
    </row>
    <row r="1559" spans="1:21">
      <c r="A1559" s="2">
        <v>46108</v>
      </c>
      <c r="B1559" t="s">
        <v>4</v>
      </c>
      <c r="C1559" t="s">
        <v>40</v>
      </c>
      <c r="D1559" t="s">
        <v>5</v>
      </c>
      <c r="E1559" t="s">
        <v>47</v>
      </c>
      <c r="F1559" t="s">
        <v>33</v>
      </c>
      <c r="G1559">
        <v>101</v>
      </c>
      <c r="H1559">
        <v>46</v>
      </c>
      <c r="I1559">
        <v>29</v>
      </c>
      <c r="J1559">
        <v>51</v>
      </c>
      <c r="K1559">
        <v>431</v>
      </c>
      <c r="L1559">
        <v>82.54</v>
      </c>
      <c r="M1559">
        <v>1987.22</v>
      </c>
      <c r="N1559">
        <v>70545</v>
      </c>
      <c r="O1559">
        <v>1741.06</v>
      </c>
      <c r="P1559" s="1">
        <v>-0.998</v>
      </c>
      <c r="Q1559">
        <f t="shared" si="120"/>
        <v>147</v>
      </c>
      <c r="R1559">
        <f t="shared" si="121"/>
        <v>97</v>
      </c>
      <c r="S1559" s="1">
        <f t="shared" si="122"/>
        <v>0.80272108843537415</v>
      </c>
      <c r="T1559">
        <f t="shared" si="123"/>
        <v>1.47</v>
      </c>
      <c r="U1559" t="str">
        <f t="shared" si="124"/>
        <v>Mar</v>
      </c>
    </row>
    <row r="1560" spans="1:21">
      <c r="A1560" s="2">
        <v>46069</v>
      </c>
      <c r="B1560" t="s">
        <v>6</v>
      </c>
      <c r="C1560" t="s">
        <v>50</v>
      </c>
      <c r="D1560" t="s">
        <v>10</v>
      </c>
      <c r="E1560" t="s">
        <v>38</v>
      </c>
      <c r="F1560" t="s">
        <v>39</v>
      </c>
      <c r="G1560">
        <v>69</v>
      </c>
      <c r="H1560">
        <v>31</v>
      </c>
      <c r="I1560">
        <v>67</v>
      </c>
      <c r="J1560">
        <v>157</v>
      </c>
      <c r="K1560">
        <v>385</v>
      </c>
      <c r="L1560">
        <v>90.11</v>
      </c>
      <c r="M1560">
        <v>2276.02</v>
      </c>
      <c r="N1560">
        <v>65630</v>
      </c>
      <c r="O1560">
        <v>1395.19</v>
      </c>
      <c r="P1560" s="1">
        <v>-0.59199999999999997</v>
      </c>
      <c r="Q1560">
        <f t="shared" si="120"/>
        <v>100</v>
      </c>
      <c r="R1560">
        <f t="shared" si="121"/>
        <v>188</v>
      </c>
      <c r="S1560" s="1">
        <f t="shared" si="122"/>
        <v>0.33</v>
      </c>
      <c r="T1560">
        <f t="shared" si="123"/>
        <v>1</v>
      </c>
      <c r="U1560" t="str">
        <f t="shared" si="124"/>
        <v>Feb</v>
      </c>
    </row>
    <row r="1561" spans="1:21">
      <c r="A1561" s="2">
        <v>46126</v>
      </c>
      <c r="B1561" t="s">
        <v>6</v>
      </c>
      <c r="C1561" t="s">
        <v>46</v>
      </c>
      <c r="D1561" t="s">
        <v>5</v>
      </c>
      <c r="E1561" t="s">
        <v>32</v>
      </c>
      <c r="F1561" t="s">
        <v>45</v>
      </c>
      <c r="G1561">
        <v>66</v>
      </c>
      <c r="H1561">
        <v>5</v>
      </c>
      <c r="I1561">
        <v>42</v>
      </c>
      <c r="J1561">
        <v>154</v>
      </c>
      <c r="K1561">
        <v>375</v>
      </c>
      <c r="L1561">
        <v>97.21</v>
      </c>
      <c r="M1561">
        <v>2047.15</v>
      </c>
      <c r="N1561">
        <v>64108</v>
      </c>
      <c r="O1561">
        <v>1395.62</v>
      </c>
      <c r="P1561" s="1">
        <v>0.34799999999999998</v>
      </c>
      <c r="Q1561">
        <f t="shared" si="120"/>
        <v>71</v>
      </c>
      <c r="R1561">
        <f t="shared" si="121"/>
        <v>159</v>
      </c>
      <c r="S1561" s="1">
        <f t="shared" si="122"/>
        <v>0.40845070422535212</v>
      </c>
      <c r="T1561">
        <f t="shared" si="123"/>
        <v>0.71</v>
      </c>
      <c r="U1561" t="str">
        <f t="shared" si="124"/>
        <v>Apr</v>
      </c>
    </row>
    <row r="1562" spans="1:21">
      <c r="A1562" s="2">
        <v>46113</v>
      </c>
      <c r="B1562" t="s">
        <v>6</v>
      </c>
      <c r="C1562" t="s">
        <v>51</v>
      </c>
      <c r="D1562" t="s">
        <v>11</v>
      </c>
      <c r="E1562" t="s">
        <v>41</v>
      </c>
      <c r="F1562" t="s">
        <v>49</v>
      </c>
      <c r="G1562">
        <v>39</v>
      </c>
      <c r="H1562">
        <v>1</v>
      </c>
      <c r="I1562">
        <v>42</v>
      </c>
      <c r="J1562">
        <v>71</v>
      </c>
      <c r="K1562">
        <v>260</v>
      </c>
      <c r="L1562">
        <v>121.93</v>
      </c>
      <c r="M1562">
        <v>2352.61</v>
      </c>
      <c r="N1562">
        <v>71057</v>
      </c>
      <c r="O1562">
        <v>1087.26</v>
      </c>
      <c r="P1562" s="1">
        <v>-0.95599999999999996</v>
      </c>
      <c r="Q1562">
        <f t="shared" si="120"/>
        <v>40</v>
      </c>
      <c r="R1562">
        <f t="shared" si="121"/>
        <v>72</v>
      </c>
      <c r="S1562" s="1">
        <f t="shared" si="122"/>
        <v>-0.05</v>
      </c>
      <c r="T1562">
        <f t="shared" si="123"/>
        <v>0.4</v>
      </c>
      <c r="U1562" t="str">
        <f t="shared" si="124"/>
        <v>Apr</v>
      </c>
    </row>
    <row r="1563" spans="1:21">
      <c r="A1563" s="2">
        <v>46083</v>
      </c>
      <c r="B1563" t="s">
        <v>6</v>
      </c>
      <c r="C1563" t="s">
        <v>50</v>
      </c>
      <c r="D1563" t="s">
        <v>9</v>
      </c>
      <c r="E1563" t="s">
        <v>38</v>
      </c>
      <c r="F1563" t="s">
        <v>39</v>
      </c>
      <c r="G1563">
        <v>90</v>
      </c>
      <c r="H1563">
        <v>39</v>
      </c>
      <c r="I1563">
        <v>39</v>
      </c>
      <c r="J1563">
        <v>60</v>
      </c>
      <c r="K1563">
        <v>348</v>
      </c>
      <c r="L1563">
        <v>93.3</v>
      </c>
      <c r="M1563">
        <v>2313.77</v>
      </c>
      <c r="N1563">
        <v>71822</v>
      </c>
      <c r="O1563">
        <v>915.09</v>
      </c>
      <c r="P1563" s="1">
        <v>0.96499999999999997</v>
      </c>
      <c r="Q1563">
        <f t="shared" si="120"/>
        <v>129</v>
      </c>
      <c r="R1563">
        <f t="shared" si="121"/>
        <v>99</v>
      </c>
      <c r="S1563" s="1">
        <f t="shared" si="122"/>
        <v>0.69767441860465118</v>
      </c>
      <c r="T1563">
        <f t="shared" si="123"/>
        <v>1.29</v>
      </c>
      <c r="U1563" t="str">
        <f t="shared" si="124"/>
        <v>Mar</v>
      </c>
    </row>
    <row r="1564" spans="1:21">
      <c r="A1564" s="2">
        <v>46083</v>
      </c>
      <c r="B1564" t="s">
        <v>4</v>
      </c>
      <c r="C1564" t="s">
        <v>48</v>
      </c>
      <c r="D1564" t="s">
        <v>9</v>
      </c>
      <c r="E1564" t="s">
        <v>42</v>
      </c>
      <c r="F1564" t="s">
        <v>49</v>
      </c>
      <c r="G1564">
        <v>15</v>
      </c>
      <c r="H1564">
        <v>47</v>
      </c>
      <c r="I1564">
        <v>30</v>
      </c>
      <c r="J1564">
        <v>115</v>
      </c>
      <c r="K1564">
        <v>360</v>
      </c>
      <c r="L1564">
        <v>105.01</v>
      </c>
      <c r="M1564">
        <v>2469.17</v>
      </c>
      <c r="N1564">
        <v>73254</v>
      </c>
      <c r="O1564">
        <v>923.16</v>
      </c>
      <c r="P1564" s="1">
        <v>0.99199999999999999</v>
      </c>
      <c r="Q1564">
        <f t="shared" si="120"/>
        <v>62</v>
      </c>
      <c r="R1564">
        <f t="shared" si="121"/>
        <v>162</v>
      </c>
      <c r="S1564" s="1">
        <f t="shared" si="122"/>
        <v>0.5161290322580645</v>
      </c>
      <c r="T1564">
        <f t="shared" si="123"/>
        <v>0.62</v>
      </c>
      <c r="U1564" t="str">
        <f t="shared" si="124"/>
        <v>Mar</v>
      </c>
    </row>
    <row r="1565" spans="1:21">
      <c r="A1565" s="2">
        <v>46121</v>
      </c>
      <c r="B1565" t="s">
        <v>6</v>
      </c>
      <c r="C1565" t="s">
        <v>44</v>
      </c>
      <c r="D1565" t="s">
        <v>7</v>
      </c>
      <c r="E1565" t="s">
        <v>42</v>
      </c>
      <c r="F1565" t="s">
        <v>49</v>
      </c>
      <c r="G1565">
        <v>93</v>
      </c>
      <c r="H1565">
        <v>13</v>
      </c>
      <c r="I1565">
        <v>89</v>
      </c>
      <c r="J1565">
        <v>120</v>
      </c>
      <c r="K1565">
        <v>223</v>
      </c>
      <c r="L1565">
        <v>124.87</v>
      </c>
      <c r="M1565">
        <v>2484.09</v>
      </c>
      <c r="N1565">
        <v>75542</v>
      </c>
      <c r="O1565">
        <v>1137.6500000000001</v>
      </c>
      <c r="P1565" s="1">
        <v>-0.96899999999999997</v>
      </c>
      <c r="Q1565">
        <f t="shared" si="120"/>
        <v>106</v>
      </c>
      <c r="R1565">
        <f t="shared" si="121"/>
        <v>133</v>
      </c>
      <c r="S1565" s="1">
        <f t="shared" si="122"/>
        <v>0.16037735849056603</v>
      </c>
      <c r="T1565">
        <f t="shared" si="123"/>
        <v>1.06</v>
      </c>
      <c r="U1565" t="str">
        <f t="shared" si="124"/>
        <v>Apr</v>
      </c>
    </row>
    <row r="1566" spans="1:21">
      <c r="A1566" s="2">
        <v>46085</v>
      </c>
      <c r="B1566" t="s">
        <v>4</v>
      </c>
      <c r="C1566" t="s">
        <v>31</v>
      </c>
      <c r="D1566" t="s">
        <v>10</v>
      </c>
      <c r="E1566" t="s">
        <v>38</v>
      </c>
      <c r="F1566" t="s">
        <v>39</v>
      </c>
      <c r="G1566">
        <v>47</v>
      </c>
      <c r="H1566">
        <v>16</v>
      </c>
      <c r="I1566">
        <v>63</v>
      </c>
      <c r="J1566">
        <v>3</v>
      </c>
      <c r="K1566">
        <v>318</v>
      </c>
      <c r="L1566">
        <v>103.24</v>
      </c>
      <c r="M1566">
        <v>1906.73</v>
      </c>
      <c r="N1566">
        <v>71419</v>
      </c>
      <c r="O1566">
        <v>1467.77</v>
      </c>
      <c r="P1566" s="1">
        <v>0.94399999999999995</v>
      </c>
      <c r="Q1566">
        <f t="shared" si="120"/>
        <v>63</v>
      </c>
      <c r="R1566">
        <f t="shared" si="121"/>
        <v>19</v>
      </c>
      <c r="S1566" s="1">
        <f t="shared" si="122"/>
        <v>0</v>
      </c>
      <c r="T1566">
        <f t="shared" si="123"/>
        <v>0.63</v>
      </c>
      <c r="U1566" t="str">
        <f t="shared" si="124"/>
        <v>Mar</v>
      </c>
    </row>
    <row r="1567" spans="1:21">
      <c r="A1567" s="2">
        <v>46077</v>
      </c>
      <c r="B1567" t="s">
        <v>6</v>
      </c>
      <c r="C1567" t="s">
        <v>50</v>
      </c>
      <c r="D1567" t="s">
        <v>10</v>
      </c>
      <c r="E1567" t="s">
        <v>47</v>
      </c>
      <c r="F1567" t="s">
        <v>49</v>
      </c>
      <c r="G1567">
        <v>70</v>
      </c>
      <c r="H1567">
        <v>12</v>
      </c>
      <c r="I1567">
        <v>69</v>
      </c>
      <c r="J1567">
        <v>150</v>
      </c>
      <c r="K1567">
        <v>79</v>
      </c>
      <c r="L1567">
        <v>91.91</v>
      </c>
      <c r="M1567">
        <v>2035.09</v>
      </c>
      <c r="N1567">
        <v>70893</v>
      </c>
      <c r="O1567">
        <v>1751.27</v>
      </c>
      <c r="P1567" s="1">
        <v>-0.46</v>
      </c>
      <c r="Q1567">
        <f t="shared" si="120"/>
        <v>82</v>
      </c>
      <c r="R1567">
        <f t="shared" si="121"/>
        <v>162</v>
      </c>
      <c r="S1567" s="1">
        <f t="shared" si="122"/>
        <v>0.15853658536585366</v>
      </c>
      <c r="T1567">
        <f t="shared" si="123"/>
        <v>0.82</v>
      </c>
      <c r="U1567" t="str">
        <f t="shared" si="124"/>
        <v>Feb</v>
      </c>
    </row>
    <row r="1568" spans="1:21">
      <c r="A1568" s="2">
        <v>46093</v>
      </c>
      <c r="B1568" t="s">
        <v>4</v>
      </c>
      <c r="C1568" t="s">
        <v>44</v>
      </c>
      <c r="D1568" t="s">
        <v>7</v>
      </c>
      <c r="E1568" t="s">
        <v>47</v>
      </c>
      <c r="F1568" t="s">
        <v>39</v>
      </c>
      <c r="G1568">
        <v>51</v>
      </c>
      <c r="H1568">
        <v>20</v>
      </c>
      <c r="I1568">
        <v>13</v>
      </c>
      <c r="J1568">
        <v>159</v>
      </c>
      <c r="K1568">
        <v>216</v>
      </c>
      <c r="L1568">
        <v>87.98</v>
      </c>
      <c r="M1568">
        <v>2497.62</v>
      </c>
      <c r="N1568">
        <v>74147</v>
      </c>
      <c r="O1568">
        <v>1385.68</v>
      </c>
      <c r="P1568" s="1">
        <v>0.67800000000000005</v>
      </c>
      <c r="Q1568">
        <f t="shared" si="120"/>
        <v>71</v>
      </c>
      <c r="R1568">
        <f t="shared" si="121"/>
        <v>179</v>
      </c>
      <c r="S1568" s="1">
        <f t="shared" si="122"/>
        <v>0.81690140845070425</v>
      </c>
      <c r="T1568">
        <f t="shared" si="123"/>
        <v>0.71</v>
      </c>
      <c r="U1568" t="str">
        <f t="shared" si="124"/>
        <v>Mar</v>
      </c>
    </row>
    <row r="1569" spans="1:21">
      <c r="A1569" s="2">
        <v>46101</v>
      </c>
      <c r="B1569" t="s">
        <v>4</v>
      </c>
      <c r="C1569" t="s">
        <v>34</v>
      </c>
      <c r="D1569" t="s">
        <v>7</v>
      </c>
      <c r="E1569" t="s">
        <v>41</v>
      </c>
      <c r="F1569" t="s">
        <v>33</v>
      </c>
      <c r="G1569">
        <v>55</v>
      </c>
      <c r="H1569">
        <v>7</v>
      </c>
      <c r="I1569">
        <v>19</v>
      </c>
      <c r="J1569">
        <v>7</v>
      </c>
      <c r="K1569">
        <v>31</v>
      </c>
      <c r="L1569">
        <v>81.86</v>
      </c>
      <c r="M1569">
        <v>1909.6</v>
      </c>
      <c r="N1569">
        <v>74492</v>
      </c>
      <c r="O1569">
        <v>1095.9100000000001</v>
      </c>
      <c r="P1569" s="1">
        <v>0.83</v>
      </c>
      <c r="Q1569">
        <f t="shared" si="120"/>
        <v>62</v>
      </c>
      <c r="R1569">
        <f t="shared" si="121"/>
        <v>14</v>
      </c>
      <c r="S1569" s="1">
        <f t="shared" si="122"/>
        <v>0.69354838709677424</v>
      </c>
      <c r="T1569">
        <f t="shared" si="123"/>
        <v>0.62</v>
      </c>
      <c r="U1569" t="str">
        <f t="shared" si="124"/>
        <v>Mar</v>
      </c>
    </row>
    <row r="1570" spans="1:21">
      <c r="A1570" s="2">
        <v>46070</v>
      </c>
      <c r="B1570" t="s">
        <v>4</v>
      </c>
      <c r="C1570" t="s">
        <v>40</v>
      </c>
      <c r="D1570" t="s">
        <v>5</v>
      </c>
      <c r="E1570" t="s">
        <v>41</v>
      </c>
      <c r="F1570" t="s">
        <v>39</v>
      </c>
      <c r="G1570">
        <v>94</v>
      </c>
      <c r="H1570">
        <v>47</v>
      </c>
      <c r="I1570">
        <v>14</v>
      </c>
      <c r="J1570">
        <v>124</v>
      </c>
      <c r="K1570">
        <v>299</v>
      </c>
      <c r="L1570">
        <v>92.16</v>
      </c>
      <c r="M1570">
        <v>1980.53</v>
      </c>
      <c r="N1570">
        <v>74998</v>
      </c>
      <c r="O1570">
        <v>1007.01</v>
      </c>
      <c r="P1570" s="1">
        <v>-0.40100000000000002</v>
      </c>
      <c r="Q1570">
        <f t="shared" si="120"/>
        <v>141</v>
      </c>
      <c r="R1570">
        <f t="shared" si="121"/>
        <v>171</v>
      </c>
      <c r="S1570" s="1">
        <f t="shared" si="122"/>
        <v>0.900709219858156</v>
      </c>
      <c r="T1570">
        <f t="shared" si="123"/>
        <v>1.41</v>
      </c>
      <c r="U1570" t="str">
        <f t="shared" si="124"/>
        <v>Feb</v>
      </c>
    </row>
    <row r="1571" spans="1:21">
      <c r="A1571" s="2">
        <v>46125</v>
      </c>
      <c r="B1571" t="s">
        <v>4</v>
      </c>
      <c r="C1571" t="s">
        <v>43</v>
      </c>
      <c r="D1571" t="s">
        <v>5</v>
      </c>
      <c r="E1571" t="s">
        <v>38</v>
      </c>
      <c r="F1571" t="s">
        <v>33</v>
      </c>
      <c r="G1571">
        <v>12</v>
      </c>
      <c r="H1571">
        <v>8</v>
      </c>
      <c r="I1571">
        <v>40</v>
      </c>
      <c r="J1571">
        <v>41</v>
      </c>
      <c r="K1571">
        <v>393</v>
      </c>
      <c r="L1571">
        <v>105.13</v>
      </c>
      <c r="M1571">
        <v>2116.58</v>
      </c>
      <c r="N1571">
        <v>72395</v>
      </c>
      <c r="O1571">
        <v>1395.87</v>
      </c>
      <c r="P1571" s="1">
        <v>-0.70199999999999996</v>
      </c>
      <c r="Q1571">
        <f t="shared" si="120"/>
        <v>20</v>
      </c>
      <c r="R1571">
        <f t="shared" si="121"/>
        <v>49</v>
      </c>
      <c r="S1571" s="1">
        <f t="shared" si="122"/>
        <v>-1</v>
      </c>
      <c r="T1571">
        <f t="shared" si="123"/>
        <v>0.2</v>
      </c>
      <c r="U1571" t="str">
        <f t="shared" si="124"/>
        <v>Apr</v>
      </c>
    </row>
    <row r="1572" spans="1:21">
      <c r="A1572" s="2">
        <v>46106</v>
      </c>
      <c r="B1572" t="s">
        <v>4</v>
      </c>
      <c r="C1572" t="s">
        <v>40</v>
      </c>
      <c r="D1572" t="s">
        <v>7</v>
      </c>
      <c r="E1572" t="s">
        <v>32</v>
      </c>
      <c r="F1572" t="s">
        <v>45</v>
      </c>
      <c r="G1572">
        <v>53</v>
      </c>
      <c r="H1572">
        <v>25</v>
      </c>
      <c r="I1572">
        <v>81</v>
      </c>
      <c r="J1572">
        <v>125</v>
      </c>
      <c r="K1572">
        <v>383</v>
      </c>
      <c r="L1572">
        <v>111.13</v>
      </c>
      <c r="M1572">
        <v>1977.56</v>
      </c>
      <c r="N1572">
        <v>69143</v>
      </c>
      <c r="O1572">
        <v>1641.28</v>
      </c>
      <c r="P1572" s="1">
        <v>-0.51400000000000001</v>
      </c>
      <c r="Q1572">
        <f t="shared" si="120"/>
        <v>78</v>
      </c>
      <c r="R1572">
        <f t="shared" si="121"/>
        <v>150</v>
      </c>
      <c r="S1572" s="1">
        <f t="shared" si="122"/>
        <v>-3.8461538461538464E-2</v>
      </c>
      <c r="T1572">
        <f t="shared" si="123"/>
        <v>0.78</v>
      </c>
      <c r="U1572" t="str">
        <f t="shared" si="124"/>
        <v>Mar</v>
      </c>
    </row>
    <row r="1573" spans="1:21">
      <c r="A1573" s="2">
        <v>46068</v>
      </c>
      <c r="B1573" t="s">
        <v>6</v>
      </c>
      <c r="C1573" t="s">
        <v>44</v>
      </c>
      <c r="D1573" t="s">
        <v>11</v>
      </c>
      <c r="E1573" t="s">
        <v>35</v>
      </c>
      <c r="F1573" t="s">
        <v>49</v>
      </c>
      <c r="G1573">
        <v>115</v>
      </c>
      <c r="H1573">
        <v>64</v>
      </c>
      <c r="I1573">
        <v>76</v>
      </c>
      <c r="J1573">
        <v>41</v>
      </c>
      <c r="K1573">
        <v>156</v>
      </c>
      <c r="L1573">
        <v>125.09</v>
      </c>
      <c r="M1573">
        <v>2116.58</v>
      </c>
      <c r="N1573">
        <v>70667</v>
      </c>
      <c r="O1573">
        <v>1619.47</v>
      </c>
      <c r="P1573" s="1">
        <v>-2.1000000000000001E-2</v>
      </c>
      <c r="Q1573">
        <f t="shared" si="120"/>
        <v>179</v>
      </c>
      <c r="R1573">
        <f t="shared" si="121"/>
        <v>105</v>
      </c>
      <c r="S1573" s="1">
        <f t="shared" si="122"/>
        <v>0.57541899441340782</v>
      </c>
      <c r="T1573">
        <f t="shared" si="123"/>
        <v>1.79</v>
      </c>
      <c r="U1573" t="str">
        <f t="shared" si="124"/>
        <v>Feb</v>
      </c>
    </row>
    <row r="1574" spans="1:21">
      <c r="A1574" s="2">
        <v>46096</v>
      </c>
      <c r="B1574" t="s">
        <v>4</v>
      </c>
      <c r="C1574" t="s">
        <v>40</v>
      </c>
      <c r="D1574" t="s">
        <v>9</v>
      </c>
      <c r="E1574" t="s">
        <v>32</v>
      </c>
      <c r="F1574" t="s">
        <v>39</v>
      </c>
      <c r="G1574">
        <v>41</v>
      </c>
      <c r="H1574">
        <v>61</v>
      </c>
      <c r="I1574">
        <v>62</v>
      </c>
      <c r="J1574">
        <v>46</v>
      </c>
      <c r="K1574">
        <v>413</v>
      </c>
      <c r="L1574">
        <v>121.36</v>
      </c>
      <c r="M1574">
        <v>2402.71</v>
      </c>
      <c r="N1574">
        <v>75598</v>
      </c>
      <c r="O1574">
        <v>1197.45</v>
      </c>
      <c r="P1574" s="1">
        <v>-0.69</v>
      </c>
      <c r="Q1574">
        <f t="shared" si="120"/>
        <v>102</v>
      </c>
      <c r="R1574">
        <f t="shared" si="121"/>
        <v>107</v>
      </c>
      <c r="S1574" s="1">
        <f t="shared" si="122"/>
        <v>0.39215686274509803</v>
      </c>
      <c r="T1574">
        <f t="shared" si="123"/>
        <v>1.02</v>
      </c>
      <c r="U1574" t="str">
        <f t="shared" si="124"/>
        <v>Mar</v>
      </c>
    </row>
    <row r="1575" spans="1:21">
      <c r="A1575" s="2">
        <v>46068</v>
      </c>
      <c r="B1575" t="s">
        <v>6</v>
      </c>
      <c r="C1575" t="s">
        <v>46</v>
      </c>
      <c r="D1575" t="s">
        <v>7</v>
      </c>
      <c r="E1575" t="s">
        <v>47</v>
      </c>
      <c r="F1575" t="s">
        <v>33</v>
      </c>
      <c r="G1575">
        <v>81</v>
      </c>
      <c r="H1575">
        <v>27</v>
      </c>
      <c r="I1575">
        <v>27</v>
      </c>
      <c r="J1575">
        <v>127</v>
      </c>
      <c r="K1575">
        <v>280</v>
      </c>
      <c r="L1575">
        <v>81.58</v>
      </c>
      <c r="M1575">
        <v>1906.32</v>
      </c>
      <c r="N1575">
        <v>73958</v>
      </c>
      <c r="O1575">
        <v>1078.6300000000001</v>
      </c>
      <c r="P1575" s="1">
        <v>-0.55500000000000005</v>
      </c>
      <c r="Q1575">
        <f t="shared" si="120"/>
        <v>108</v>
      </c>
      <c r="R1575">
        <f t="shared" si="121"/>
        <v>154</v>
      </c>
      <c r="S1575" s="1">
        <f t="shared" si="122"/>
        <v>0.75</v>
      </c>
      <c r="T1575">
        <f t="shared" si="123"/>
        <v>1.08</v>
      </c>
      <c r="U1575" t="str">
        <f t="shared" si="124"/>
        <v>Feb</v>
      </c>
    </row>
    <row r="1576" spans="1:21">
      <c r="A1576" s="2">
        <v>46076</v>
      </c>
      <c r="B1576" t="s">
        <v>6</v>
      </c>
      <c r="C1576" t="s">
        <v>46</v>
      </c>
      <c r="D1576" t="s">
        <v>9</v>
      </c>
      <c r="E1576" t="s">
        <v>37</v>
      </c>
      <c r="F1576" t="s">
        <v>45</v>
      </c>
      <c r="G1576">
        <v>52</v>
      </c>
      <c r="H1576">
        <v>63</v>
      </c>
      <c r="I1576">
        <v>78</v>
      </c>
      <c r="J1576">
        <v>137</v>
      </c>
      <c r="K1576">
        <v>314</v>
      </c>
      <c r="L1576">
        <v>104.4</v>
      </c>
      <c r="M1576">
        <v>1827.3</v>
      </c>
      <c r="N1576">
        <v>71245</v>
      </c>
      <c r="O1576">
        <v>915.11</v>
      </c>
      <c r="P1576" s="1">
        <v>-0.56799999999999995</v>
      </c>
      <c r="Q1576">
        <f t="shared" si="120"/>
        <v>115</v>
      </c>
      <c r="R1576">
        <f t="shared" si="121"/>
        <v>200</v>
      </c>
      <c r="S1576" s="1">
        <f t="shared" si="122"/>
        <v>0.32173913043478258</v>
      </c>
      <c r="T1576">
        <f t="shared" si="123"/>
        <v>1.1499999999999999</v>
      </c>
      <c r="U1576" t="str">
        <f t="shared" si="124"/>
        <v>Feb</v>
      </c>
    </row>
    <row r="1577" spans="1:21">
      <c r="A1577" s="2">
        <v>46074</v>
      </c>
      <c r="B1577" t="s">
        <v>6</v>
      </c>
      <c r="C1577" t="s">
        <v>51</v>
      </c>
      <c r="D1577" t="s">
        <v>11</v>
      </c>
      <c r="E1577" t="s">
        <v>41</v>
      </c>
      <c r="F1577" t="s">
        <v>33</v>
      </c>
      <c r="G1577">
        <v>45</v>
      </c>
      <c r="H1577">
        <v>30</v>
      </c>
      <c r="I1577">
        <v>42</v>
      </c>
      <c r="J1577">
        <v>56</v>
      </c>
      <c r="K1577">
        <v>433</v>
      </c>
      <c r="L1577">
        <v>129.33000000000001</v>
      </c>
      <c r="M1577">
        <v>2004.03</v>
      </c>
      <c r="N1577">
        <v>65181</v>
      </c>
      <c r="O1577">
        <v>1657.18</v>
      </c>
      <c r="P1577" s="1">
        <v>-0.53800000000000003</v>
      </c>
      <c r="Q1577">
        <f t="shared" si="120"/>
        <v>75</v>
      </c>
      <c r="R1577">
        <f t="shared" si="121"/>
        <v>86</v>
      </c>
      <c r="S1577" s="1">
        <f t="shared" si="122"/>
        <v>0.44</v>
      </c>
      <c r="T1577">
        <f t="shared" si="123"/>
        <v>0.75</v>
      </c>
      <c r="U1577" t="str">
        <f t="shared" si="124"/>
        <v>Feb</v>
      </c>
    </row>
    <row r="1578" spans="1:21">
      <c r="A1578" s="2">
        <v>46096</v>
      </c>
      <c r="B1578" t="s">
        <v>6</v>
      </c>
      <c r="C1578" t="s">
        <v>43</v>
      </c>
      <c r="D1578" t="s">
        <v>5</v>
      </c>
      <c r="E1578" t="s">
        <v>32</v>
      </c>
      <c r="F1578" t="s">
        <v>49</v>
      </c>
      <c r="G1578">
        <v>1</v>
      </c>
      <c r="H1578">
        <v>43</v>
      </c>
      <c r="I1578">
        <v>51</v>
      </c>
      <c r="J1578">
        <v>141</v>
      </c>
      <c r="K1578">
        <v>185</v>
      </c>
      <c r="L1578">
        <v>81.319999999999993</v>
      </c>
      <c r="M1578">
        <v>2269.9699999999998</v>
      </c>
      <c r="N1578">
        <v>74545</v>
      </c>
      <c r="O1578">
        <v>1430.61</v>
      </c>
      <c r="P1578" s="1">
        <v>0.215</v>
      </c>
      <c r="Q1578">
        <f t="shared" si="120"/>
        <v>44</v>
      </c>
      <c r="R1578">
        <f t="shared" si="121"/>
        <v>184</v>
      </c>
      <c r="S1578" s="1">
        <f t="shared" si="122"/>
        <v>-0.15909090909090909</v>
      </c>
      <c r="T1578">
        <f t="shared" si="123"/>
        <v>0.44</v>
      </c>
      <c r="U1578" t="str">
        <f t="shared" si="124"/>
        <v>Mar</v>
      </c>
    </row>
    <row r="1579" spans="1:21">
      <c r="A1579" s="2">
        <v>46116</v>
      </c>
      <c r="B1579" t="s">
        <v>6</v>
      </c>
      <c r="C1579" t="s">
        <v>31</v>
      </c>
      <c r="D1579" t="s">
        <v>9</v>
      </c>
      <c r="E1579" t="s">
        <v>37</v>
      </c>
      <c r="F1579" t="s">
        <v>33</v>
      </c>
      <c r="G1579">
        <v>65</v>
      </c>
      <c r="H1579">
        <v>37</v>
      </c>
      <c r="I1579">
        <v>38</v>
      </c>
      <c r="J1579">
        <v>65</v>
      </c>
      <c r="K1579">
        <v>335</v>
      </c>
      <c r="L1579">
        <v>90.78</v>
      </c>
      <c r="M1579">
        <v>2180.8200000000002</v>
      </c>
      <c r="N1579">
        <v>74854</v>
      </c>
      <c r="O1579">
        <v>1292.67</v>
      </c>
      <c r="P1579" s="1">
        <v>-0.58199999999999996</v>
      </c>
      <c r="Q1579">
        <f t="shared" si="120"/>
        <v>102</v>
      </c>
      <c r="R1579">
        <f t="shared" si="121"/>
        <v>102</v>
      </c>
      <c r="S1579" s="1">
        <f t="shared" si="122"/>
        <v>0.62745098039215685</v>
      </c>
      <c r="T1579">
        <f t="shared" si="123"/>
        <v>1.02</v>
      </c>
      <c r="U1579" t="str">
        <f t="shared" si="124"/>
        <v>Apr</v>
      </c>
    </row>
    <row r="1580" spans="1:21">
      <c r="A1580" s="2">
        <v>46096</v>
      </c>
      <c r="B1580" t="s">
        <v>6</v>
      </c>
      <c r="C1580" t="s">
        <v>48</v>
      </c>
      <c r="D1580" t="s">
        <v>10</v>
      </c>
      <c r="E1580" t="s">
        <v>32</v>
      </c>
      <c r="F1580" t="s">
        <v>39</v>
      </c>
      <c r="G1580">
        <v>100</v>
      </c>
      <c r="H1580">
        <v>25</v>
      </c>
      <c r="I1580">
        <v>29</v>
      </c>
      <c r="J1580">
        <v>124</v>
      </c>
      <c r="K1580">
        <v>315</v>
      </c>
      <c r="L1580">
        <v>138.32</v>
      </c>
      <c r="M1580">
        <v>2329.17</v>
      </c>
      <c r="N1580">
        <v>75169</v>
      </c>
      <c r="O1580">
        <v>1286.71</v>
      </c>
      <c r="P1580" s="1">
        <v>-0.93</v>
      </c>
      <c r="Q1580">
        <f t="shared" si="120"/>
        <v>125</v>
      </c>
      <c r="R1580">
        <f t="shared" si="121"/>
        <v>149</v>
      </c>
      <c r="S1580" s="1">
        <f t="shared" si="122"/>
        <v>0.76800000000000002</v>
      </c>
      <c r="T1580">
        <f t="shared" si="123"/>
        <v>1.25</v>
      </c>
      <c r="U1580" t="str">
        <f t="shared" si="124"/>
        <v>Mar</v>
      </c>
    </row>
    <row r="1581" spans="1:21">
      <c r="A1581" s="2">
        <v>46100</v>
      </c>
      <c r="B1581" t="s">
        <v>6</v>
      </c>
      <c r="C1581" t="s">
        <v>34</v>
      </c>
      <c r="D1581" t="s">
        <v>9</v>
      </c>
      <c r="E1581" t="s">
        <v>41</v>
      </c>
      <c r="F1581" t="s">
        <v>45</v>
      </c>
      <c r="G1581">
        <v>86</v>
      </c>
      <c r="H1581">
        <v>36</v>
      </c>
      <c r="I1581">
        <v>41</v>
      </c>
      <c r="J1581">
        <v>59</v>
      </c>
      <c r="K1581">
        <v>378</v>
      </c>
      <c r="L1581">
        <v>109.97</v>
      </c>
      <c r="M1581">
        <v>2355.91</v>
      </c>
      <c r="N1581">
        <v>66385</v>
      </c>
      <c r="O1581">
        <v>1548.54</v>
      </c>
      <c r="P1581" s="1">
        <v>-0.495</v>
      </c>
      <c r="Q1581">
        <f t="shared" si="120"/>
        <v>122</v>
      </c>
      <c r="R1581">
        <f t="shared" si="121"/>
        <v>95</v>
      </c>
      <c r="S1581" s="1">
        <f t="shared" si="122"/>
        <v>0.66393442622950816</v>
      </c>
      <c r="T1581">
        <f t="shared" si="123"/>
        <v>1.22</v>
      </c>
      <c r="U1581" t="str">
        <f t="shared" si="124"/>
        <v>Mar</v>
      </c>
    </row>
    <row r="1582" spans="1:21">
      <c r="A1582" s="2">
        <v>46085</v>
      </c>
      <c r="B1582" t="s">
        <v>4</v>
      </c>
      <c r="C1582" t="s">
        <v>48</v>
      </c>
      <c r="D1582" t="s">
        <v>9</v>
      </c>
      <c r="E1582" t="s">
        <v>38</v>
      </c>
      <c r="F1582" t="s">
        <v>45</v>
      </c>
      <c r="G1582">
        <v>73</v>
      </c>
      <c r="H1582">
        <v>47</v>
      </c>
      <c r="I1582">
        <v>32</v>
      </c>
      <c r="J1582">
        <v>156</v>
      </c>
      <c r="K1582">
        <v>37</v>
      </c>
      <c r="L1582">
        <v>125.67</v>
      </c>
      <c r="M1582">
        <v>2365.14</v>
      </c>
      <c r="N1582">
        <v>73642</v>
      </c>
      <c r="O1582">
        <v>1348.59</v>
      </c>
      <c r="P1582" s="1">
        <v>0.43</v>
      </c>
      <c r="Q1582">
        <f t="shared" si="120"/>
        <v>120</v>
      </c>
      <c r="R1582">
        <f t="shared" si="121"/>
        <v>203</v>
      </c>
      <c r="S1582" s="1">
        <f t="shared" si="122"/>
        <v>0.73333333333333328</v>
      </c>
      <c r="T1582">
        <f t="shared" si="123"/>
        <v>1.2</v>
      </c>
      <c r="U1582" t="str">
        <f t="shared" si="124"/>
        <v>Mar</v>
      </c>
    </row>
    <row r="1583" spans="1:21">
      <c r="A1583" s="2">
        <v>46089</v>
      </c>
      <c r="B1583" t="s">
        <v>4</v>
      </c>
      <c r="C1583" t="s">
        <v>50</v>
      </c>
      <c r="D1583" t="s">
        <v>5</v>
      </c>
      <c r="E1583" t="s">
        <v>47</v>
      </c>
      <c r="F1583" t="s">
        <v>45</v>
      </c>
      <c r="G1583">
        <v>86</v>
      </c>
      <c r="H1583">
        <v>22</v>
      </c>
      <c r="I1583">
        <v>29</v>
      </c>
      <c r="J1583">
        <v>1</v>
      </c>
      <c r="K1583">
        <v>349</v>
      </c>
      <c r="L1583">
        <v>103.97</v>
      </c>
      <c r="M1583">
        <v>2457.16</v>
      </c>
      <c r="N1583">
        <v>68737</v>
      </c>
      <c r="O1583">
        <v>1527.67</v>
      </c>
      <c r="P1583" s="1">
        <v>-0.29899999999999999</v>
      </c>
      <c r="Q1583">
        <f t="shared" si="120"/>
        <v>108</v>
      </c>
      <c r="R1583">
        <f t="shared" si="121"/>
        <v>23</v>
      </c>
      <c r="S1583" s="1">
        <f t="shared" si="122"/>
        <v>0.73148148148148151</v>
      </c>
      <c r="T1583">
        <f t="shared" si="123"/>
        <v>1.08</v>
      </c>
      <c r="U1583" t="str">
        <f t="shared" si="124"/>
        <v>Mar</v>
      </c>
    </row>
    <row r="1584" spans="1:21">
      <c r="A1584" s="2">
        <v>46101</v>
      </c>
      <c r="B1584" t="s">
        <v>4</v>
      </c>
      <c r="C1584" t="s">
        <v>36</v>
      </c>
      <c r="D1584" t="s">
        <v>9</v>
      </c>
      <c r="E1584" t="s">
        <v>38</v>
      </c>
      <c r="F1584" t="s">
        <v>39</v>
      </c>
      <c r="G1584">
        <v>72</v>
      </c>
      <c r="H1584">
        <v>42</v>
      </c>
      <c r="I1584">
        <v>0</v>
      </c>
      <c r="J1584">
        <v>31</v>
      </c>
      <c r="K1584">
        <v>323</v>
      </c>
      <c r="L1584">
        <v>129.74</v>
      </c>
      <c r="M1584">
        <v>1985.08</v>
      </c>
      <c r="N1584">
        <v>65747</v>
      </c>
      <c r="O1584">
        <v>932.47</v>
      </c>
      <c r="P1584" s="1">
        <v>0.58099999999999996</v>
      </c>
      <c r="Q1584">
        <f t="shared" si="120"/>
        <v>114</v>
      </c>
      <c r="R1584">
        <f t="shared" si="121"/>
        <v>73</v>
      </c>
      <c r="S1584" s="1">
        <f t="shared" si="122"/>
        <v>1</v>
      </c>
      <c r="T1584">
        <f t="shared" si="123"/>
        <v>1.1399999999999999</v>
      </c>
      <c r="U1584" t="str">
        <f t="shared" si="124"/>
        <v>Mar</v>
      </c>
    </row>
    <row r="1585" spans="1:21">
      <c r="A1585" s="2">
        <v>46075</v>
      </c>
      <c r="B1585" t="s">
        <v>6</v>
      </c>
      <c r="C1585" t="s">
        <v>31</v>
      </c>
      <c r="D1585" t="s">
        <v>5</v>
      </c>
      <c r="E1585" t="s">
        <v>41</v>
      </c>
      <c r="F1585" t="s">
        <v>39</v>
      </c>
      <c r="G1585">
        <v>93</v>
      </c>
      <c r="H1585">
        <v>0</v>
      </c>
      <c r="I1585">
        <v>16</v>
      </c>
      <c r="J1585">
        <v>65</v>
      </c>
      <c r="K1585">
        <v>15</v>
      </c>
      <c r="L1585">
        <v>89.51</v>
      </c>
      <c r="M1585">
        <v>1992.34</v>
      </c>
      <c r="N1585">
        <v>67427</v>
      </c>
      <c r="O1585">
        <v>1349.8</v>
      </c>
      <c r="P1585" s="1">
        <v>0.247</v>
      </c>
      <c r="Q1585">
        <f t="shared" si="120"/>
        <v>93</v>
      </c>
      <c r="R1585">
        <f t="shared" si="121"/>
        <v>65</v>
      </c>
      <c r="S1585" s="1">
        <f t="shared" si="122"/>
        <v>0.82795698924731187</v>
      </c>
      <c r="T1585">
        <f t="shared" si="123"/>
        <v>0.93</v>
      </c>
      <c r="U1585" t="str">
        <f t="shared" si="124"/>
        <v>Feb</v>
      </c>
    </row>
    <row r="1586" spans="1:21">
      <c r="A1586" s="2">
        <v>46072</v>
      </c>
      <c r="B1586" t="s">
        <v>4</v>
      </c>
      <c r="C1586" t="s">
        <v>44</v>
      </c>
      <c r="D1586" t="s">
        <v>9</v>
      </c>
      <c r="E1586" t="s">
        <v>42</v>
      </c>
      <c r="F1586" t="s">
        <v>45</v>
      </c>
      <c r="G1586">
        <v>86</v>
      </c>
      <c r="H1586">
        <v>57</v>
      </c>
      <c r="I1586">
        <v>77</v>
      </c>
      <c r="J1586">
        <v>47</v>
      </c>
      <c r="K1586">
        <v>164</v>
      </c>
      <c r="L1586">
        <v>127.1</v>
      </c>
      <c r="M1586">
        <v>2427.08</v>
      </c>
      <c r="N1586">
        <v>67554</v>
      </c>
      <c r="O1586">
        <v>1435</v>
      </c>
      <c r="P1586" s="1">
        <v>-0.22800000000000001</v>
      </c>
      <c r="Q1586">
        <f t="shared" si="120"/>
        <v>143</v>
      </c>
      <c r="R1586">
        <f t="shared" si="121"/>
        <v>104</v>
      </c>
      <c r="S1586" s="1">
        <f t="shared" si="122"/>
        <v>0.46153846153846156</v>
      </c>
      <c r="T1586">
        <f t="shared" si="123"/>
        <v>1.43</v>
      </c>
      <c r="U1586" t="str">
        <f t="shared" si="124"/>
        <v>Feb</v>
      </c>
    </row>
    <row r="1587" spans="1:21">
      <c r="A1587" s="2">
        <v>46073</v>
      </c>
      <c r="B1587" t="s">
        <v>4</v>
      </c>
      <c r="C1587" t="s">
        <v>36</v>
      </c>
      <c r="D1587" t="s">
        <v>5</v>
      </c>
      <c r="E1587" t="s">
        <v>42</v>
      </c>
      <c r="F1587" t="s">
        <v>33</v>
      </c>
      <c r="G1587">
        <v>35</v>
      </c>
      <c r="H1587">
        <v>1</v>
      </c>
      <c r="I1587">
        <v>86</v>
      </c>
      <c r="J1587">
        <v>158</v>
      </c>
      <c r="K1587">
        <v>45</v>
      </c>
      <c r="L1587">
        <v>115.07</v>
      </c>
      <c r="M1587">
        <v>2432.33</v>
      </c>
      <c r="N1587">
        <v>71118</v>
      </c>
      <c r="O1587">
        <v>1666.39</v>
      </c>
      <c r="P1587" s="1">
        <v>0.55100000000000005</v>
      </c>
      <c r="Q1587">
        <f t="shared" si="120"/>
        <v>36</v>
      </c>
      <c r="R1587">
        <f t="shared" si="121"/>
        <v>159</v>
      </c>
      <c r="S1587" s="1">
        <f t="shared" si="122"/>
        <v>-1.3888888888888888</v>
      </c>
      <c r="T1587">
        <f t="shared" si="123"/>
        <v>0.36</v>
      </c>
      <c r="U1587" t="str">
        <f t="shared" si="124"/>
        <v>Feb</v>
      </c>
    </row>
    <row r="1588" spans="1:21">
      <c r="A1588" s="2">
        <v>46115</v>
      </c>
      <c r="B1588" t="s">
        <v>6</v>
      </c>
      <c r="C1588" t="s">
        <v>40</v>
      </c>
      <c r="D1588" t="s">
        <v>11</v>
      </c>
      <c r="E1588" t="s">
        <v>32</v>
      </c>
      <c r="F1588" t="s">
        <v>39</v>
      </c>
      <c r="G1588">
        <v>38</v>
      </c>
      <c r="H1588">
        <v>7</v>
      </c>
      <c r="I1588">
        <v>58</v>
      </c>
      <c r="J1588">
        <v>8</v>
      </c>
      <c r="K1588">
        <v>285</v>
      </c>
      <c r="L1588">
        <v>107.49</v>
      </c>
      <c r="M1588">
        <v>2383.2600000000002</v>
      </c>
      <c r="N1588">
        <v>74978</v>
      </c>
      <c r="O1588">
        <v>1444.12</v>
      </c>
      <c r="P1588" s="1">
        <v>0.59</v>
      </c>
      <c r="Q1588">
        <f t="shared" si="120"/>
        <v>45</v>
      </c>
      <c r="R1588">
        <f t="shared" si="121"/>
        <v>15</v>
      </c>
      <c r="S1588" s="1">
        <f t="shared" si="122"/>
        <v>-0.28888888888888886</v>
      </c>
      <c r="T1588">
        <f t="shared" si="123"/>
        <v>0.45</v>
      </c>
      <c r="U1588" t="str">
        <f t="shared" si="124"/>
        <v>Apr</v>
      </c>
    </row>
    <row r="1589" spans="1:21">
      <c r="A1589" s="2">
        <v>46105</v>
      </c>
      <c r="B1589" t="s">
        <v>4</v>
      </c>
      <c r="C1589" t="s">
        <v>34</v>
      </c>
      <c r="D1589" t="s">
        <v>11</v>
      </c>
      <c r="E1589" t="s">
        <v>42</v>
      </c>
      <c r="F1589" t="s">
        <v>45</v>
      </c>
      <c r="G1589">
        <v>103</v>
      </c>
      <c r="H1589">
        <v>25</v>
      </c>
      <c r="I1589">
        <v>57</v>
      </c>
      <c r="J1589">
        <v>20</v>
      </c>
      <c r="K1589">
        <v>137</v>
      </c>
      <c r="L1589">
        <v>136.16999999999999</v>
      </c>
      <c r="M1589">
        <v>2473.04</v>
      </c>
      <c r="N1589">
        <v>71960</v>
      </c>
      <c r="O1589">
        <v>1287.47</v>
      </c>
      <c r="P1589" s="1">
        <v>0.62</v>
      </c>
      <c r="Q1589">
        <f t="shared" si="120"/>
        <v>128</v>
      </c>
      <c r="R1589">
        <f t="shared" si="121"/>
        <v>45</v>
      </c>
      <c r="S1589" s="1">
        <f t="shared" si="122"/>
        <v>0.5546875</v>
      </c>
      <c r="T1589">
        <f t="shared" si="123"/>
        <v>1.28</v>
      </c>
      <c r="U1589" t="str">
        <f t="shared" si="124"/>
        <v>Mar</v>
      </c>
    </row>
    <row r="1590" spans="1:21">
      <c r="A1590" s="2">
        <v>46098</v>
      </c>
      <c r="B1590" t="s">
        <v>4</v>
      </c>
      <c r="C1590" t="s">
        <v>31</v>
      </c>
      <c r="D1590" t="s">
        <v>9</v>
      </c>
      <c r="E1590" t="s">
        <v>35</v>
      </c>
      <c r="F1590" t="s">
        <v>45</v>
      </c>
      <c r="G1590">
        <v>113</v>
      </c>
      <c r="H1590">
        <v>73</v>
      </c>
      <c r="I1590">
        <v>0</v>
      </c>
      <c r="J1590">
        <v>77</v>
      </c>
      <c r="K1590">
        <v>442</v>
      </c>
      <c r="L1590">
        <v>133.33000000000001</v>
      </c>
      <c r="M1590">
        <v>2497.29</v>
      </c>
      <c r="N1590">
        <v>70895</v>
      </c>
      <c r="O1590">
        <v>1784.44</v>
      </c>
      <c r="P1590" s="1">
        <v>-0.54900000000000004</v>
      </c>
      <c r="Q1590">
        <f t="shared" si="120"/>
        <v>186</v>
      </c>
      <c r="R1590">
        <f t="shared" si="121"/>
        <v>150</v>
      </c>
      <c r="S1590" s="1">
        <f t="shared" si="122"/>
        <v>1</v>
      </c>
      <c r="T1590">
        <f t="shared" si="123"/>
        <v>1.86</v>
      </c>
      <c r="U1590" t="str">
        <f t="shared" si="124"/>
        <v>Mar</v>
      </c>
    </row>
    <row r="1591" spans="1:21">
      <c r="A1591" s="2">
        <v>46117</v>
      </c>
      <c r="B1591" t="s">
        <v>4</v>
      </c>
      <c r="C1591" t="s">
        <v>50</v>
      </c>
      <c r="D1591" t="s">
        <v>10</v>
      </c>
      <c r="E1591" t="s">
        <v>37</v>
      </c>
      <c r="F1591" t="s">
        <v>49</v>
      </c>
      <c r="G1591">
        <v>84</v>
      </c>
      <c r="H1591">
        <v>35</v>
      </c>
      <c r="I1591">
        <v>72</v>
      </c>
      <c r="J1591">
        <v>28</v>
      </c>
      <c r="K1591">
        <v>307</v>
      </c>
      <c r="L1591">
        <v>99.7</v>
      </c>
      <c r="M1591">
        <v>2169.48</v>
      </c>
      <c r="N1591">
        <v>72718</v>
      </c>
      <c r="O1591">
        <v>1704.18</v>
      </c>
      <c r="P1591" s="1">
        <v>-0.29099999999999998</v>
      </c>
      <c r="Q1591">
        <f t="shared" si="120"/>
        <v>119</v>
      </c>
      <c r="R1591">
        <f t="shared" si="121"/>
        <v>63</v>
      </c>
      <c r="S1591" s="1">
        <f t="shared" si="122"/>
        <v>0.3949579831932773</v>
      </c>
      <c r="T1591">
        <f t="shared" si="123"/>
        <v>1.19</v>
      </c>
      <c r="U1591" t="str">
        <f t="shared" si="124"/>
        <v>Apr</v>
      </c>
    </row>
    <row r="1592" spans="1:21">
      <c r="A1592" s="2">
        <v>46097</v>
      </c>
      <c r="B1592" t="s">
        <v>4</v>
      </c>
      <c r="C1592" t="s">
        <v>36</v>
      </c>
      <c r="D1592" t="s">
        <v>10</v>
      </c>
      <c r="E1592" t="s">
        <v>32</v>
      </c>
      <c r="F1592" t="s">
        <v>45</v>
      </c>
      <c r="G1592">
        <v>109</v>
      </c>
      <c r="H1592">
        <v>69</v>
      </c>
      <c r="I1592">
        <v>28</v>
      </c>
      <c r="J1592">
        <v>139</v>
      </c>
      <c r="K1592">
        <v>118</v>
      </c>
      <c r="L1592">
        <v>108.7</v>
      </c>
      <c r="M1592">
        <v>2325.09</v>
      </c>
      <c r="N1592">
        <v>70511</v>
      </c>
      <c r="O1592">
        <v>1596.89</v>
      </c>
      <c r="P1592" s="1">
        <v>-0.32500000000000001</v>
      </c>
      <c r="Q1592">
        <f t="shared" si="120"/>
        <v>178</v>
      </c>
      <c r="R1592">
        <f t="shared" si="121"/>
        <v>208</v>
      </c>
      <c r="S1592" s="1">
        <f t="shared" si="122"/>
        <v>0.84269662921348309</v>
      </c>
      <c r="T1592">
        <f t="shared" si="123"/>
        <v>1.78</v>
      </c>
      <c r="U1592" t="str">
        <f t="shared" si="124"/>
        <v>Mar</v>
      </c>
    </row>
    <row r="1593" spans="1:21">
      <c r="A1593" s="2">
        <v>46120</v>
      </c>
      <c r="B1593" t="s">
        <v>6</v>
      </c>
      <c r="C1593" t="s">
        <v>46</v>
      </c>
      <c r="D1593" t="s">
        <v>5</v>
      </c>
      <c r="E1593" t="s">
        <v>41</v>
      </c>
      <c r="F1593" t="s">
        <v>33</v>
      </c>
      <c r="G1593">
        <v>93</v>
      </c>
      <c r="H1593">
        <v>69</v>
      </c>
      <c r="I1593">
        <v>51</v>
      </c>
      <c r="J1593">
        <v>122</v>
      </c>
      <c r="K1593">
        <v>208</v>
      </c>
      <c r="L1593">
        <v>83</v>
      </c>
      <c r="M1593">
        <v>2151.4299999999998</v>
      </c>
      <c r="N1593">
        <v>66448</v>
      </c>
      <c r="O1593">
        <v>1578.25</v>
      </c>
      <c r="P1593" s="1">
        <v>0.77100000000000002</v>
      </c>
      <c r="Q1593">
        <f t="shared" si="120"/>
        <v>162</v>
      </c>
      <c r="R1593">
        <f t="shared" si="121"/>
        <v>191</v>
      </c>
      <c r="S1593" s="1">
        <f t="shared" si="122"/>
        <v>0.68518518518518523</v>
      </c>
      <c r="T1593">
        <f t="shared" si="123"/>
        <v>1.62</v>
      </c>
      <c r="U1593" t="str">
        <f t="shared" si="124"/>
        <v>Apr</v>
      </c>
    </row>
    <row r="1594" spans="1:21">
      <c r="A1594" s="2">
        <v>46101</v>
      </c>
      <c r="B1594" t="s">
        <v>4</v>
      </c>
      <c r="C1594" t="s">
        <v>34</v>
      </c>
      <c r="D1594" t="s">
        <v>9</v>
      </c>
      <c r="E1594" t="s">
        <v>32</v>
      </c>
      <c r="F1594" t="s">
        <v>49</v>
      </c>
      <c r="G1594">
        <v>42</v>
      </c>
      <c r="H1594">
        <v>14</v>
      </c>
      <c r="I1594">
        <v>44</v>
      </c>
      <c r="J1594">
        <v>76</v>
      </c>
      <c r="K1594">
        <v>186</v>
      </c>
      <c r="L1594">
        <v>104.47</v>
      </c>
      <c r="M1594">
        <v>1919.7</v>
      </c>
      <c r="N1594">
        <v>68701</v>
      </c>
      <c r="O1594">
        <v>1634.76</v>
      </c>
      <c r="P1594" s="1">
        <v>0.91100000000000003</v>
      </c>
      <c r="Q1594">
        <f t="shared" si="120"/>
        <v>56</v>
      </c>
      <c r="R1594">
        <f t="shared" si="121"/>
        <v>90</v>
      </c>
      <c r="S1594" s="1">
        <f t="shared" si="122"/>
        <v>0.21428571428571427</v>
      </c>
      <c r="T1594">
        <f t="shared" si="123"/>
        <v>0.56000000000000005</v>
      </c>
      <c r="U1594" t="str">
        <f t="shared" si="124"/>
        <v>Mar</v>
      </c>
    </row>
    <row r="1595" spans="1:21">
      <c r="A1595" s="2">
        <v>46073</v>
      </c>
      <c r="B1595" t="s">
        <v>6</v>
      </c>
      <c r="C1595" t="s">
        <v>48</v>
      </c>
      <c r="D1595" t="s">
        <v>7</v>
      </c>
      <c r="E1595" t="s">
        <v>42</v>
      </c>
      <c r="F1595" t="s">
        <v>45</v>
      </c>
      <c r="G1595">
        <v>93</v>
      </c>
      <c r="H1595">
        <v>8</v>
      </c>
      <c r="I1595">
        <v>8</v>
      </c>
      <c r="J1595">
        <v>13</v>
      </c>
      <c r="K1595">
        <v>435</v>
      </c>
      <c r="L1595">
        <v>123.87</v>
      </c>
      <c r="M1595">
        <v>2092.71</v>
      </c>
      <c r="N1595">
        <v>65148</v>
      </c>
      <c r="O1595">
        <v>1129.68</v>
      </c>
      <c r="P1595" s="1">
        <v>-4.2000000000000003E-2</v>
      </c>
      <c r="Q1595">
        <f t="shared" si="120"/>
        <v>101</v>
      </c>
      <c r="R1595">
        <f t="shared" si="121"/>
        <v>21</v>
      </c>
      <c r="S1595" s="1">
        <f t="shared" si="122"/>
        <v>0.92079207920792083</v>
      </c>
      <c r="T1595">
        <f t="shared" si="123"/>
        <v>1.01</v>
      </c>
      <c r="U1595" t="str">
        <f t="shared" si="124"/>
        <v>Feb</v>
      </c>
    </row>
    <row r="1596" spans="1:21">
      <c r="A1596" s="2">
        <v>46092</v>
      </c>
      <c r="B1596" t="s">
        <v>4</v>
      </c>
      <c r="C1596" t="s">
        <v>31</v>
      </c>
      <c r="D1596" t="s">
        <v>5</v>
      </c>
      <c r="E1596" t="s">
        <v>47</v>
      </c>
      <c r="F1596" t="s">
        <v>39</v>
      </c>
      <c r="G1596">
        <v>113</v>
      </c>
      <c r="H1596">
        <v>78</v>
      </c>
      <c r="I1596">
        <v>50</v>
      </c>
      <c r="J1596">
        <v>54</v>
      </c>
      <c r="K1596">
        <v>329</v>
      </c>
      <c r="L1596">
        <v>102.82</v>
      </c>
      <c r="M1596">
        <v>2356.33</v>
      </c>
      <c r="N1596">
        <v>68344</v>
      </c>
      <c r="O1596">
        <v>1266.2</v>
      </c>
      <c r="P1596" s="1">
        <v>-0.216</v>
      </c>
      <c r="Q1596">
        <f t="shared" si="120"/>
        <v>191</v>
      </c>
      <c r="R1596">
        <f t="shared" si="121"/>
        <v>132</v>
      </c>
      <c r="S1596" s="1">
        <f t="shared" si="122"/>
        <v>0.73821989528795806</v>
      </c>
      <c r="T1596">
        <f t="shared" si="123"/>
        <v>1.91</v>
      </c>
      <c r="U1596" t="str">
        <f t="shared" si="124"/>
        <v>Mar</v>
      </c>
    </row>
    <row r="1597" spans="1:21">
      <c r="A1597" s="2">
        <v>46068</v>
      </c>
      <c r="B1597" t="s">
        <v>4</v>
      </c>
      <c r="C1597" t="s">
        <v>50</v>
      </c>
      <c r="D1597" t="s">
        <v>7</v>
      </c>
      <c r="E1597" t="s">
        <v>38</v>
      </c>
      <c r="F1597" t="s">
        <v>33</v>
      </c>
      <c r="G1597">
        <v>8</v>
      </c>
      <c r="H1597">
        <v>42</v>
      </c>
      <c r="I1597">
        <v>48</v>
      </c>
      <c r="J1597">
        <v>12</v>
      </c>
      <c r="K1597">
        <v>85</v>
      </c>
      <c r="L1597">
        <v>128.74</v>
      </c>
      <c r="M1597">
        <v>2025.59</v>
      </c>
      <c r="N1597">
        <v>64954</v>
      </c>
      <c r="O1597">
        <v>1194.48</v>
      </c>
      <c r="P1597" s="1">
        <v>-5.7000000000000002E-2</v>
      </c>
      <c r="Q1597">
        <f t="shared" si="120"/>
        <v>50</v>
      </c>
      <c r="R1597">
        <f t="shared" si="121"/>
        <v>54</v>
      </c>
      <c r="S1597" s="1">
        <f t="shared" si="122"/>
        <v>0.04</v>
      </c>
      <c r="T1597">
        <f t="shared" si="123"/>
        <v>0.5</v>
      </c>
      <c r="U1597" t="str">
        <f t="shared" si="124"/>
        <v>Feb</v>
      </c>
    </row>
    <row r="1598" spans="1:21">
      <c r="A1598" s="2">
        <v>46107</v>
      </c>
      <c r="B1598" t="s">
        <v>6</v>
      </c>
      <c r="C1598" t="s">
        <v>34</v>
      </c>
      <c r="D1598" t="s">
        <v>9</v>
      </c>
      <c r="E1598" t="s">
        <v>38</v>
      </c>
      <c r="F1598" t="s">
        <v>39</v>
      </c>
      <c r="G1598">
        <v>78</v>
      </c>
      <c r="H1598">
        <v>67</v>
      </c>
      <c r="I1598">
        <v>32</v>
      </c>
      <c r="J1598">
        <v>59</v>
      </c>
      <c r="K1598">
        <v>76</v>
      </c>
      <c r="L1598">
        <v>91.86</v>
      </c>
      <c r="M1598">
        <v>2111.64</v>
      </c>
      <c r="N1598">
        <v>75021</v>
      </c>
      <c r="O1598">
        <v>1381.53</v>
      </c>
      <c r="P1598" s="1">
        <v>-0.55700000000000005</v>
      </c>
      <c r="Q1598">
        <f t="shared" si="120"/>
        <v>145</v>
      </c>
      <c r="R1598">
        <f t="shared" si="121"/>
        <v>126</v>
      </c>
      <c r="S1598" s="1">
        <f t="shared" si="122"/>
        <v>0.77931034482758621</v>
      </c>
      <c r="T1598">
        <f t="shared" si="123"/>
        <v>1.45</v>
      </c>
      <c r="U1598" t="str">
        <f t="shared" si="124"/>
        <v>Mar</v>
      </c>
    </row>
    <row r="1599" spans="1:21">
      <c r="A1599" s="2">
        <v>46084</v>
      </c>
      <c r="B1599" t="s">
        <v>4</v>
      </c>
      <c r="C1599" t="s">
        <v>44</v>
      </c>
      <c r="D1599" t="s">
        <v>5</v>
      </c>
      <c r="E1599" t="s">
        <v>37</v>
      </c>
      <c r="F1599" t="s">
        <v>45</v>
      </c>
      <c r="G1599">
        <v>22</v>
      </c>
      <c r="H1599">
        <v>41</v>
      </c>
      <c r="I1599">
        <v>69</v>
      </c>
      <c r="J1599">
        <v>118</v>
      </c>
      <c r="K1599">
        <v>299</v>
      </c>
      <c r="L1599">
        <v>118.34</v>
      </c>
      <c r="M1599">
        <v>2334.29</v>
      </c>
      <c r="N1599">
        <v>66038</v>
      </c>
      <c r="O1599">
        <v>940.31</v>
      </c>
      <c r="P1599" s="1">
        <v>-0.73899999999999999</v>
      </c>
      <c r="Q1599">
        <f t="shared" si="120"/>
        <v>63</v>
      </c>
      <c r="R1599">
        <f t="shared" si="121"/>
        <v>159</v>
      </c>
      <c r="S1599" s="1">
        <f t="shared" si="122"/>
        <v>-9.5238095238095233E-2</v>
      </c>
      <c r="T1599">
        <f t="shared" si="123"/>
        <v>0.63</v>
      </c>
      <c r="U1599" t="str">
        <f t="shared" si="124"/>
        <v>Mar</v>
      </c>
    </row>
    <row r="1600" spans="1:21">
      <c r="A1600" s="2">
        <v>46084</v>
      </c>
      <c r="B1600" t="s">
        <v>6</v>
      </c>
      <c r="C1600" t="s">
        <v>51</v>
      </c>
      <c r="D1600" t="s">
        <v>7</v>
      </c>
      <c r="E1600" t="s">
        <v>35</v>
      </c>
      <c r="F1600" t="s">
        <v>39</v>
      </c>
      <c r="G1600">
        <v>8</v>
      </c>
      <c r="H1600">
        <v>58</v>
      </c>
      <c r="I1600">
        <v>10</v>
      </c>
      <c r="J1600">
        <v>150</v>
      </c>
      <c r="K1600">
        <v>63</v>
      </c>
      <c r="L1600">
        <v>128.21</v>
      </c>
      <c r="M1600">
        <v>2464.56</v>
      </c>
      <c r="N1600">
        <v>64152</v>
      </c>
      <c r="O1600">
        <v>1009.45</v>
      </c>
      <c r="P1600" s="1">
        <v>-0.53800000000000003</v>
      </c>
      <c r="Q1600">
        <f t="shared" si="120"/>
        <v>66</v>
      </c>
      <c r="R1600">
        <f t="shared" si="121"/>
        <v>208</v>
      </c>
      <c r="S1600" s="1">
        <f t="shared" si="122"/>
        <v>0.84848484848484851</v>
      </c>
      <c r="T1600">
        <f t="shared" si="123"/>
        <v>0.66</v>
      </c>
      <c r="U1600" t="str">
        <f t="shared" si="124"/>
        <v>Mar</v>
      </c>
    </row>
    <row r="1601" spans="1:21">
      <c r="A1601" s="2">
        <v>46124</v>
      </c>
      <c r="B1601" t="s">
        <v>6</v>
      </c>
      <c r="C1601" t="s">
        <v>48</v>
      </c>
      <c r="D1601" t="s">
        <v>9</v>
      </c>
      <c r="E1601" t="s">
        <v>42</v>
      </c>
      <c r="F1601" t="s">
        <v>39</v>
      </c>
      <c r="G1601">
        <v>97</v>
      </c>
      <c r="H1601">
        <v>71</v>
      </c>
      <c r="I1601">
        <v>77</v>
      </c>
      <c r="J1601">
        <v>18</v>
      </c>
      <c r="K1601">
        <v>81</v>
      </c>
      <c r="L1601">
        <v>131.38999999999999</v>
      </c>
      <c r="M1601">
        <v>2447.21</v>
      </c>
      <c r="N1601">
        <v>71803</v>
      </c>
      <c r="O1601">
        <v>1091.04</v>
      </c>
      <c r="P1601" s="1">
        <v>-0.88</v>
      </c>
      <c r="Q1601">
        <f t="shared" si="120"/>
        <v>168</v>
      </c>
      <c r="R1601">
        <f t="shared" si="121"/>
        <v>89</v>
      </c>
      <c r="S1601" s="1">
        <f t="shared" si="122"/>
        <v>0.54166666666666663</v>
      </c>
      <c r="T1601">
        <f t="shared" si="123"/>
        <v>1.68</v>
      </c>
      <c r="U1601" t="str">
        <f t="shared" si="124"/>
        <v>Apr</v>
      </c>
    </row>
    <row r="1602" spans="1:21">
      <c r="A1602" s="2">
        <v>46080</v>
      </c>
      <c r="B1602" t="s">
        <v>6</v>
      </c>
      <c r="C1602" t="s">
        <v>31</v>
      </c>
      <c r="D1602" t="s">
        <v>10</v>
      </c>
      <c r="E1602" t="s">
        <v>38</v>
      </c>
      <c r="F1602" t="s">
        <v>39</v>
      </c>
      <c r="G1602">
        <v>6</v>
      </c>
      <c r="H1602">
        <v>62</v>
      </c>
      <c r="I1602">
        <v>25</v>
      </c>
      <c r="J1602">
        <v>30</v>
      </c>
      <c r="K1602">
        <v>343</v>
      </c>
      <c r="L1602">
        <v>125.53</v>
      </c>
      <c r="M1602">
        <v>2076.34</v>
      </c>
      <c r="N1602">
        <v>65050</v>
      </c>
      <c r="O1602">
        <v>1466.62</v>
      </c>
      <c r="P1602" s="1">
        <v>0.59499999999999997</v>
      </c>
      <c r="Q1602">
        <f t="shared" si="120"/>
        <v>68</v>
      </c>
      <c r="R1602">
        <f t="shared" si="121"/>
        <v>92</v>
      </c>
      <c r="S1602" s="1">
        <f t="shared" si="122"/>
        <v>0.63235294117647056</v>
      </c>
      <c r="T1602">
        <f t="shared" si="123"/>
        <v>0.68</v>
      </c>
      <c r="U1602" t="str">
        <f t="shared" si="124"/>
        <v>Feb</v>
      </c>
    </row>
    <row r="1603" spans="1:21">
      <c r="A1603" s="2">
        <v>46090</v>
      </c>
      <c r="B1603" t="s">
        <v>4</v>
      </c>
      <c r="C1603" t="s">
        <v>48</v>
      </c>
      <c r="D1603" t="s">
        <v>7</v>
      </c>
      <c r="E1603" t="s">
        <v>41</v>
      </c>
      <c r="F1603" t="s">
        <v>33</v>
      </c>
      <c r="G1603">
        <v>15</v>
      </c>
      <c r="H1603">
        <v>22</v>
      </c>
      <c r="I1603">
        <v>9</v>
      </c>
      <c r="J1603">
        <v>19</v>
      </c>
      <c r="K1603">
        <v>58</v>
      </c>
      <c r="L1603">
        <v>120.73</v>
      </c>
      <c r="M1603">
        <v>2426.54</v>
      </c>
      <c r="N1603">
        <v>73691</v>
      </c>
      <c r="O1603">
        <v>1626.57</v>
      </c>
      <c r="P1603" s="1">
        <v>0.01</v>
      </c>
      <c r="Q1603">
        <f t="shared" ref="Q1603:Q1666" si="125">G1603+H1603</f>
        <v>37</v>
      </c>
      <c r="R1603">
        <f t="shared" ref="R1603:R1666" si="126">J1603+H1603</f>
        <v>41</v>
      </c>
      <c r="S1603" s="1">
        <f t="shared" ref="S1603:S1666" si="127">(Q1603-I1603)/(Q1603)</f>
        <v>0.7567567567567568</v>
      </c>
      <c r="T1603">
        <f t="shared" ref="T1603:T1666" si="128">Q1603/100</f>
        <v>0.37</v>
      </c>
      <c r="U1603" t="str">
        <f t="shared" ref="U1603:U1666" si="129">TEXT(A1603,"mmm")</f>
        <v>Mar</v>
      </c>
    </row>
    <row r="1604" spans="1:21">
      <c r="A1604" s="2">
        <v>46071</v>
      </c>
      <c r="B1604" t="s">
        <v>4</v>
      </c>
      <c r="C1604" t="s">
        <v>36</v>
      </c>
      <c r="D1604" t="s">
        <v>9</v>
      </c>
      <c r="E1604" t="s">
        <v>41</v>
      </c>
      <c r="F1604" t="s">
        <v>45</v>
      </c>
      <c r="G1604">
        <v>74</v>
      </c>
      <c r="H1604">
        <v>62</v>
      </c>
      <c r="I1604">
        <v>35</v>
      </c>
      <c r="J1604">
        <v>42</v>
      </c>
      <c r="K1604">
        <v>145</v>
      </c>
      <c r="L1604">
        <v>82.89</v>
      </c>
      <c r="M1604">
        <v>2429.73</v>
      </c>
      <c r="N1604">
        <v>64886</v>
      </c>
      <c r="O1604">
        <v>1121.98</v>
      </c>
      <c r="P1604" s="1">
        <v>-0.72299999999999998</v>
      </c>
      <c r="Q1604">
        <f t="shared" si="125"/>
        <v>136</v>
      </c>
      <c r="R1604">
        <f t="shared" si="126"/>
        <v>104</v>
      </c>
      <c r="S1604" s="1">
        <f t="shared" si="127"/>
        <v>0.74264705882352944</v>
      </c>
      <c r="T1604">
        <f t="shared" si="128"/>
        <v>1.36</v>
      </c>
      <c r="U1604" t="str">
        <f t="shared" si="129"/>
        <v>Feb</v>
      </c>
    </row>
    <row r="1605" spans="1:21">
      <c r="A1605" s="2">
        <v>46088</v>
      </c>
      <c r="B1605" t="s">
        <v>4</v>
      </c>
      <c r="C1605" t="s">
        <v>40</v>
      </c>
      <c r="D1605" t="s">
        <v>7</v>
      </c>
      <c r="E1605" t="s">
        <v>42</v>
      </c>
      <c r="F1605" t="s">
        <v>39</v>
      </c>
      <c r="G1605">
        <v>110</v>
      </c>
      <c r="H1605">
        <v>4</v>
      </c>
      <c r="I1605">
        <v>64</v>
      </c>
      <c r="J1605">
        <v>101</v>
      </c>
      <c r="K1605">
        <v>378</v>
      </c>
      <c r="L1605">
        <v>108.79</v>
      </c>
      <c r="M1605">
        <v>2121.4499999999998</v>
      </c>
      <c r="N1605">
        <v>74729</v>
      </c>
      <c r="O1605">
        <v>1400.19</v>
      </c>
      <c r="P1605" s="1">
        <v>-0.71399999999999997</v>
      </c>
      <c r="Q1605">
        <f t="shared" si="125"/>
        <v>114</v>
      </c>
      <c r="R1605">
        <f t="shared" si="126"/>
        <v>105</v>
      </c>
      <c r="S1605" s="1">
        <f t="shared" si="127"/>
        <v>0.43859649122807015</v>
      </c>
      <c r="T1605">
        <f t="shared" si="128"/>
        <v>1.1399999999999999</v>
      </c>
      <c r="U1605" t="str">
        <f t="shared" si="129"/>
        <v>Mar</v>
      </c>
    </row>
    <row r="1606" spans="1:21">
      <c r="A1606" s="2">
        <v>46072</v>
      </c>
      <c r="B1606" t="s">
        <v>6</v>
      </c>
      <c r="C1606" t="s">
        <v>50</v>
      </c>
      <c r="D1606" t="s">
        <v>9</v>
      </c>
      <c r="E1606" t="s">
        <v>47</v>
      </c>
      <c r="F1606" t="s">
        <v>49</v>
      </c>
      <c r="G1606">
        <v>16</v>
      </c>
      <c r="H1606">
        <v>17</v>
      </c>
      <c r="I1606">
        <v>31</v>
      </c>
      <c r="J1606">
        <v>54</v>
      </c>
      <c r="K1606">
        <v>116</v>
      </c>
      <c r="L1606">
        <v>100.8</v>
      </c>
      <c r="M1606">
        <v>1850.31</v>
      </c>
      <c r="N1606">
        <v>72864</v>
      </c>
      <c r="O1606">
        <v>1316.46</v>
      </c>
      <c r="P1606" s="1">
        <v>0.22500000000000001</v>
      </c>
      <c r="Q1606">
        <f t="shared" si="125"/>
        <v>33</v>
      </c>
      <c r="R1606">
        <f t="shared" si="126"/>
        <v>71</v>
      </c>
      <c r="S1606" s="1">
        <f t="shared" si="127"/>
        <v>6.0606060606060608E-2</v>
      </c>
      <c r="T1606">
        <f t="shared" si="128"/>
        <v>0.33</v>
      </c>
      <c r="U1606" t="str">
        <f t="shared" si="129"/>
        <v>Feb</v>
      </c>
    </row>
    <row r="1607" spans="1:21">
      <c r="A1607" s="2">
        <v>46074</v>
      </c>
      <c r="B1607" t="s">
        <v>4</v>
      </c>
      <c r="C1607" t="s">
        <v>34</v>
      </c>
      <c r="D1607" t="s">
        <v>11</v>
      </c>
      <c r="E1607" t="s">
        <v>37</v>
      </c>
      <c r="F1607" t="s">
        <v>33</v>
      </c>
      <c r="G1607">
        <v>102</v>
      </c>
      <c r="H1607">
        <v>62</v>
      </c>
      <c r="I1607">
        <v>36</v>
      </c>
      <c r="J1607">
        <v>149</v>
      </c>
      <c r="K1607">
        <v>409</v>
      </c>
      <c r="L1607">
        <v>100.61</v>
      </c>
      <c r="M1607">
        <v>2113.54</v>
      </c>
      <c r="N1607">
        <v>75903</v>
      </c>
      <c r="O1607">
        <v>1293.08</v>
      </c>
      <c r="P1607" s="1">
        <v>0.27</v>
      </c>
      <c r="Q1607">
        <f t="shared" si="125"/>
        <v>164</v>
      </c>
      <c r="R1607">
        <f t="shared" si="126"/>
        <v>211</v>
      </c>
      <c r="S1607" s="1">
        <f t="shared" si="127"/>
        <v>0.78048780487804881</v>
      </c>
      <c r="T1607">
        <f t="shared" si="128"/>
        <v>1.64</v>
      </c>
      <c r="U1607" t="str">
        <f t="shared" si="129"/>
        <v>Feb</v>
      </c>
    </row>
    <row r="1608" spans="1:21">
      <c r="A1608" s="2">
        <v>46105</v>
      </c>
      <c r="B1608" t="s">
        <v>4</v>
      </c>
      <c r="C1608" t="s">
        <v>48</v>
      </c>
      <c r="D1608" t="s">
        <v>5</v>
      </c>
      <c r="E1608" t="s">
        <v>41</v>
      </c>
      <c r="F1608" t="s">
        <v>45</v>
      </c>
      <c r="G1608">
        <v>95</v>
      </c>
      <c r="H1608">
        <v>40</v>
      </c>
      <c r="I1608">
        <v>20</v>
      </c>
      <c r="J1608">
        <v>77</v>
      </c>
      <c r="K1608">
        <v>383</v>
      </c>
      <c r="L1608">
        <v>139.71</v>
      </c>
      <c r="M1608">
        <v>2386.37</v>
      </c>
      <c r="N1608">
        <v>69826</v>
      </c>
      <c r="O1608">
        <v>1365.19</v>
      </c>
      <c r="P1608" s="1">
        <v>-0.79400000000000004</v>
      </c>
      <c r="Q1608">
        <f t="shared" si="125"/>
        <v>135</v>
      </c>
      <c r="R1608">
        <f t="shared" si="126"/>
        <v>117</v>
      </c>
      <c r="S1608" s="1">
        <f t="shared" si="127"/>
        <v>0.85185185185185186</v>
      </c>
      <c r="T1608">
        <f t="shared" si="128"/>
        <v>1.35</v>
      </c>
      <c r="U1608" t="str">
        <f t="shared" si="129"/>
        <v>Mar</v>
      </c>
    </row>
    <row r="1609" spans="1:21">
      <c r="A1609" s="2">
        <v>46082</v>
      </c>
      <c r="B1609" t="s">
        <v>6</v>
      </c>
      <c r="C1609" t="s">
        <v>31</v>
      </c>
      <c r="D1609" t="s">
        <v>11</v>
      </c>
      <c r="E1609" t="s">
        <v>35</v>
      </c>
      <c r="F1609" t="s">
        <v>45</v>
      </c>
      <c r="G1609">
        <v>21</v>
      </c>
      <c r="H1609">
        <v>61</v>
      </c>
      <c r="I1609">
        <v>19</v>
      </c>
      <c r="J1609">
        <v>149</v>
      </c>
      <c r="K1609">
        <v>132</v>
      </c>
      <c r="L1609">
        <v>84.31</v>
      </c>
      <c r="M1609">
        <v>2323.1999999999998</v>
      </c>
      <c r="N1609">
        <v>64883</v>
      </c>
      <c r="O1609">
        <v>1713.36</v>
      </c>
      <c r="P1609" s="1">
        <v>0.73199999999999998</v>
      </c>
      <c r="Q1609">
        <f t="shared" si="125"/>
        <v>82</v>
      </c>
      <c r="R1609">
        <f t="shared" si="126"/>
        <v>210</v>
      </c>
      <c r="S1609" s="1">
        <f t="shared" si="127"/>
        <v>0.76829268292682928</v>
      </c>
      <c r="T1609">
        <f t="shared" si="128"/>
        <v>0.82</v>
      </c>
      <c r="U1609" t="str">
        <f t="shared" si="129"/>
        <v>Mar</v>
      </c>
    </row>
    <row r="1610" spans="1:21">
      <c r="A1610" s="2">
        <v>46120</v>
      </c>
      <c r="B1610" t="s">
        <v>6</v>
      </c>
      <c r="C1610" t="s">
        <v>36</v>
      </c>
      <c r="D1610" t="s">
        <v>10</v>
      </c>
      <c r="E1610" t="s">
        <v>47</v>
      </c>
      <c r="F1610" t="s">
        <v>49</v>
      </c>
      <c r="G1610">
        <v>18</v>
      </c>
      <c r="H1610">
        <v>28</v>
      </c>
      <c r="I1610">
        <v>27</v>
      </c>
      <c r="J1610">
        <v>15</v>
      </c>
      <c r="K1610">
        <v>269</v>
      </c>
      <c r="L1610">
        <v>109.13</v>
      </c>
      <c r="M1610">
        <v>2455.36</v>
      </c>
      <c r="N1610">
        <v>74587</v>
      </c>
      <c r="O1610">
        <v>983.44</v>
      </c>
      <c r="P1610" s="1">
        <v>0.97</v>
      </c>
      <c r="Q1610">
        <f t="shared" si="125"/>
        <v>46</v>
      </c>
      <c r="R1610">
        <f t="shared" si="126"/>
        <v>43</v>
      </c>
      <c r="S1610" s="1">
        <f t="shared" si="127"/>
        <v>0.41304347826086957</v>
      </c>
      <c r="T1610">
        <f t="shared" si="128"/>
        <v>0.46</v>
      </c>
      <c r="U1610" t="str">
        <f t="shared" si="129"/>
        <v>Apr</v>
      </c>
    </row>
    <row r="1611" spans="1:21">
      <c r="A1611" s="2">
        <v>46074</v>
      </c>
      <c r="B1611" t="s">
        <v>4</v>
      </c>
      <c r="C1611" t="s">
        <v>48</v>
      </c>
      <c r="D1611" t="s">
        <v>11</v>
      </c>
      <c r="E1611" t="s">
        <v>32</v>
      </c>
      <c r="F1611" t="s">
        <v>45</v>
      </c>
      <c r="G1611">
        <v>2</v>
      </c>
      <c r="H1611">
        <v>49</v>
      </c>
      <c r="I1611">
        <v>43</v>
      </c>
      <c r="J1611">
        <v>140</v>
      </c>
      <c r="K1611">
        <v>109</v>
      </c>
      <c r="L1611">
        <v>84.55</v>
      </c>
      <c r="M1611">
        <v>2372.9</v>
      </c>
      <c r="N1611">
        <v>66306</v>
      </c>
      <c r="O1611">
        <v>1486</v>
      </c>
      <c r="P1611" s="1">
        <v>-0.38900000000000001</v>
      </c>
      <c r="Q1611">
        <f t="shared" si="125"/>
        <v>51</v>
      </c>
      <c r="R1611">
        <f t="shared" si="126"/>
        <v>189</v>
      </c>
      <c r="S1611" s="1">
        <f t="shared" si="127"/>
        <v>0.15686274509803921</v>
      </c>
      <c r="T1611">
        <f t="shared" si="128"/>
        <v>0.51</v>
      </c>
      <c r="U1611" t="str">
        <f t="shared" si="129"/>
        <v>Feb</v>
      </c>
    </row>
    <row r="1612" spans="1:21">
      <c r="A1612" s="2">
        <v>46075</v>
      </c>
      <c r="B1612" t="s">
        <v>4</v>
      </c>
      <c r="C1612" t="s">
        <v>50</v>
      </c>
      <c r="D1612" t="s">
        <v>5</v>
      </c>
      <c r="E1612" t="s">
        <v>37</v>
      </c>
      <c r="F1612" t="s">
        <v>45</v>
      </c>
      <c r="G1612">
        <v>49</v>
      </c>
      <c r="H1612">
        <v>7</v>
      </c>
      <c r="I1612">
        <v>78</v>
      </c>
      <c r="J1612">
        <v>98</v>
      </c>
      <c r="K1612">
        <v>187</v>
      </c>
      <c r="L1612">
        <v>136.07</v>
      </c>
      <c r="M1612">
        <v>2401.67</v>
      </c>
      <c r="N1612">
        <v>69279</v>
      </c>
      <c r="O1612">
        <v>1748.09</v>
      </c>
      <c r="P1612" s="1">
        <v>0.622</v>
      </c>
      <c r="Q1612">
        <f t="shared" si="125"/>
        <v>56</v>
      </c>
      <c r="R1612">
        <f t="shared" si="126"/>
        <v>105</v>
      </c>
      <c r="S1612" s="1">
        <f t="shared" si="127"/>
        <v>-0.39285714285714285</v>
      </c>
      <c r="T1612">
        <f t="shared" si="128"/>
        <v>0.56000000000000005</v>
      </c>
      <c r="U1612" t="str">
        <f t="shared" si="129"/>
        <v>Feb</v>
      </c>
    </row>
    <row r="1613" spans="1:21">
      <c r="A1613" s="2">
        <v>46074</v>
      </c>
      <c r="B1613" t="s">
        <v>4</v>
      </c>
      <c r="C1613" t="s">
        <v>36</v>
      </c>
      <c r="D1613" t="s">
        <v>9</v>
      </c>
      <c r="E1613" t="s">
        <v>42</v>
      </c>
      <c r="F1613" t="s">
        <v>39</v>
      </c>
      <c r="G1613">
        <v>50</v>
      </c>
      <c r="H1613">
        <v>24</v>
      </c>
      <c r="I1613">
        <v>19</v>
      </c>
      <c r="J1613">
        <v>1</v>
      </c>
      <c r="K1613">
        <v>357</v>
      </c>
      <c r="L1613">
        <v>126.38</v>
      </c>
      <c r="M1613">
        <v>1881.52</v>
      </c>
      <c r="N1613">
        <v>70695</v>
      </c>
      <c r="O1613">
        <v>1119.43</v>
      </c>
      <c r="P1613" s="1">
        <v>0.25700000000000001</v>
      </c>
      <c r="Q1613">
        <f t="shared" si="125"/>
        <v>74</v>
      </c>
      <c r="R1613">
        <f t="shared" si="126"/>
        <v>25</v>
      </c>
      <c r="S1613" s="1">
        <f t="shared" si="127"/>
        <v>0.7432432432432432</v>
      </c>
      <c r="T1613">
        <f t="shared" si="128"/>
        <v>0.74</v>
      </c>
      <c r="U1613" t="str">
        <f t="shared" si="129"/>
        <v>Feb</v>
      </c>
    </row>
    <row r="1614" spans="1:21">
      <c r="A1614" s="2">
        <v>46115</v>
      </c>
      <c r="B1614" t="s">
        <v>4</v>
      </c>
      <c r="C1614" t="s">
        <v>51</v>
      </c>
      <c r="D1614" t="s">
        <v>10</v>
      </c>
      <c r="E1614" t="s">
        <v>42</v>
      </c>
      <c r="F1614" t="s">
        <v>49</v>
      </c>
      <c r="G1614">
        <v>106</v>
      </c>
      <c r="H1614">
        <v>47</v>
      </c>
      <c r="I1614">
        <v>28</v>
      </c>
      <c r="J1614">
        <v>14</v>
      </c>
      <c r="K1614">
        <v>69</v>
      </c>
      <c r="L1614">
        <v>116.24</v>
      </c>
      <c r="M1614">
        <v>2227.0500000000002</v>
      </c>
      <c r="N1614">
        <v>72869</v>
      </c>
      <c r="O1614">
        <v>934.5</v>
      </c>
      <c r="P1614" s="1">
        <v>0.29599999999999999</v>
      </c>
      <c r="Q1614">
        <f t="shared" si="125"/>
        <v>153</v>
      </c>
      <c r="R1614">
        <f t="shared" si="126"/>
        <v>61</v>
      </c>
      <c r="S1614" s="1">
        <f t="shared" si="127"/>
        <v>0.81699346405228757</v>
      </c>
      <c r="T1614">
        <f t="shared" si="128"/>
        <v>1.53</v>
      </c>
      <c r="U1614" t="str">
        <f t="shared" si="129"/>
        <v>Apr</v>
      </c>
    </row>
    <row r="1615" spans="1:21">
      <c r="A1615" s="2">
        <v>46105</v>
      </c>
      <c r="B1615" t="s">
        <v>4</v>
      </c>
      <c r="C1615" t="s">
        <v>34</v>
      </c>
      <c r="D1615" t="s">
        <v>10</v>
      </c>
      <c r="E1615" t="s">
        <v>32</v>
      </c>
      <c r="F1615" t="s">
        <v>49</v>
      </c>
      <c r="G1615">
        <v>10</v>
      </c>
      <c r="H1615">
        <v>5</v>
      </c>
      <c r="I1615">
        <v>88</v>
      </c>
      <c r="J1615">
        <v>41</v>
      </c>
      <c r="K1615">
        <v>339</v>
      </c>
      <c r="L1615">
        <v>89.29</v>
      </c>
      <c r="M1615">
        <v>2295.8200000000002</v>
      </c>
      <c r="N1615">
        <v>64335</v>
      </c>
      <c r="O1615">
        <v>1107.1199999999999</v>
      </c>
      <c r="P1615" s="1">
        <v>0.59899999999999998</v>
      </c>
      <c r="Q1615">
        <f t="shared" si="125"/>
        <v>15</v>
      </c>
      <c r="R1615">
        <f t="shared" si="126"/>
        <v>46</v>
      </c>
      <c r="S1615" s="1">
        <f t="shared" si="127"/>
        <v>-4.8666666666666663</v>
      </c>
      <c r="T1615">
        <f t="shared" si="128"/>
        <v>0.15</v>
      </c>
      <c r="U1615" t="str">
        <f t="shared" si="129"/>
        <v>Mar</v>
      </c>
    </row>
    <row r="1616" spans="1:21">
      <c r="A1616" s="2">
        <v>46120</v>
      </c>
      <c r="B1616" t="s">
        <v>6</v>
      </c>
      <c r="C1616" t="s">
        <v>43</v>
      </c>
      <c r="D1616" t="s">
        <v>5</v>
      </c>
      <c r="E1616" t="s">
        <v>37</v>
      </c>
      <c r="F1616" t="s">
        <v>45</v>
      </c>
      <c r="G1616">
        <v>21</v>
      </c>
      <c r="H1616">
        <v>71</v>
      </c>
      <c r="I1616">
        <v>62</v>
      </c>
      <c r="J1616">
        <v>80</v>
      </c>
      <c r="K1616">
        <v>106</v>
      </c>
      <c r="L1616">
        <v>129.61000000000001</v>
      </c>
      <c r="M1616">
        <v>1902.27</v>
      </c>
      <c r="N1616">
        <v>69812</v>
      </c>
      <c r="O1616">
        <v>1112.47</v>
      </c>
      <c r="P1616" s="1">
        <v>0.504</v>
      </c>
      <c r="Q1616">
        <f t="shared" si="125"/>
        <v>92</v>
      </c>
      <c r="R1616">
        <f t="shared" si="126"/>
        <v>151</v>
      </c>
      <c r="S1616" s="1">
        <f t="shared" si="127"/>
        <v>0.32608695652173914</v>
      </c>
      <c r="T1616">
        <f t="shared" si="128"/>
        <v>0.92</v>
      </c>
      <c r="U1616" t="str">
        <f t="shared" si="129"/>
        <v>Apr</v>
      </c>
    </row>
    <row r="1617" spans="1:21">
      <c r="A1617" s="2">
        <v>46101</v>
      </c>
      <c r="B1617" t="s">
        <v>4</v>
      </c>
      <c r="C1617" t="s">
        <v>44</v>
      </c>
      <c r="D1617" t="s">
        <v>11</v>
      </c>
      <c r="E1617" t="s">
        <v>32</v>
      </c>
      <c r="F1617" t="s">
        <v>45</v>
      </c>
      <c r="G1617">
        <v>43</v>
      </c>
      <c r="H1617">
        <v>38</v>
      </c>
      <c r="I1617">
        <v>44</v>
      </c>
      <c r="J1617">
        <v>24</v>
      </c>
      <c r="K1617">
        <v>129</v>
      </c>
      <c r="L1617">
        <v>114.67</v>
      </c>
      <c r="M1617">
        <v>2143.17</v>
      </c>
      <c r="N1617">
        <v>73785</v>
      </c>
      <c r="O1617">
        <v>1035.8699999999999</v>
      </c>
      <c r="P1617" s="1">
        <v>0.39100000000000001</v>
      </c>
      <c r="Q1617">
        <f t="shared" si="125"/>
        <v>81</v>
      </c>
      <c r="R1617">
        <f t="shared" si="126"/>
        <v>62</v>
      </c>
      <c r="S1617" s="1">
        <f t="shared" si="127"/>
        <v>0.4567901234567901</v>
      </c>
      <c r="T1617">
        <f t="shared" si="128"/>
        <v>0.81</v>
      </c>
      <c r="U1617" t="str">
        <f t="shared" si="129"/>
        <v>Mar</v>
      </c>
    </row>
    <row r="1618" spans="1:21">
      <c r="A1618" s="2">
        <v>46114</v>
      </c>
      <c r="B1618" t="s">
        <v>6</v>
      </c>
      <c r="C1618" t="s">
        <v>51</v>
      </c>
      <c r="D1618" t="s">
        <v>10</v>
      </c>
      <c r="E1618" t="s">
        <v>35</v>
      </c>
      <c r="F1618" t="s">
        <v>33</v>
      </c>
      <c r="G1618">
        <v>14</v>
      </c>
      <c r="H1618">
        <v>55</v>
      </c>
      <c r="I1618">
        <v>53</v>
      </c>
      <c r="J1618">
        <v>131</v>
      </c>
      <c r="K1618">
        <v>240</v>
      </c>
      <c r="L1618">
        <v>109.86</v>
      </c>
      <c r="M1618">
        <v>2196.4499999999998</v>
      </c>
      <c r="N1618">
        <v>72200</v>
      </c>
      <c r="O1618">
        <v>1077.9000000000001</v>
      </c>
      <c r="P1618" s="1">
        <v>0.35599999999999998</v>
      </c>
      <c r="Q1618">
        <f t="shared" si="125"/>
        <v>69</v>
      </c>
      <c r="R1618">
        <f t="shared" si="126"/>
        <v>186</v>
      </c>
      <c r="S1618" s="1">
        <f t="shared" si="127"/>
        <v>0.2318840579710145</v>
      </c>
      <c r="T1618">
        <f t="shared" si="128"/>
        <v>0.69</v>
      </c>
      <c r="U1618" t="str">
        <f t="shared" si="129"/>
        <v>Apr</v>
      </c>
    </row>
    <row r="1619" spans="1:21">
      <c r="A1619" s="2">
        <v>46079</v>
      </c>
      <c r="B1619" t="s">
        <v>4</v>
      </c>
      <c r="C1619" t="s">
        <v>31</v>
      </c>
      <c r="D1619" t="s">
        <v>9</v>
      </c>
      <c r="E1619" t="s">
        <v>47</v>
      </c>
      <c r="F1619" t="s">
        <v>33</v>
      </c>
      <c r="G1619">
        <v>60</v>
      </c>
      <c r="H1619">
        <v>2</v>
      </c>
      <c r="I1619">
        <v>76</v>
      </c>
      <c r="J1619">
        <v>50</v>
      </c>
      <c r="K1619">
        <v>358</v>
      </c>
      <c r="L1619">
        <v>126.3</v>
      </c>
      <c r="M1619">
        <v>2442.0700000000002</v>
      </c>
      <c r="N1619">
        <v>69633</v>
      </c>
      <c r="O1619">
        <v>1671.65</v>
      </c>
      <c r="P1619" s="1">
        <v>-2.1999999999999999E-2</v>
      </c>
      <c r="Q1619">
        <f t="shared" si="125"/>
        <v>62</v>
      </c>
      <c r="R1619">
        <f t="shared" si="126"/>
        <v>52</v>
      </c>
      <c r="S1619" s="1">
        <f t="shared" si="127"/>
        <v>-0.22580645161290322</v>
      </c>
      <c r="T1619">
        <f t="shared" si="128"/>
        <v>0.62</v>
      </c>
      <c r="U1619" t="str">
        <f t="shared" si="129"/>
        <v>Feb</v>
      </c>
    </row>
    <row r="1620" spans="1:21">
      <c r="A1620" s="2">
        <v>46092</v>
      </c>
      <c r="B1620" t="s">
        <v>6</v>
      </c>
      <c r="C1620" t="s">
        <v>34</v>
      </c>
      <c r="D1620" t="s">
        <v>11</v>
      </c>
      <c r="E1620" t="s">
        <v>37</v>
      </c>
      <c r="F1620" t="s">
        <v>45</v>
      </c>
      <c r="G1620">
        <v>48</v>
      </c>
      <c r="H1620">
        <v>62</v>
      </c>
      <c r="I1620">
        <v>25</v>
      </c>
      <c r="J1620">
        <v>35</v>
      </c>
      <c r="K1620">
        <v>319</v>
      </c>
      <c r="L1620">
        <v>117.23</v>
      </c>
      <c r="M1620">
        <v>2277.9299999999998</v>
      </c>
      <c r="N1620">
        <v>67960</v>
      </c>
      <c r="O1620">
        <v>1487.61</v>
      </c>
      <c r="P1620" s="1">
        <v>-0.81899999999999995</v>
      </c>
      <c r="Q1620">
        <f t="shared" si="125"/>
        <v>110</v>
      </c>
      <c r="R1620">
        <f t="shared" si="126"/>
        <v>97</v>
      </c>
      <c r="S1620" s="1">
        <f t="shared" si="127"/>
        <v>0.77272727272727271</v>
      </c>
      <c r="T1620">
        <f t="shared" si="128"/>
        <v>1.1000000000000001</v>
      </c>
      <c r="U1620" t="str">
        <f t="shared" si="129"/>
        <v>Mar</v>
      </c>
    </row>
    <row r="1621" spans="1:21">
      <c r="A1621" s="2">
        <v>46116</v>
      </c>
      <c r="B1621" t="s">
        <v>4</v>
      </c>
      <c r="C1621" t="s">
        <v>50</v>
      </c>
      <c r="D1621" t="s">
        <v>7</v>
      </c>
      <c r="E1621" t="s">
        <v>42</v>
      </c>
      <c r="F1621" t="s">
        <v>49</v>
      </c>
      <c r="G1621">
        <v>91</v>
      </c>
      <c r="H1621">
        <v>73</v>
      </c>
      <c r="I1621">
        <v>27</v>
      </c>
      <c r="J1621">
        <v>157</v>
      </c>
      <c r="K1621">
        <v>267</v>
      </c>
      <c r="L1621">
        <v>82.94</v>
      </c>
      <c r="M1621">
        <v>1880.24</v>
      </c>
      <c r="N1621">
        <v>68530</v>
      </c>
      <c r="O1621">
        <v>1523.74</v>
      </c>
      <c r="P1621" s="1">
        <v>0.61099999999999999</v>
      </c>
      <c r="Q1621">
        <f t="shared" si="125"/>
        <v>164</v>
      </c>
      <c r="R1621">
        <f t="shared" si="126"/>
        <v>230</v>
      </c>
      <c r="S1621" s="1">
        <f t="shared" si="127"/>
        <v>0.83536585365853655</v>
      </c>
      <c r="T1621">
        <f t="shared" si="128"/>
        <v>1.64</v>
      </c>
      <c r="U1621" t="str">
        <f t="shared" si="129"/>
        <v>Apr</v>
      </c>
    </row>
    <row r="1622" spans="1:21">
      <c r="A1622" s="2">
        <v>46126</v>
      </c>
      <c r="B1622" t="s">
        <v>4</v>
      </c>
      <c r="C1622" t="s">
        <v>51</v>
      </c>
      <c r="D1622" t="s">
        <v>9</v>
      </c>
      <c r="E1622" t="s">
        <v>35</v>
      </c>
      <c r="F1622" t="s">
        <v>39</v>
      </c>
      <c r="G1622">
        <v>109</v>
      </c>
      <c r="H1622">
        <v>30</v>
      </c>
      <c r="I1622">
        <v>68</v>
      </c>
      <c r="J1622">
        <v>92</v>
      </c>
      <c r="K1622">
        <v>152</v>
      </c>
      <c r="L1622">
        <v>83.63</v>
      </c>
      <c r="M1622">
        <v>2316.6</v>
      </c>
      <c r="N1622">
        <v>73031</v>
      </c>
      <c r="O1622">
        <v>1622.7</v>
      </c>
      <c r="P1622" s="1">
        <v>0.94599999999999995</v>
      </c>
      <c r="Q1622">
        <f t="shared" si="125"/>
        <v>139</v>
      </c>
      <c r="R1622">
        <f t="shared" si="126"/>
        <v>122</v>
      </c>
      <c r="S1622" s="1">
        <f t="shared" si="127"/>
        <v>0.51079136690647486</v>
      </c>
      <c r="T1622">
        <f t="shared" si="128"/>
        <v>1.39</v>
      </c>
      <c r="U1622" t="str">
        <f t="shared" si="129"/>
        <v>Apr</v>
      </c>
    </row>
    <row r="1623" spans="1:21">
      <c r="A1623" s="2">
        <v>46126</v>
      </c>
      <c r="B1623" t="s">
        <v>6</v>
      </c>
      <c r="C1623" t="s">
        <v>44</v>
      </c>
      <c r="D1623" t="s">
        <v>5</v>
      </c>
      <c r="E1623" t="s">
        <v>42</v>
      </c>
      <c r="F1623" t="s">
        <v>49</v>
      </c>
      <c r="G1623">
        <v>19</v>
      </c>
      <c r="H1623">
        <v>55</v>
      </c>
      <c r="I1623">
        <v>50</v>
      </c>
      <c r="J1623">
        <v>91</v>
      </c>
      <c r="K1623">
        <v>423</v>
      </c>
      <c r="L1623">
        <v>109.93</v>
      </c>
      <c r="M1623">
        <v>1846.67</v>
      </c>
      <c r="N1623">
        <v>66956</v>
      </c>
      <c r="O1623">
        <v>1621.6</v>
      </c>
      <c r="P1623" s="1">
        <v>0.373</v>
      </c>
      <c r="Q1623">
        <f t="shared" si="125"/>
        <v>74</v>
      </c>
      <c r="R1623">
        <f t="shared" si="126"/>
        <v>146</v>
      </c>
      <c r="S1623" s="1">
        <f t="shared" si="127"/>
        <v>0.32432432432432434</v>
      </c>
      <c r="T1623">
        <f t="shared" si="128"/>
        <v>0.74</v>
      </c>
      <c r="U1623" t="str">
        <f t="shared" si="129"/>
        <v>Apr</v>
      </c>
    </row>
    <row r="1624" spans="1:21">
      <c r="A1624" s="2">
        <v>46083</v>
      </c>
      <c r="B1624" t="s">
        <v>4</v>
      </c>
      <c r="C1624" t="s">
        <v>46</v>
      </c>
      <c r="D1624" t="s">
        <v>9</v>
      </c>
      <c r="E1624" t="s">
        <v>42</v>
      </c>
      <c r="F1624" t="s">
        <v>39</v>
      </c>
      <c r="G1624">
        <v>12</v>
      </c>
      <c r="H1624">
        <v>42</v>
      </c>
      <c r="I1624">
        <v>1</v>
      </c>
      <c r="J1624">
        <v>98</v>
      </c>
      <c r="K1624">
        <v>286</v>
      </c>
      <c r="L1624">
        <v>135.47</v>
      </c>
      <c r="M1624">
        <v>2114.3200000000002</v>
      </c>
      <c r="N1624">
        <v>67509</v>
      </c>
      <c r="O1624">
        <v>1215.51</v>
      </c>
      <c r="P1624" s="1">
        <v>-8.7999999999999995E-2</v>
      </c>
      <c r="Q1624">
        <f t="shared" si="125"/>
        <v>54</v>
      </c>
      <c r="R1624">
        <f t="shared" si="126"/>
        <v>140</v>
      </c>
      <c r="S1624" s="1">
        <f t="shared" si="127"/>
        <v>0.98148148148148151</v>
      </c>
      <c r="T1624">
        <f t="shared" si="128"/>
        <v>0.54</v>
      </c>
      <c r="U1624" t="str">
        <f t="shared" si="129"/>
        <v>Mar</v>
      </c>
    </row>
    <row r="1625" spans="1:21">
      <c r="A1625" s="2">
        <v>46113</v>
      </c>
      <c r="B1625" t="s">
        <v>6</v>
      </c>
      <c r="C1625" t="s">
        <v>43</v>
      </c>
      <c r="D1625" t="s">
        <v>5</v>
      </c>
      <c r="E1625" t="s">
        <v>37</v>
      </c>
      <c r="F1625" t="s">
        <v>45</v>
      </c>
      <c r="G1625">
        <v>115</v>
      </c>
      <c r="H1625">
        <v>16</v>
      </c>
      <c r="I1625">
        <v>22</v>
      </c>
      <c r="J1625">
        <v>8</v>
      </c>
      <c r="K1625">
        <v>397</v>
      </c>
      <c r="L1625">
        <v>81.58</v>
      </c>
      <c r="M1625">
        <v>2493.83</v>
      </c>
      <c r="N1625">
        <v>74237</v>
      </c>
      <c r="O1625">
        <v>1040.1400000000001</v>
      </c>
      <c r="P1625" s="1">
        <v>7.4999999999999997E-2</v>
      </c>
      <c r="Q1625">
        <f t="shared" si="125"/>
        <v>131</v>
      </c>
      <c r="R1625">
        <f t="shared" si="126"/>
        <v>24</v>
      </c>
      <c r="S1625" s="1">
        <f t="shared" si="127"/>
        <v>0.83206106870229013</v>
      </c>
      <c r="T1625">
        <f t="shared" si="128"/>
        <v>1.31</v>
      </c>
      <c r="U1625" t="str">
        <f t="shared" si="129"/>
        <v>Apr</v>
      </c>
    </row>
    <row r="1626" spans="1:21">
      <c r="A1626" s="2">
        <v>46111</v>
      </c>
      <c r="B1626" t="s">
        <v>6</v>
      </c>
      <c r="C1626" t="s">
        <v>50</v>
      </c>
      <c r="D1626" t="s">
        <v>11</v>
      </c>
      <c r="E1626" t="s">
        <v>38</v>
      </c>
      <c r="F1626" t="s">
        <v>39</v>
      </c>
      <c r="G1626">
        <v>97</v>
      </c>
      <c r="H1626">
        <v>19</v>
      </c>
      <c r="I1626">
        <v>62</v>
      </c>
      <c r="J1626">
        <v>52</v>
      </c>
      <c r="K1626">
        <v>436</v>
      </c>
      <c r="L1626">
        <v>135.13999999999999</v>
      </c>
      <c r="M1626">
        <v>2274.46</v>
      </c>
      <c r="N1626">
        <v>70242</v>
      </c>
      <c r="O1626">
        <v>962.54</v>
      </c>
      <c r="P1626" s="1">
        <v>0.189</v>
      </c>
      <c r="Q1626">
        <f t="shared" si="125"/>
        <v>116</v>
      </c>
      <c r="R1626">
        <f t="shared" si="126"/>
        <v>71</v>
      </c>
      <c r="S1626" s="1">
        <f t="shared" si="127"/>
        <v>0.46551724137931033</v>
      </c>
      <c r="T1626">
        <f t="shared" si="128"/>
        <v>1.1599999999999999</v>
      </c>
      <c r="U1626" t="str">
        <f t="shared" si="129"/>
        <v>Mar</v>
      </c>
    </row>
    <row r="1627" spans="1:21">
      <c r="A1627" s="2">
        <v>46083</v>
      </c>
      <c r="B1627" t="s">
        <v>4</v>
      </c>
      <c r="C1627" t="s">
        <v>31</v>
      </c>
      <c r="D1627" t="s">
        <v>10</v>
      </c>
      <c r="E1627" t="s">
        <v>32</v>
      </c>
      <c r="F1627" t="s">
        <v>33</v>
      </c>
      <c r="G1627">
        <v>114</v>
      </c>
      <c r="H1627">
        <v>58</v>
      </c>
      <c r="I1627">
        <v>43</v>
      </c>
      <c r="J1627">
        <v>28</v>
      </c>
      <c r="K1627">
        <v>399</v>
      </c>
      <c r="L1627">
        <v>116.04</v>
      </c>
      <c r="M1627">
        <v>2442.42</v>
      </c>
      <c r="N1627">
        <v>71323</v>
      </c>
      <c r="O1627">
        <v>1247.3499999999999</v>
      </c>
      <c r="P1627" s="1">
        <v>0.221</v>
      </c>
      <c r="Q1627">
        <f t="shared" si="125"/>
        <v>172</v>
      </c>
      <c r="R1627">
        <f t="shared" si="126"/>
        <v>86</v>
      </c>
      <c r="S1627" s="1">
        <f t="shared" si="127"/>
        <v>0.75</v>
      </c>
      <c r="T1627">
        <f t="shared" si="128"/>
        <v>1.72</v>
      </c>
      <c r="U1627" t="str">
        <f t="shared" si="129"/>
        <v>Mar</v>
      </c>
    </row>
    <row r="1628" spans="1:21">
      <c r="A1628" s="2">
        <v>46083</v>
      </c>
      <c r="B1628" t="s">
        <v>4</v>
      </c>
      <c r="C1628" t="s">
        <v>36</v>
      </c>
      <c r="D1628" t="s">
        <v>5</v>
      </c>
      <c r="E1628" t="s">
        <v>42</v>
      </c>
      <c r="F1628" t="s">
        <v>33</v>
      </c>
      <c r="G1628">
        <v>78</v>
      </c>
      <c r="H1628">
        <v>27</v>
      </c>
      <c r="I1628">
        <v>73</v>
      </c>
      <c r="J1628">
        <v>102</v>
      </c>
      <c r="K1628">
        <v>91</v>
      </c>
      <c r="L1628">
        <v>91.95</v>
      </c>
      <c r="M1628">
        <v>2395.25</v>
      </c>
      <c r="N1628">
        <v>67354</v>
      </c>
      <c r="O1628">
        <v>1102.99</v>
      </c>
      <c r="P1628" s="1">
        <v>0.625</v>
      </c>
      <c r="Q1628">
        <f t="shared" si="125"/>
        <v>105</v>
      </c>
      <c r="R1628">
        <f t="shared" si="126"/>
        <v>129</v>
      </c>
      <c r="S1628" s="1">
        <f t="shared" si="127"/>
        <v>0.30476190476190479</v>
      </c>
      <c r="T1628">
        <f t="shared" si="128"/>
        <v>1.05</v>
      </c>
      <c r="U1628" t="str">
        <f t="shared" si="129"/>
        <v>Mar</v>
      </c>
    </row>
    <row r="1629" spans="1:21">
      <c r="A1629" s="2">
        <v>46121</v>
      </c>
      <c r="B1629" t="s">
        <v>6</v>
      </c>
      <c r="C1629" t="s">
        <v>44</v>
      </c>
      <c r="D1629" t="s">
        <v>7</v>
      </c>
      <c r="E1629" t="s">
        <v>42</v>
      </c>
      <c r="F1629" t="s">
        <v>33</v>
      </c>
      <c r="G1629">
        <v>48</v>
      </c>
      <c r="H1629">
        <v>78</v>
      </c>
      <c r="I1629">
        <v>14</v>
      </c>
      <c r="J1629">
        <v>120</v>
      </c>
      <c r="K1629">
        <v>195</v>
      </c>
      <c r="L1629">
        <v>107.14</v>
      </c>
      <c r="M1629">
        <v>1946.67</v>
      </c>
      <c r="N1629">
        <v>69054</v>
      </c>
      <c r="O1629">
        <v>1497.78</v>
      </c>
      <c r="P1629" s="1">
        <v>0.86099999999999999</v>
      </c>
      <c r="Q1629">
        <f t="shared" si="125"/>
        <v>126</v>
      </c>
      <c r="R1629">
        <f t="shared" si="126"/>
        <v>198</v>
      </c>
      <c r="S1629" s="1">
        <f t="shared" si="127"/>
        <v>0.88888888888888884</v>
      </c>
      <c r="T1629">
        <f t="shared" si="128"/>
        <v>1.26</v>
      </c>
      <c r="U1629" t="str">
        <f t="shared" si="129"/>
        <v>Apr</v>
      </c>
    </row>
    <row r="1630" spans="1:21">
      <c r="A1630" s="2">
        <v>46069</v>
      </c>
      <c r="B1630" t="s">
        <v>6</v>
      </c>
      <c r="C1630" t="s">
        <v>44</v>
      </c>
      <c r="D1630" t="s">
        <v>11</v>
      </c>
      <c r="E1630" t="s">
        <v>37</v>
      </c>
      <c r="F1630" t="s">
        <v>45</v>
      </c>
      <c r="G1630">
        <v>7</v>
      </c>
      <c r="H1630">
        <v>19</v>
      </c>
      <c r="I1630">
        <v>52</v>
      </c>
      <c r="J1630">
        <v>42</v>
      </c>
      <c r="K1630">
        <v>85</v>
      </c>
      <c r="L1630">
        <v>92.78</v>
      </c>
      <c r="M1630">
        <v>2096.65</v>
      </c>
      <c r="N1630">
        <v>73148</v>
      </c>
      <c r="O1630">
        <v>941.17</v>
      </c>
      <c r="P1630" s="1">
        <v>-0.82899999999999996</v>
      </c>
      <c r="Q1630">
        <f t="shared" si="125"/>
        <v>26</v>
      </c>
      <c r="R1630">
        <f t="shared" si="126"/>
        <v>61</v>
      </c>
      <c r="S1630" s="1">
        <f t="shared" si="127"/>
        <v>-1</v>
      </c>
      <c r="T1630">
        <f t="shared" si="128"/>
        <v>0.26</v>
      </c>
      <c r="U1630" t="str">
        <f t="shared" si="129"/>
        <v>Feb</v>
      </c>
    </row>
    <row r="1631" spans="1:21">
      <c r="A1631" s="2">
        <v>46075</v>
      </c>
      <c r="B1631" t="s">
        <v>4</v>
      </c>
      <c r="C1631" t="s">
        <v>46</v>
      </c>
      <c r="D1631" t="s">
        <v>10</v>
      </c>
      <c r="E1631" t="s">
        <v>41</v>
      </c>
      <c r="F1631" t="s">
        <v>33</v>
      </c>
      <c r="G1631">
        <v>44</v>
      </c>
      <c r="H1631">
        <v>49</v>
      </c>
      <c r="I1631">
        <v>43</v>
      </c>
      <c r="J1631">
        <v>147</v>
      </c>
      <c r="K1631">
        <v>124</v>
      </c>
      <c r="L1631">
        <v>109.45</v>
      </c>
      <c r="M1631">
        <v>2003.33</v>
      </c>
      <c r="N1631">
        <v>74531</v>
      </c>
      <c r="O1631">
        <v>1285.7</v>
      </c>
      <c r="P1631" s="1">
        <v>-7.8E-2</v>
      </c>
      <c r="Q1631">
        <f t="shared" si="125"/>
        <v>93</v>
      </c>
      <c r="R1631">
        <f t="shared" si="126"/>
        <v>196</v>
      </c>
      <c r="S1631" s="1">
        <f t="shared" si="127"/>
        <v>0.5376344086021505</v>
      </c>
      <c r="T1631">
        <f t="shared" si="128"/>
        <v>0.93</v>
      </c>
      <c r="U1631" t="str">
        <f t="shared" si="129"/>
        <v>Feb</v>
      </c>
    </row>
    <row r="1632" spans="1:21">
      <c r="A1632" s="2">
        <v>46101</v>
      </c>
      <c r="B1632" t="s">
        <v>6</v>
      </c>
      <c r="C1632" t="s">
        <v>44</v>
      </c>
      <c r="D1632" t="s">
        <v>11</v>
      </c>
      <c r="E1632" t="s">
        <v>37</v>
      </c>
      <c r="F1632" t="s">
        <v>49</v>
      </c>
      <c r="G1632">
        <v>88</v>
      </c>
      <c r="H1632">
        <v>75</v>
      </c>
      <c r="I1632">
        <v>52</v>
      </c>
      <c r="J1632">
        <v>125</v>
      </c>
      <c r="K1632">
        <v>302</v>
      </c>
      <c r="L1632">
        <v>120.94</v>
      </c>
      <c r="M1632">
        <v>2138.37</v>
      </c>
      <c r="N1632">
        <v>68171</v>
      </c>
      <c r="O1632">
        <v>1521.6</v>
      </c>
      <c r="P1632" s="1">
        <v>0.84499999999999997</v>
      </c>
      <c r="Q1632">
        <f t="shared" si="125"/>
        <v>163</v>
      </c>
      <c r="R1632">
        <f t="shared" si="126"/>
        <v>200</v>
      </c>
      <c r="S1632" s="1">
        <f t="shared" si="127"/>
        <v>0.68098159509202449</v>
      </c>
      <c r="T1632">
        <f t="shared" si="128"/>
        <v>1.63</v>
      </c>
      <c r="U1632" t="str">
        <f t="shared" si="129"/>
        <v>Mar</v>
      </c>
    </row>
    <row r="1633" spans="1:21">
      <c r="A1633" s="2">
        <v>46125</v>
      </c>
      <c r="B1633" t="s">
        <v>4</v>
      </c>
      <c r="C1633" t="s">
        <v>50</v>
      </c>
      <c r="D1633" t="s">
        <v>11</v>
      </c>
      <c r="E1633" t="s">
        <v>42</v>
      </c>
      <c r="F1633" t="s">
        <v>39</v>
      </c>
      <c r="G1633">
        <v>25</v>
      </c>
      <c r="H1633">
        <v>51</v>
      </c>
      <c r="I1633">
        <v>83</v>
      </c>
      <c r="J1633">
        <v>56</v>
      </c>
      <c r="K1633">
        <v>325</v>
      </c>
      <c r="L1633">
        <v>84.18</v>
      </c>
      <c r="M1633">
        <v>2411.91</v>
      </c>
      <c r="N1633">
        <v>72786</v>
      </c>
      <c r="O1633">
        <v>1253.44</v>
      </c>
      <c r="P1633" s="1">
        <v>-0.67400000000000004</v>
      </c>
      <c r="Q1633">
        <f t="shared" si="125"/>
        <v>76</v>
      </c>
      <c r="R1633">
        <f t="shared" si="126"/>
        <v>107</v>
      </c>
      <c r="S1633" s="1">
        <f t="shared" si="127"/>
        <v>-9.2105263157894732E-2</v>
      </c>
      <c r="T1633">
        <f t="shared" si="128"/>
        <v>0.76</v>
      </c>
      <c r="U1633" t="str">
        <f t="shared" si="129"/>
        <v>Apr</v>
      </c>
    </row>
    <row r="1634" spans="1:21">
      <c r="A1634" s="2">
        <v>46097</v>
      </c>
      <c r="B1634" t="s">
        <v>6</v>
      </c>
      <c r="C1634" t="s">
        <v>43</v>
      </c>
      <c r="D1634" t="s">
        <v>11</v>
      </c>
      <c r="E1634" t="s">
        <v>32</v>
      </c>
      <c r="F1634" t="s">
        <v>39</v>
      </c>
      <c r="G1634">
        <v>2</v>
      </c>
      <c r="H1634">
        <v>79</v>
      </c>
      <c r="I1634">
        <v>73</v>
      </c>
      <c r="J1634">
        <v>16</v>
      </c>
      <c r="K1634">
        <v>261</v>
      </c>
      <c r="L1634">
        <v>133.28</v>
      </c>
      <c r="M1634">
        <v>1954.48</v>
      </c>
      <c r="N1634">
        <v>67783</v>
      </c>
      <c r="O1634">
        <v>1720.63</v>
      </c>
      <c r="P1634" s="1">
        <v>0.49099999999999999</v>
      </c>
      <c r="Q1634">
        <f t="shared" si="125"/>
        <v>81</v>
      </c>
      <c r="R1634">
        <f t="shared" si="126"/>
        <v>95</v>
      </c>
      <c r="S1634" s="1">
        <f t="shared" si="127"/>
        <v>9.8765432098765427E-2</v>
      </c>
      <c r="T1634">
        <f t="shared" si="128"/>
        <v>0.81</v>
      </c>
      <c r="U1634" t="str">
        <f t="shared" si="129"/>
        <v>Mar</v>
      </c>
    </row>
    <row r="1635" spans="1:21">
      <c r="A1635" s="2">
        <v>46094</v>
      </c>
      <c r="B1635" t="s">
        <v>4</v>
      </c>
      <c r="C1635" t="s">
        <v>44</v>
      </c>
      <c r="D1635" t="s">
        <v>11</v>
      </c>
      <c r="E1635" t="s">
        <v>41</v>
      </c>
      <c r="F1635" t="s">
        <v>39</v>
      </c>
      <c r="G1635">
        <v>55</v>
      </c>
      <c r="H1635">
        <v>14</v>
      </c>
      <c r="I1635">
        <v>33</v>
      </c>
      <c r="J1635">
        <v>135</v>
      </c>
      <c r="K1635">
        <v>113</v>
      </c>
      <c r="L1635">
        <v>124.84</v>
      </c>
      <c r="M1635">
        <v>1928.44</v>
      </c>
      <c r="N1635">
        <v>73018</v>
      </c>
      <c r="O1635">
        <v>902.89</v>
      </c>
      <c r="P1635" s="1">
        <v>-6.7000000000000004E-2</v>
      </c>
      <c r="Q1635">
        <f t="shared" si="125"/>
        <v>69</v>
      </c>
      <c r="R1635">
        <f t="shared" si="126"/>
        <v>149</v>
      </c>
      <c r="S1635" s="1">
        <f t="shared" si="127"/>
        <v>0.52173913043478259</v>
      </c>
      <c r="T1635">
        <f t="shared" si="128"/>
        <v>0.69</v>
      </c>
      <c r="U1635" t="str">
        <f t="shared" si="129"/>
        <v>Mar</v>
      </c>
    </row>
    <row r="1636" spans="1:21">
      <c r="A1636" s="2">
        <v>46095</v>
      </c>
      <c r="B1636" t="s">
        <v>6</v>
      </c>
      <c r="C1636" t="s">
        <v>31</v>
      </c>
      <c r="D1636" t="s">
        <v>10</v>
      </c>
      <c r="E1636" t="s">
        <v>37</v>
      </c>
      <c r="F1636" t="s">
        <v>39</v>
      </c>
      <c r="G1636">
        <v>81</v>
      </c>
      <c r="H1636">
        <v>47</v>
      </c>
      <c r="I1636">
        <v>8</v>
      </c>
      <c r="J1636">
        <v>29</v>
      </c>
      <c r="K1636">
        <v>393</v>
      </c>
      <c r="L1636">
        <v>100.07</v>
      </c>
      <c r="M1636">
        <v>2464.9699999999998</v>
      </c>
      <c r="N1636">
        <v>67947</v>
      </c>
      <c r="O1636">
        <v>1761.98</v>
      </c>
      <c r="P1636" s="1">
        <v>0.92600000000000005</v>
      </c>
      <c r="Q1636">
        <f t="shared" si="125"/>
        <v>128</v>
      </c>
      <c r="R1636">
        <f t="shared" si="126"/>
        <v>76</v>
      </c>
      <c r="S1636" s="1">
        <f t="shared" si="127"/>
        <v>0.9375</v>
      </c>
      <c r="T1636">
        <f t="shared" si="128"/>
        <v>1.28</v>
      </c>
      <c r="U1636" t="str">
        <f t="shared" si="129"/>
        <v>Mar</v>
      </c>
    </row>
    <row r="1637" spans="1:21">
      <c r="A1637" s="2">
        <v>46115</v>
      </c>
      <c r="B1637" t="s">
        <v>6</v>
      </c>
      <c r="C1637" t="s">
        <v>46</v>
      </c>
      <c r="D1637" t="s">
        <v>9</v>
      </c>
      <c r="E1637" t="s">
        <v>41</v>
      </c>
      <c r="F1637" t="s">
        <v>33</v>
      </c>
      <c r="G1637">
        <v>80</v>
      </c>
      <c r="H1637">
        <v>78</v>
      </c>
      <c r="I1637">
        <v>42</v>
      </c>
      <c r="J1637">
        <v>18</v>
      </c>
      <c r="K1637">
        <v>277</v>
      </c>
      <c r="L1637">
        <v>106.47</v>
      </c>
      <c r="M1637">
        <v>2172.2399999999998</v>
      </c>
      <c r="N1637">
        <v>64790</v>
      </c>
      <c r="O1637">
        <v>1077.67</v>
      </c>
      <c r="P1637" s="1">
        <v>-0.26600000000000001</v>
      </c>
      <c r="Q1637">
        <f t="shared" si="125"/>
        <v>158</v>
      </c>
      <c r="R1637">
        <f t="shared" si="126"/>
        <v>96</v>
      </c>
      <c r="S1637" s="1">
        <f t="shared" si="127"/>
        <v>0.73417721518987344</v>
      </c>
      <c r="T1637">
        <f t="shared" si="128"/>
        <v>1.58</v>
      </c>
      <c r="U1637" t="str">
        <f t="shared" si="129"/>
        <v>Apr</v>
      </c>
    </row>
    <row r="1638" spans="1:21">
      <c r="A1638" s="2">
        <v>46114</v>
      </c>
      <c r="B1638" t="s">
        <v>6</v>
      </c>
      <c r="C1638" t="s">
        <v>48</v>
      </c>
      <c r="D1638" t="s">
        <v>10</v>
      </c>
      <c r="E1638" t="s">
        <v>41</v>
      </c>
      <c r="F1638" t="s">
        <v>49</v>
      </c>
      <c r="G1638">
        <v>115</v>
      </c>
      <c r="H1638">
        <v>52</v>
      </c>
      <c r="I1638">
        <v>49</v>
      </c>
      <c r="J1638">
        <v>82</v>
      </c>
      <c r="K1638">
        <v>274</v>
      </c>
      <c r="L1638">
        <v>128.51</v>
      </c>
      <c r="M1638">
        <v>1880.34</v>
      </c>
      <c r="N1638">
        <v>71908</v>
      </c>
      <c r="O1638">
        <v>1433.18</v>
      </c>
      <c r="P1638" s="1">
        <v>0.52500000000000002</v>
      </c>
      <c r="Q1638">
        <f t="shared" si="125"/>
        <v>167</v>
      </c>
      <c r="R1638">
        <f t="shared" si="126"/>
        <v>134</v>
      </c>
      <c r="S1638" s="1">
        <f t="shared" si="127"/>
        <v>0.70658682634730541</v>
      </c>
      <c r="T1638">
        <f t="shared" si="128"/>
        <v>1.67</v>
      </c>
      <c r="U1638" t="str">
        <f t="shared" si="129"/>
        <v>Apr</v>
      </c>
    </row>
    <row r="1639" spans="1:21">
      <c r="A1639" s="2">
        <v>46120</v>
      </c>
      <c r="B1639" t="s">
        <v>6</v>
      </c>
      <c r="C1639" t="s">
        <v>44</v>
      </c>
      <c r="D1639" t="s">
        <v>11</v>
      </c>
      <c r="E1639" t="s">
        <v>41</v>
      </c>
      <c r="F1639" t="s">
        <v>49</v>
      </c>
      <c r="G1639">
        <v>3</v>
      </c>
      <c r="H1639">
        <v>17</v>
      </c>
      <c r="I1639">
        <v>49</v>
      </c>
      <c r="J1639">
        <v>89</v>
      </c>
      <c r="K1639">
        <v>159</v>
      </c>
      <c r="L1639">
        <v>112.14</v>
      </c>
      <c r="M1639">
        <v>2318.91</v>
      </c>
      <c r="N1639">
        <v>64932</v>
      </c>
      <c r="O1639">
        <v>958.11</v>
      </c>
      <c r="P1639" s="1">
        <v>-0.128</v>
      </c>
      <c r="Q1639">
        <f t="shared" si="125"/>
        <v>20</v>
      </c>
      <c r="R1639">
        <f t="shared" si="126"/>
        <v>106</v>
      </c>
      <c r="S1639" s="1">
        <f t="shared" si="127"/>
        <v>-1.45</v>
      </c>
      <c r="T1639">
        <f t="shared" si="128"/>
        <v>0.2</v>
      </c>
      <c r="U1639" t="str">
        <f t="shared" si="129"/>
        <v>Apr</v>
      </c>
    </row>
    <row r="1640" spans="1:21">
      <c r="A1640" s="2">
        <v>46082</v>
      </c>
      <c r="B1640" t="s">
        <v>4</v>
      </c>
      <c r="C1640" t="s">
        <v>43</v>
      </c>
      <c r="D1640" t="s">
        <v>10</v>
      </c>
      <c r="E1640" t="s">
        <v>32</v>
      </c>
      <c r="F1640" t="s">
        <v>49</v>
      </c>
      <c r="G1640">
        <v>26</v>
      </c>
      <c r="H1640">
        <v>44</v>
      </c>
      <c r="I1640">
        <v>7</v>
      </c>
      <c r="J1640">
        <v>11</v>
      </c>
      <c r="K1640">
        <v>51</v>
      </c>
      <c r="L1640">
        <v>98.72</v>
      </c>
      <c r="M1640">
        <v>2466.38</v>
      </c>
      <c r="N1640">
        <v>71205</v>
      </c>
      <c r="O1640">
        <v>1776.8</v>
      </c>
      <c r="P1640" s="1">
        <v>0.80500000000000005</v>
      </c>
      <c r="Q1640">
        <f t="shared" si="125"/>
        <v>70</v>
      </c>
      <c r="R1640">
        <f t="shared" si="126"/>
        <v>55</v>
      </c>
      <c r="S1640" s="1">
        <f t="shared" si="127"/>
        <v>0.9</v>
      </c>
      <c r="T1640">
        <f t="shared" si="128"/>
        <v>0.7</v>
      </c>
      <c r="U1640" t="str">
        <f t="shared" si="129"/>
        <v>Mar</v>
      </c>
    </row>
    <row r="1641" spans="1:21">
      <c r="A1641" s="2">
        <v>46071</v>
      </c>
      <c r="B1641" t="s">
        <v>6</v>
      </c>
      <c r="C1641" t="s">
        <v>44</v>
      </c>
      <c r="D1641" t="s">
        <v>10</v>
      </c>
      <c r="E1641" t="s">
        <v>47</v>
      </c>
      <c r="F1641" t="s">
        <v>33</v>
      </c>
      <c r="G1641">
        <v>115</v>
      </c>
      <c r="H1641">
        <v>58</v>
      </c>
      <c r="I1641">
        <v>67</v>
      </c>
      <c r="J1641">
        <v>53</v>
      </c>
      <c r="K1641">
        <v>138</v>
      </c>
      <c r="L1641">
        <v>85.48</v>
      </c>
      <c r="M1641">
        <v>2082.9299999999998</v>
      </c>
      <c r="N1641">
        <v>74598</v>
      </c>
      <c r="O1641">
        <v>1064.76</v>
      </c>
      <c r="P1641" s="1">
        <v>0.41199999999999998</v>
      </c>
      <c r="Q1641">
        <f t="shared" si="125"/>
        <v>173</v>
      </c>
      <c r="R1641">
        <f t="shared" si="126"/>
        <v>111</v>
      </c>
      <c r="S1641" s="1">
        <f t="shared" si="127"/>
        <v>0.61271676300578037</v>
      </c>
      <c r="T1641">
        <f t="shared" si="128"/>
        <v>1.73</v>
      </c>
      <c r="U1641" t="str">
        <f t="shared" si="129"/>
        <v>Feb</v>
      </c>
    </row>
    <row r="1642" spans="1:21">
      <c r="A1642" s="2">
        <v>46095</v>
      </c>
      <c r="B1642" t="s">
        <v>6</v>
      </c>
      <c r="C1642" t="s">
        <v>36</v>
      </c>
      <c r="D1642" t="s">
        <v>11</v>
      </c>
      <c r="E1642" t="s">
        <v>42</v>
      </c>
      <c r="F1642" t="s">
        <v>33</v>
      </c>
      <c r="G1642">
        <v>32</v>
      </c>
      <c r="H1642">
        <v>23</v>
      </c>
      <c r="I1642">
        <v>33</v>
      </c>
      <c r="J1642">
        <v>67</v>
      </c>
      <c r="K1642">
        <v>5</v>
      </c>
      <c r="L1642">
        <v>82.06</v>
      </c>
      <c r="M1642">
        <v>1901.21</v>
      </c>
      <c r="N1642">
        <v>75163</v>
      </c>
      <c r="O1642">
        <v>1723.99</v>
      </c>
      <c r="P1642" s="1">
        <v>-0.82099999999999995</v>
      </c>
      <c r="Q1642">
        <f t="shared" si="125"/>
        <v>55</v>
      </c>
      <c r="R1642">
        <f t="shared" si="126"/>
        <v>90</v>
      </c>
      <c r="S1642" s="1">
        <f t="shared" si="127"/>
        <v>0.4</v>
      </c>
      <c r="T1642">
        <f t="shared" si="128"/>
        <v>0.55000000000000004</v>
      </c>
      <c r="U1642" t="str">
        <f t="shared" si="129"/>
        <v>Mar</v>
      </c>
    </row>
    <row r="1643" spans="1:21">
      <c r="A1643" s="2">
        <v>46084</v>
      </c>
      <c r="B1643" t="s">
        <v>4</v>
      </c>
      <c r="C1643" t="s">
        <v>44</v>
      </c>
      <c r="D1643" t="s">
        <v>10</v>
      </c>
      <c r="E1643" t="s">
        <v>32</v>
      </c>
      <c r="F1643" t="s">
        <v>49</v>
      </c>
      <c r="G1643">
        <v>61</v>
      </c>
      <c r="H1643">
        <v>56</v>
      </c>
      <c r="I1643">
        <v>47</v>
      </c>
      <c r="J1643">
        <v>70</v>
      </c>
      <c r="K1643">
        <v>340</v>
      </c>
      <c r="L1643">
        <v>120.79</v>
      </c>
      <c r="M1643">
        <v>2027.17</v>
      </c>
      <c r="N1643">
        <v>75803</v>
      </c>
      <c r="O1643">
        <v>1462.25</v>
      </c>
      <c r="P1643" s="1">
        <v>-0.75600000000000001</v>
      </c>
      <c r="Q1643">
        <f t="shared" si="125"/>
        <v>117</v>
      </c>
      <c r="R1643">
        <f t="shared" si="126"/>
        <v>126</v>
      </c>
      <c r="S1643" s="1">
        <f t="shared" si="127"/>
        <v>0.59829059829059827</v>
      </c>
      <c r="T1643">
        <f t="shared" si="128"/>
        <v>1.17</v>
      </c>
      <c r="U1643" t="str">
        <f t="shared" si="129"/>
        <v>Mar</v>
      </c>
    </row>
    <row r="1644" spans="1:21">
      <c r="A1644" s="2">
        <v>46122</v>
      </c>
      <c r="B1644" t="s">
        <v>4</v>
      </c>
      <c r="C1644" t="s">
        <v>46</v>
      </c>
      <c r="D1644" t="s">
        <v>10</v>
      </c>
      <c r="E1644" t="s">
        <v>38</v>
      </c>
      <c r="F1644" t="s">
        <v>33</v>
      </c>
      <c r="G1644">
        <v>68</v>
      </c>
      <c r="H1644">
        <v>28</v>
      </c>
      <c r="I1644">
        <v>39</v>
      </c>
      <c r="J1644">
        <v>131</v>
      </c>
      <c r="K1644">
        <v>430</v>
      </c>
      <c r="L1644">
        <v>109.1</v>
      </c>
      <c r="M1644">
        <v>2245.33</v>
      </c>
      <c r="N1644">
        <v>73847</v>
      </c>
      <c r="O1644">
        <v>1758.61</v>
      </c>
      <c r="P1644" s="1">
        <v>-0.90900000000000003</v>
      </c>
      <c r="Q1644">
        <f t="shared" si="125"/>
        <v>96</v>
      </c>
      <c r="R1644">
        <f t="shared" si="126"/>
        <v>159</v>
      </c>
      <c r="S1644" s="1">
        <f t="shared" si="127"/>
        <v>0.59375</v>
      </c>
      <c r="T1644">
        <f t="shared" si="128"/>
        <v>0.96</v>
      </c>
      <c r="U1644" t="str">
        <f t="shared" si="129"/>
        <v>Apr</v>
      </c>
    </row>
    <row r="1645" spans="1:21">
      <c r="A1645" s="2">
        <v>46127</v>
      </c>
      <c r="B1645" t="s">
        <v>6</v>
      </c>
      <c r="C1645" t="s">
        <v>36</v>
      </c>
      <c r="D1645" t="s">
        <v>9</v>
      </c>
      <c r="E1645" t="s">
        <v>47</v>
      </c>
      <c r="F1645" t="s">
        <v>33</v>
      </c>
      <c r="G1645">
        <v>110</v>
      </c>
      <c r="H1645">
        <v>34</v>
      </c>
      <c r="I1645">
        <v>25</v>
      </c>
      <c r="J1645">
        <v>124</v>
      </c>
      <c r="K1645">
        <v>36</v>
      </c>
      <c r="L1645">
        <v>95.99</v>
      </c>
      <c r="M1645">
        <v>2195.7800000000002</v>
      </c>
      <c r="N1645">
        <v>74429</v>
      </c>
      <c r="O1645">
        <v>1425.88</v>
      </c>
      <c r="P1645" s="1">
        <v>-0.219</v>
      </c>
      <c r="Q1645">
        <f t="shared" si="125"/>
        <v>144</v>
      </c>
      <c r="R1645">
        <f t="shared" si="126"/>
        <v>158</v>
      </c>
      <c r="S1645" s="1">
        <f t="shared" si="127"/>
        <v>0.82638888888888884</v>
      </c>
      <c r="T1645">
        <f t="shared" si="128"/>
        <v>1.44</v>
      </c>
      <c r="U1645" t="str">
        <f t="shared" si="129"/>
        <v>Apr</v>
      </c>
    </row>
    <row r="1646" spans="1:21">
      <c r="A1646" s="2">
        <v>46108</v>
      </c>
      <c r="B1646" t="s">
        <v>6</v>
      </c>
      <c r="C1646" t="s">
        <v>34</v>
      </c>
      <c r="D1646" t="s">
        <v>11</v>
      </c>
      <c r="E1646" t="s">
        <v>35</v>
      </c>
      <c r="F1646" t="s">
        <v>33</v>
      </c>
      <c r="G1646">
        <v>2</v>
      </c>
      <c r="H1646">
        <v>3</v>
      </c>
      <c r="I1646">
        <v>66</v>
      </c>
      <c r="J1646">
        <v>92</v>
      </c>
      <c r="K1646">
        <v>167</v>
      </c>
      <c r="L1646">
        <v>107.1</v>
      </c>
      <c r="M1646">
        <v>2196.34</v>
      </c>
      <c r="N1646">
        <v>74482</v>
      </c>
      <c r="O1646">
        <v>1728.8</v>
      </c>
      <c r="P1646" s="1">
        <v>-0.753</v>
      </c>
      <c r="Q1646">
        <f t="shared" si="125"/>
        <v>5</v>
      </c>
      <c r="R1646">
        <f t="shared" si="126"/>
        <v>95</v>
      </c>
      <c r="S1646" s="1">
        <f t="shared" si="127"/>
        <v>-12.2</v>
      </c>
      <c r="T1646">
        <f t="shared" si="128"/>
        <v>0.05</v>
      </c>
      <c r="U1646" t="str">
        <f t="shared" si="129"/>
        <v>Mar</v>
      </c>
    </row>
    <row r="1647" spans="1:21">
      <c r="A1647" s="2">
        <v>46080</v>
      </c>
      <c r="B1647" t="s">
        <v>6</v>
      </c>
      <c r="C1647" t="s">
        <v>34</v>
      </c>
      <c r="D1647" t="s">
        <v>5</v>
      </c>
      <c r="E1647" t="s">
        <v>38</v>
      </c>
      <c r="F1647" t="s">
        <v>45</v>
      </c>
      <c r="G1647">
        <v>96</v>
      </c>
      <c r="H1647">
        <v>40</v>
      </c>
      <c r="I1647">
        <v>2</v>
      </c>
      <c r="J1647">
        <v>105</v>
      </c>
      <c r="K1647">
        <v>35</v>
      </c>
      <c r="L1647">
        <v>107.32</v>
      </c>
      <c r="M1647">
        <v>2106.4499999999998</v>
      </c>
      <c r="N1647">
        <v>74577</v>
      </c>
      <c r="O1647">
        <v>1188.5999999999999</v>
      </c>
      <c r="P1647" s="1">
        <v>-0.93899999999999995</v>
      </c>
      <c r="Q1647">
        <f t="shared" si="125"/>
        <v>136</v>
      </c>
      <c r="R1647">
        <f t="shared" si="126"/>
        <v>145</v>
      </c>
      <c r="S1647" s="1">
        <f t="shared" si="127"/>
        <v>0.98529411764705888</v>
      </c>
      <c r="T1647">
        <f t="shared" si="128"/>
        <v>1.36</v>
      </c>
      <c r="U1647" t="str">
        <f t="shared" si="129"/>
        <v>Feb</v>
      </c>
    </row>
    <row r="1648" spans="1:21">
      <c r="A1648" s="2">
        <v>46084</v>
      </c>
      <c r="B1648" t="s">
        <v>6</v>
      </c>
      <c r="C1648" t="s">
        <v>48</v>
      </c>
      <c r="D1648" t="s">
        <v>5</v>
      </c>
      <c r="E1648" t="s">
        <v>42</v>
      </c>
      <c r="F1648" t="s">
        <v>39</v>
      </c>
      <c r="G1648">
        <v>97</v>
      </c>
      <c r="H1648">
        <v>72</v>
      </c>
      <c r="I1648">
        <v>11</v>
      </c>
      <c r="J1648">
        <v>126</v>
      </c>
      <c r="K1648">
        <v>249</v>
      </c>
      <c r="L1648">
        <v>128.56</v>
      </c>
      <c r="M1648">
        <v>1815.41</v>
      </c>
      <c r="N1648">
        <v>67783</v>
      </c>
      <c r="O1648">
        <v>973.14</v>
      </c>
      <c r="P1648" s="1">
        <v>-0.97599999999999998</v>
      </c>
      <c r="Q1648">
        <f t="shared" si="125"/>
        <v>169</v>
      </c>
      <c r="R1648">
        <f t="shared" si="126"/>
        <v>198</v>
      </c>
      <c r="S1648" s="1">
        <f t="shared" si="127"/>
        <v>0.9349112426035503</v>
      </c>
      <c r="T1648">
        <f t="shared" si="128"/>
        <v>1.69</v>
      </c>
      <c r="U1648" t="str">
        <f t="shared" si="129"/>
        <v>Mar</v>
      </c>
    </row>
    <row r="1649" spans="1:21">
      <c r="A1649" s="2">
        <v>46121</v>
      </c>
      <c r="B1649" t="s">
        <v>4</v>
      </c>
      <c r="C1649" t="s">
        <v>44</v>
      </c>
      <c r="D1649" t="s">
        <v>7</v>
      </c>
      <c r="E1649" t="s">
        <v>37</v>
      </c>
      <c r="F1649" t="s">
        <v>45</v>
      </c>
      <c r="G1649">
        <v>60</v>
      </c>
      <c r="H1649">
        <v>45</v>
      </c>
      <c r="I1649">
        <v>70</v>
      </c>
      <c r="J1649">
        <v>107</v>
      </c>
      <c r="K1649">
        <v>137</v>
      </c>
      <c r="L1649">
        <v>83.5</v>
      </c>
      <c r="M1649">
        <v>1918.97</v>
      </c>
      <c r="N1649">
        <v>73443</v>
      </c>
      <c r="O1649">
        <v>1728.65</v>
      </c>
      <c r="P1649" s="1">
        <v>-0.79500000000000004</v>
      </c>
      <c r="Q1649">
        <f t="shared" si="125"/>
        <v>105</v>
      </c>
      <c r="R1649">
        <f t="shared" si="126"/>
        <v>152</v>
      </c>
      <c r="S1649" s="1">
        <f t="shared" si="127"/>
        <v>0.33333333333333331</v>
      </c>
      <c r="T1649">
        <f t="shared" si="128"/>
        <v>1.05</v>
      </c>
      <c r="U1649" t="str">
        <f t="shared" si="129"/>
        <v>Apr</v>
      </c>
    </row>
    <row r="1650" spans="1:21">
      <c r="A1650" s="2">
        <v>46075</v>
      </c>
      <c r="B1650" t="s">
        <v>6</v>
      </c>
      <c r="C1650" t="s">
        <v>44</v>
      </c>
      <c r="D1650" t="s">
        <v>9</v>
      </c>
      <c r="E1650" t="s">
        <v>47</v>
      </c>
      <c r="F1650" t="s">
        <v>33</v>
      </c>
      <c r="G1650">
        <v>25</v>
      </c>
      <c r="H1650">
        <v>6</v>
      </c>
      <c r="I1650">
        <v>29</v>
      </c>
      <c r="J1650">
        <v>63</v>
      </c>
      <c r="K1650">
        <v>412</v>
      </c>
      <c r="L1650">
        <v>91.24</v>
      </c>
      <c r="M1650">
        <v>2243.33</v>
      </c>
      <c r="N1650">
        <v>72778</v>
      </c>
      <c r="O1650">
        <v>1720</v>
      </c>
      <c r="P1650" s="1">
        <v>-7.0999999999999994E-2</v>
      </c>
      <c r="Q1650">
        <f t="shared" si="125"/>
        <v>31</v>
      </c>
      <c r="R1650">
        <f t="shared" si="126"/>
        <v>69</v>
      </c>
      <c r="S1650" s="1">
        <f t="shared" si="127"/>
        <v>6.4516129032258063E-2</v>
      </c>
      <c r="T1650">
        <f t="shared" si="128"/>
        <v>0.31</v>
      </c>
      <c r="U1650" t="str">
        <f t="shared" si="129"/>
        <v>Feb</v>
      </c>
    </row>
    <row r="1651" spans="1:21">
      <c r="A1651" s="2">
        <v>46116</v>
      </c>
      <c r="B1651" t="s">
        <v>4</v>
      </c>
      <c r="C1651" t="s">
        <v>40</v>
      </c>
      <c r="D1651" t="s">
        <v>9</v>
      </c>
      <c r="E1651" t="s">
        <v>37</v>
      </c>
      <c r="F1651" t="s">
        <v>49</v>
      </c>
      <c r="G1651">
        <v>116</v>
      </c>
      <c r="H1651">
        <v>12</v>
      </c>
      <c r="I1651">
        <v>39</v>
      </c>
      <c r="J1651">
        <v>137</v>
      </c>
      <c r="K1651">
        <v>390</v>
      </c>
      <c r="L1651">
        <v>134.38999999999999</v>
      </c>
      <c r="M1651">
        <v>2340.66</v>
      </c>
      <c r="N1651">
        <v>73263</v>
      </c>
      <c r="O1651">
        <v>1718.95</v>
      </c>
      <c r="P1651" s="1">
        <v>0.57099999999999995</v>
      </c>
      <c r="Q1651">
        <f t="shared" si="125"/>
        <v>128</v>
      </c>
      <c r="R1651">
        <f t="shared" si="126"/>
        <v>149</v>
      </c>
      <c r="S1651" s="1">
        <f t="shared" si="127"/>
        <v>0.6953125</v>
      </c>
      <c r="T1651">
        <f t="shared" si="128"/>
        <v>1.28</v>
      </c>
      <c r="U1651" t="str">
        <f t="shared" si="129"/>
        <v>Apr</v>
      </c>
    </row>
    <row r="1652" spans="1:21">
      <c r="A1652" s="2">
        <v>46105</v>
      </c>
      <c r="B1652" t="s">
        <v>6</v>
      </c>
      <c r="C1652" t="s">
        <v>51</v>
      </c>
      <c r="D1652" t="s">
        <v>10</v>
      </c>
      <c r="E1652" t="s">
        <v>32</v>
      </c>
      <c r="F1652" t="s">
        <v>33</v>
      </c>
      <c r="G1652">
        <v>5</v>
      </c>
      <c r="H1652">
        <v>15</v>
      </c>
      <c r="I1652">
        <v>26</v>
      </c>
      <c r="J1652">
        <v>124</v>
      </c>
      <c r="K1652">
        <v>358</v>
      </c>
      <c r="L1652">
        <v>98.34</v>
      </c>
      <c r="M1652">
        <v>2381.59</v>
      </c>
      <c r="N1652">
        <v>66994</v>
      </c>
      <c r="O1652">
        <v>1665.05</v>
      </c>
      <c r="P1652" s="1">
        <v>0.152</v>
      </c>
      <c r="Q1652">
        <f t="shared" si="125"/>
        <v>20</v>
      </c>
      <c r="R1652">
        <f t="shared" si="126"/>
        <v>139</v>
      </c>
      <c r="S1652" s="1">
        <f t="shared" si="127"/>
        <v>-0.3</v>
      </c>
      <c r="T1652">
        <f t="shared" si="128"/>
        <v>0.2</v>
      </c>
      <c r="U1652" t="str">
        <f t="shared" si="129"/>
        <v>Mar</v>
      </c>
    </row>
    <row r="1653" spans="1:21">
      <c r="A1653" s="2">
        <v>46075</v>
      </c>
      <c r="B1653" t="s">
        <v>6</v>
      </c>
      <c r="C1653" t="s">
        <v>36</v>
      </c>
      <c r="D1653" t="s">
        <v>9</v>
      </c>
      <c r="E1653" t="s">
        <v>32</v>
      </c>
      <c r="F1653" t="s">
        <v>49</v>
      </c>
      <c r="G1653">
        <v>69</v>
      </c>
      <c r="H1653">
        <v>34</v>
      </c>
      <c r="I1653">
        <v>46</v>
      </c>
      <c r="J1653">
        <v>14</v>
      </c>
      <c r="K1653">
        <v>164</v>
      </c>
      <c r="L1653">
        <v>84.44</v>
      </c>
      <c r="M1653">
        <v>2121.2600000000002</v>
      </c>
      <c r="N1653">
        <v>69842</v>
      </c>
      <c r="O1653">
        <v>1374.67</v>
      </c>
      <c r="P1653" s="1">
        <v>0.13800000000000001</v>
      </c>
      <c r="Q1653">
        <f t="shared" si="125"/>
        <v>103</v>
      </c>
      <c r="R1653">
        <f t="shared" si="126"/>
        <v>48</v>
      </c>
      <c r="S1653" s="1">
        <f t="shared" si="127"/>
        <v>0.55339805825242716</v>
      </c>
      <c r="T1653">
        <f t="shared" si="128"/>
        <v>1.03</v>
      </c>
      <c r="U1653" t="str">
        <f t="shared" si="129"/>
        <v>Feb</v>
      </c>
    </row>
    <row r="1654" spans="1:21">
      <c r="A1654" s="2">
        <v>46116</v>
      </c>
      <c r="B1654" t="s">
        <v>6</v>
      </c>
      <c r="C1654" t="s">
        <v>43</v>
      </c>
      <c r="D1654" t="s">
        <v>11</v>
      </c>
      <c r="E1654" t="s">
        <v>38</v>
      </c>
      <c r="F1654" t="s">
        <v>39</v>
      </c>
      <c r="G1654">
        <v>45</v>
      </c>
      <c r="H1654">
        <v>58</v>
      </c>
      <c r="I1654">
        <v>89</v>
      </c>
      <c r="J1654">
        <v>0</v>
      </c>
      <c r="K1654">
        <v>73</v>
      </c>
      <c r="L1654">
        <v>139.85</v>
      </c>
      <c r="M1654">
        <v>2489.65</v>
      </c>
      <c r="N1654">
        <v>65623</v>
      </c>
      <c r="O1654">
        <v>1522.82</v>
      </c>
      <c r="P1654" s="1">
        <v>-0.64200000000000002</v>
      </c>
      <c r="Q1654">
        <f t="shared" si="125"/>
        <v>103</v>
      </c>
      <c r="R1654">
        <f t="shared" si="126"/>
        <v>58</v>
      </c>
      <c r="S1654" s="1">
        <f t="shared" si="127"/>
        <v>0.13592233009708737</v>
      </c>
      <c r="T1654">
        <f t="shared" si="128"/>
        <v>1.03</v>
      </c>
      <c r="U1654" t="str">
        <f t="shared" si="129"/>
        <v>Apr</v>
      </c>
    </row>
    <row r="1655" spans="1:21">
      <c r="A1655" s="2">
        <v>46116</v>
      </c>
      <c r="B1655" t="s">
        <v>4</v>
      </c>
      <c r="C1655" t="s">
        <v>40</v>
      </c>
      <c r="D1655" t="s">
        <v>5</v>
      </c>
      <c r="E1655" t="s">
        <v>38</v>
      </c>
      <c r="F1655" t="s">
        <v>33</v>
      </c>
      <c r="G1655">
        <v>95</v>
      </c>
      <c r="H1655">
        <v>23</v>
      </c>
      <c r="I1655">
        <v>85</v>
      </c>
      <c r="J1655">
        <v>16</v>
      </c>
      <c r="K1655">
        <v>190</v>
      </c>
      <c r="L1655">
        <v>136.57</v>
      </c>
      <c r="M1655">
        <v>2461.38</v>
      </c>
      <c r="N1655">
        <v>69181</v>
      </c>
      <c r="O1655">
        <v>1668.17</v>
      </c>
      <c r="P1655" s="1">
        <v>0.94</v>
      </c>
      <c r="Q1655">
        <f t="shared" si="125"/>
        <v>118</v>
      </c>
      <c r="R1655">
        <f t="shared" si="126"/>
        <v>39</v>
      </c>
      <c r="S1655" s="1">
        <f t="shared" si="127"/>
        <v>0.27966101694915252</v>
      </c>
      <c r="T1655">
        <f t="shared" si="128"/>
        <v>1.18</v>
      </c>
      <c r="U1655" t="str">
        <f t="shared" si="129"/>
        <v>Apr</v>
      </c>
    </row>
    <row r="1656" spans="1:21">
      <c r="A1656" s="2">
        <v>46081</v>
      </c>
      <c r="B1656" t="s">
        <v>4</v>
      </c>
      <c r="C1656" t="s">
        <v>51</v>
      </c>
      <c r="D1656" t="s">
        <v>10</v>
      </c>
      <c r="E1656" t="s">
        <v>37</v>
      </c>
      <c r="F1656" t="s">
        <v>39</v>
      </c>
      <c r="G1656">
        <v>16</v>
      </c>
      <c r="H1656">
        <v>21</v>
      </c>
      <c r="I1656">
        <v>86</v>
      </c>
      <c r="J1656">
        <v>20</v>
      </c>
      <c r="K1656">
        <v>23</v>
      </c>
      <c r="L1656">
        <v>94.06</v>
      </c>
      <c r="M1656">
        <v>2223.91</v>
      </c>
      <c r="N1656">
        <v>70271</v>
      </c>
      <c r="O1656">
        <v>1494.95</v>
      </c>
      <c r="P1656" s="1">
        <v>-1.9E-2</v>
      </c>
      <c r="Q1656">
        <f t="shared" si="125"/>
        <v>37</v>
      </c>
      <c r="R1656">
        <f t="shared" si="126"/>
        <v>41</v>
      </c>
      <c r="S1656" s="1">
        <f t="shared" si="127"/>
        <v>-1.3243243243243243</v>
      </c>
      <c r="T1656">
        <f t="shared" si="128"/>
        <v>0.37</v>
      </c>
      <c r="U1656" t="str">
        <f t="shared" si="129"/>
        <v>Feb</v>
      </c>
    </row>
    <row r="1657" spans="1:21">
      <c r="A1657" s="2">
        <v>46079</v>
      </c>
      <c r="B1657" t="s">
        <v>4</v>
      </c>
      <c r="C1657" t="s">
        <v>48</v>
      </c>
      <c r="D1657" t="s">
        <v>7</v>
      </c>
      <c r="E1657" t="s">
        <v>41</v>
      </c>
      <c r="F1657" t="s">
        <v>49</v>
      </c>
      <c r="G1657">
        <v>75</v>
      </c>
      <c r="H1657">
        <v>3</v>
      </c>
      <c r="I1657">
        <v>69</v>
      </c>
      <c r="J1657">
        <v>69</v>
      </c>
      <c r="K1657">
        <v>91</v>
      </c>
      <c r="L1657">
        <v>105.18</v>
      </c>
      <c r="M1657">
        <v>2387.09</v>
      </c>
      <c r="N1657">
        <v>68329</v>
      </c>
      <c r="O1657">
        <v>1358.44</v>
      </c>
      <c r="P1657" s="1">
        <v>0.14899999999999999</v>
      </c>
      <c r="Q1657">
        <f t="shared" si="125"/>
        <v>78</v>
      </c>
      <c r="R1657">
        <f t="shared" si="126"/>
        <v>72</v>
      </c>
      <c r="S1657" s="1">
        <f t="shared" si="127"/>
        <v>0.11538461538461539</v>
      </c>
      <c r="T1657">
        <f t="shared" si="128"/>
        <v>0.78</v>
      </c>
      <c r="U1657" t="str">
        <f t="shared" si="129"/>
        <v>Feb</v>
      </c>
    </row>
    <row r="1658" spans="1:21">
      <c r="A1658" s="2">
        <v>46126</v>
      </c>
      <c r="B1658" t="s">
        <v>6</v>
      </c>
      <c r="C1658" t="s">
        <v>50</v>
      </c>
      <c r="D1658" t="s">
        <v>10</v>
      </c>
      <c r="E1658" t="s">
        <v>32</v>
      </c>
      <c r="F1658" t="s">
        <v>39</v>
      </c>
      <c r="G1658">
        <v>47</v>
      </c>
      <c r="H1658">
        <v>77</v>
      </c>
      <c r="I1658">
        <v>47</v>
      </c>
      <c r="J1658">
        <v>123</v>
      </c>
      <c r="K1658">
        <v>198</v>
      </c>
      <c r="L1658">
        <v>115.97</v>
      </c>
      <c r="M1658">
        <v>2026.48</v>
      </c>
      <c r="N1658">
        <v>66212</v>
      </c>
      <c r="O1658">
        <v>1374.71</v>
      </c>
      <c r="P1658" s="1">
        <v>0.57599999999999996</v>
      </c>
      <c r="Q1658">
        <f t="shared" si="125"/>
        <v>124</v>
      </c>
      <c r="R1658">
        <f t="shared" si="126"/>
        <v>200</v>
      </c>
      <c r="S1658" s="1">
        <f t="shared" si="127"/>
        <v>0.62096774193548387</v>
      </c>
      <c r="T1658">
        <f t="shared" si="128"/>
        <v>1.24</v>
      </c>
      <c r="U1658" t="str">
        <f t="shared" si="129"/>
        <v>Apr</v>
      </c>
    </row>
    <row r="1659" spans="1:21">
      <c r="A1659" s="2">
        <v>46086</v>
      </c>
      <c r="B1659" t="s">
        <v>4</v>
      </c>
      <c r="C1659" t="s">
        <v>44</v>
      </c>
      <c r="D1659" t="s">
        <v>5</v>
      </c>
      <c r="E1659" t="s">
        <v>32</v>
      </c>
      <c r="F1659" t="s">
        <v>45</v>
      </c>
      <c r="G1659">
        <v>90</v>
      </c>
      <c r="H1659">
        <v>78</v>
      </c>
      <c r="I1659">
        <v>51</v>
      </c>
      <c r="J1659">
        <v>44</v>
      </c>
      <c r="K1659">
        <v>21</v>
      </c>
      <c r="L1659">
        <v>120.8</v>
      </c>
      <c r="M1659">
        <v>2398.92</v>
      </c>
      <c r="N1659">
        <v>65065</v>
      </c>
      <c r="O1659">
        <v>1187.75</v>
      </c>
      <c r="P1659" s="1">
        <v>0.371</v>
      </c>
      <c r="Q1659">
        <f t="shared" si="125"/>
        <v>168</v>
      </c>
      <c r="R1659">
        <f t="shared" si="126"/>
        <v>122</v>
      </c>
      <c r="S1659" s="1">
        <f t="shared" si="127"/>
        <v>0.6964285714285714</v>
      </c>
      <c r="T1659">
        <f t="shared" si="128"/>
        <v>1.68</v>
      </c>
      <c r="U1659" t="str">
        <f t="shared" si="129"/>
        <v>Mar</v>
      </c>
    </row>
    <row r="1660" spans="1:21">
      <c r="A1660" s="2">
        <v>46077</v>
      </c>
      <c r="B1660" t="s">
        <v>4</v>
      </c>
      <c r="C1660" t="s">
        <v>31</v>
      </c>
      <c r="D1660" t="s">
        <v>11</v>
      </c>
      <c r="E1660" t="s">
        <v>38</v>
      </c>
      <c r="F1660" t="s">
        <v>39</v>
      </c>
      <c r="G1660">
        <v>93</v>
      </c>
      <c r="H1660">
        <v>26</v>
      </c>
      <c r="I1660">
        <v>81</v>
      </c>
      <c r="J1660">
        <v>90</v>
      </c>
      <c r="K1660">
        <v>117</v>
      </c>
      <c r="L1660">
        <v>82.05</v>
      </c>
      <c r="M1660">
        <v>2308.92</v>
      </c>
      <c r="N1660">
        <v>66284</v>
      </c>
      <c r="O1660">
        <v>1664.1</v>
      </c>
      <c r="P1660" s="1">
        <v>0.89600000000000002</v>
      </c>
      <c r="Q1660">
        <f t="shared" si="125"/>
        <v>119</v>
      </c>
      <c r="R1660">
        <f t="shared" si="126"/>
        <v>116</v>
      </c>
      <c r="S1660" s="1">
        <f t="shared" si="127"/>
        <v>0.31932773109243695</v>
      </c>
      <c r="T1660">
        <f t="shared" si="128"/>
        <v>1.19</v>
      </c>
      <c r="U1660" t="str">
        <f t="shared" si="129"/>
        <v>Feb</v>
      </c>
    </row>
    <row r="1661" spans="1:21">
      <c r="A1661" s="2">
        <v>46112</v>
      </c>
      <c r="B1661" t="s">
        <v>6</v>
      </c>
      <c r="C1661" t="s">
        <v>36</v>
      </c>
      <c r="D1661" t="s">
        <v>11</v>
      </c>
      <c r="E1661" t="s">
        <v>47</v>
      </c>
      <c r="F1661" t="s">
        <v>33</v>
      </c>
      <c r="G1661">
        <v>19</v>
      </c>
      <c r="H1661">
        <v>15</v>
      </c>
      <c r="I1661">
        <v>65</v>
      </c>
      <c r="J1661">
        <v>3</v>
      </c>
      <c r="K1661">
        <v>439</v>
      </c>
      <c r="L1661">
        <v>117.82</v>
      </c>
      <c r="M1661">
        <v>2478.36</v>
      </c>
      <c r="N1661">
        <v>72817</v>
      </c>
      <c r="O1661">
        <v>1240.93</v>
      </c>
      <c r="P1661" s="1">
        <v>-0.72899999999999998</v>
      </c>
      <c r="Q1661">
        <f t="shared" si="125"/>
        <v>34</v>
      </c>
      <c r="R1661">
        <f t="shared" si="126"/>
        <v>18</v>
      </c>
      <c r="S1661" s="1">
        <f t="shared" si="127"/>
        <v>-0.91176470588235292</v>
      </c>
      <c r="T1661">
        <f t="shared" si="128"/>
        <v>0.34</v>
      </c>
      <c r="U1661" t="str">
        <f t="shared" si="129"/>
        <v>Mar</v>
      </c>
    </row>
    <row r="1662" spans="1:21">
      <c r="A1662" s="2">
        <v>46077</v>
      </c>
      <c r="B1662" t="s">
        <v>4</v>
      </c>
      <c r="C1662" t="s">
        <v>36</v>
      </c>
      <c r="D1662" t="s">
        <v>10</v>
      </c>
      <c r="E1662" t="s">
        <v>32</v>
      </c>
      <c r="F1662" t="s">
        <v>33</v>
      </c>
      <c r="G1662">
        <v>88</v>
      </c>
      <c r="H1662">
        <v>0</v>
      </c>
      <c r="I1662">
        <v>25</v>
      </c>
      <c r="J1662">
        <v>75</v>
      </c>
      <c r="K1662">
        <v>417</v>
      </c>
      <c r="L1662">
        <v>95.76</v>
      </c>
      <c r="M1662">
        <v>2001.96</v>
      </c>
      <c r="N1662">
        <v>69516</v>
      </c>
      <c r="O1662">
        <v>1705.71</v>
      </c>
      <c r="P1662" s="1">
        <v>0.25800000000000001</v>
      </c>
      <c r="Q1662">
        <f t="shared" si="125"/>
        <v>88</v>
      </c>
      <c r="R1662">
        <f t="shared" si="126"/>
        <v>75</v>
      </c>
      <c r="S1662" s="1">
        <f t="shared" si="127"/>
        <v>0.71590909090909094</v>
      </c>
      <c r="T1662">
        <f t="shared" si="128"/>
        <v>0.88</v>
      </c>
      <c r="U1662" t="str">
        <f t="shared" si="129"/>
        <v>Feb</v>
      </c>
    </row>
    <row r="1663" spans="1:21">
      <c r="A1663" s="2">
        <v>46070</v>
      </c>
      <c r="B1663" t="s">
        <v>4</v>
      </c>
      <c r="C1663" t="s">
        <v>34</v>
      </c>
      <c r="D1663" t="s">
        <v>11</v>
      </c>
      <c r="E1663" t="s">
        <v>47</v>
      </c>
      <c r="F1663" t="s">
        <v>45</v>
      </c>
      <c r="G1663">
        <v>83</v>
      </c>
      <c r="H1663">
        <v>58</v>
      </c>
      <c r="I1663">
        <v>34</v>
      </c>
      <c r="J1663">
        <v>80</v>
      </c>
      <c r="K1663">
        <v>28</v>
      </c>
      <c r="L1663">
        <v>113.77</v>
      </c>
      <c r="M1663">
        <v>2474.17</v>
      </c>
      <c r="N1663">
        <v>69810</v>
      </c>
      <c r="O1663">
        <v>1011.65</v>
      </c>
      <c r="P1663" s="1">
        <v>-7.4999999999999997E-2</v>
      </c>
      <c r="Q1663">
        <f t="shared" si="125"/>
        <v>141</v>
      </c>
      <c r="R1663">
        <f t="shared" si="126"/>
        <v>138</v>
      </c>
      <c r="S1663" s="1">
        <f t="shared" si="127"/>
        <v>0.75886524822695034</v>
      </c>
      <c r="T1663">
        <f t="shared" si="128"/>
        <v>1.41</v>
      </c>
      <c r="U1663" t="str">
        <f t="shared" si="129"/>
        <v>Feb</v>
      </c>
    </row>
    <row r="1664" spans="1:21">
      <c r="A1664" s="2">
        <v>46101</v>
      </c>
      <c r="B1664" t="s">
        <v>4</v>
      </c>
      <c r="C1664" t="s">
        <v>36</v>
      </c>
      <c r="D1664" t="s">
        <v>10</v>
      </c>
      <c r="E1664" t="s">
        <v>32</v>
      </c>
      <c r="F1664" t="s">
        <v>45</v>
      </c>
      <c r="G1664">
        <v>73</v>
      </c>
      <c r="H1664">
        <v>79</v>
      </c>
      <c r="I1664">
        <v>9</v>
      </c>
      <c r="J1664">
        <v>79</v>
      </c>
      <c r="K1664">
        <v>389</v>
      </c>
      <c r="L1664">
        <v>135.69</v>
      </c>
      <c r="M1664">
        <v>2069.98</v>
      </c>
      <c r="N1664">
        <v>75454</v>
      </c>
      <c r="O1664">
        <v>1701.51</v>
      </c>
      <c r="P1664" s="1">
        <v>0.86099999999999999</v>
      </c>
      <c r="Q1664">
        <f t="shared" si="125"/>
        <v>152</v>
      </c>
      <c r="R1664">
        <f t="shared" si="126"/>
        <v>158</v>
      </c>
      <c r="S1664" s="1">
        <f t="shared" si="127"/>
        <v>0.94078947368421051</v>
      </c>
      <c r="T1664">
        <f t="shared" si="128"/>
        <v>1.52</v>
      </c>
      <c r="U1664" t="str">
        <f t="shared" si="129"/>
        <v>Mar</v>
      </c>
    </row>
    <row r="1665" spans="1:21">
      <c r="A1665" s="2">
        <v>46072</v>
      </c>
      <c r="B1665" t="s">
        <v>6</v>
      </c>
      <c r="C1665" t="s">
        <v>36</v>
      </c>
      <c r="D1665" t="s">
        <v>9</v>
      </c>
      <c r="E1665" t="s">
        <v>47</v>
      </c>
      <c r="F1665" t="s">
        <v>49</v>
      </c>
      <c r="G1665">
        <v>47</v>
      </c>
      <c r="H1665">
        <v>29</v>
      </c>
      <c r="I1665">
        <v>73</v>
      </c>
      <c r="J1665">
        <v>61</v>
      </c>
      <c r="K1665">
        <v>145</v>
      </c>
      <c r="L1665">
        <v>133.22</v>
      </c>
      <c r="M1665">
        <v>2479.41</v>
      </c>
      <c r="N1665">
        <v>68521</v>
      </c>
      <c r="O1665">
        <v>1174.1199999999999</v>
      </c>
      <c r="P1665" s="1">
        <v>-0.2</v>
      </c>
      <c r="Q1665">
        <f t="shared" si="125"/>
        <v>76</v>
      </c>
      <c r="R1665">
        <f t="shared" si="126"/>
        <v>90</v>
      </c>
      <c r="S1665" s="1">
        <f t="shared" si="127"/>
        <v>3.9473684210526314E-2</v>
      </c>
      <c r="T1665">
        <f t="shared" si="128"/>
        <v>0.76</v>
      </c>
      <c r="U1665" t="str">
        <f t="shared" si="129"/>
        <v>Feb</v>
      </c>
    </row>
    <row r="1666" spans="1:21">
      <c r="A1666" s="2">
        <v>46070</v>
      </c>
      <c r="B1666" t="s">
        <v>4</v>
      </c>
      <c r="C1666" t="s">
        <v>44</v>
      </c>
      <c r="D1666" t="s">
        <v>10</v>
      </c>
      <c r="E1666" t="s">
        <v>35</v>
      </c>
      <c r="F1666" t="s">
        <v>49</v>
      </c>
      <c r="G1666">
        <v>101</v>
      </c>
      <c r="H1666">
        <v>8</v>
      </c>
      <c r="I1666">
        <v>17</v>
      </c>
      <c r="J1666">
        <v>101</v>
      </c>
      <c r="K1666">
        <v>61</v>
      </c>
      <c r="L1666">
        <v>97.55</v>
      </c>
      <c r="M1666">
        <v>2202.2399999999998</v>
      </c>
      <c r="N1666">
        <v>71541</v>
      </c>
      <c r="O1666">
        <v>1328.39</v>
      </c>
      <c r="P1666" s="1">
        <v>-0.81100000000000005</v>
      </c>
      <c r="Q1666">
        <f t="shared" si="125"/>
        <v>109</v>
      </c>
      <c r="R1666">
        <f t="shared" si="126"/>
        <v>109</v>
      </c>
      <c r="S1666" s="1">
        <f t="shared" si="127"/>
        <v>0.84403669724770647</v>
      </c>
      <c r="T1666">
        <f t="shared" si="128"/>
        <v>1.0900000000000001</v>
      </c>
      <c r="U1666" t="str">
        <f t="shared" si="129"/>
        <v>Feb</v>
      </c>
    </row>
    <row r="1667" spans="1:21">
      <c r="A1667" s="2">
        <v>46098</v>
      </c>
      <c r="B1667" t="s">
        <v>6</v>
      </c>
      <c r="C1667" t="s">
        <v>43</v>
      </c>
      <c r="D1667" t="s">
        <v>11</v>
      </c>
      <c r="E1667" t="s">
        <v>37</v>
      </c>
      <c r="F1667" t="s">
        <v>49</v>
      </c>
      <c r="G1667">
        <v>97</v>
      </c>
      <c r="H1667">
        <v>69</v>
      </c>
      <c r="I1667">
        <v>68</v>
      </c>
      <c r="J1667">
        <v>30</v>
      </c>
      <c r="K1667">
        <v>169</v>
      </c>
      <c r="L1667">
        <v>89.07</v>
      </c>
      <c r="M1667">
        <v>2322.17</v>
      </c>
      <c r="N1667">
        <v>73766</v>
      </c>
      <c r="O1667">
        <v>1357.52</v>
      </c>
      <c r="P1667" s="1">
        <v>0.76800000000000002</v>
      </c>
      <c r="Q1667">
        <f t="shared" ref="Q1667:Q1730" si="130">G1667+H1667</f>
        <v>166</v>
      </c>
      <c r="R1667">
        <f t="shared" ref="R1667:R1730" si="131">J1667+H1667</f>
        <v>99</v>
      </c>
      <c r="S1667" s="1">
        <f t="shared" ref="S1667:S1730" si="132">(Q1667-I1667)/(Q1667)</f>
        <v>0.59036144578313254</v>
      </c>
      <c r="T1667">
        <f t="shared" ref="T1667:T1730" si="133">Q1667/100</f>
        <v>1.66</v>
      </c>
      <c r="U1667" t="str">
        <f t="shared" ref="U1667:U1730" si="134">TEXT(A1667,"mmm")</f>
        <v>Mar</v>
      </c>
    </row>
    <row r="1668" spans="1:21">
      <c r="A1668" s="2">
        <v>46092</v>
      </c>
      <c r="B1668" t="s">
        <v>4</v>
      </c>
      <c r="C1668" t="s">
        <v>40</v>
      </c>
      <c r="D1668" t="s">
        <v>9</v>
      </c>
      <c r="E1668" t="s">
        <v>42</v>
      </c>
      <c r="F1668" t="s">
        <v>33</v>
      </c>
      <c r="G1668">
        <v>108</v>
      </c>
      <c r="H1668">
        <v>37</v>
      </c>
      <c r="I1668">
        <v>8</v>
      </c>
      <c r="J1668">
        <v>89</v>
      </c>
      <c r="K1668">
        <v>65</v>
      </c>
      <c r="L1668">
        <v>117.21</v>
      </c>
      <c r="M1668">
        <v>1883.32</v>
      </c>
      <c r="N1668">
        <v>68331</v>
      </c>
      <c r="O1668">
        <v>941.58</v>
      </c>
      <c r="P1668" s="1">
        <v>0.33300000000000002</v>
      </c>
      <c r="Q1668">
        <f t="shared" si="130"/>
        <v>145</v>
      </c>
      <c r="R1668">
        <f t="shared" si="131"/>
        <v>126</v>
      </c>
      <c r="S1668" s="1">
        <f t="shared" si="132"/>
        <v>0.94482758620689655</v>
      </c>
      <c r="T1668">
        <f t="shared" si="133"/>
        <v>1.45</v>
      </c>
      <c r="U1668" t="str">
        <f t="shared" si="134"/>
        <v>Mar</v>
      </c>
    </row>
    <row r="1669" spans="1:21">
      <c r="A1669" s="2">
        <v>46073</v>
      </c>
      <c r="B1669" t="s">
        <v>4</v>
      </c>
      <c r="C1669" t="s">
        <v>48</v>
      </c>
      <c r="D1669" t="s">
        <v>5</v>
      </c>
      <c r="E1669" t="s">
        <v>35</v>
      </c>
      <c r="F1669" t="s">
        <v>33</v>
      </c>
      <c r="G1669">
        <v>79</v>
      </c>
      <c r="H1669">
        <v>1</v>
      </c>
      <c r="I1669">
        <v>42</v>
      </c>
      <c r="J1669">
        <v>20</v>
      </c>
      <c r="K1669">
        <v>108</v>
      </c>
      <c r="L1669">
        <v>92.5</v>
      </c>
      <c r="M1669">
        <v>2477.7199999999998</v>
      </c>
      <c r="N1669">
        <v>73912</v>
      </c>
      <c r="O1669">
        <v>903.9</v>
      </c>
      <c r="P1669" s="1">
        <v>-0.35799999999999998</v>
      </c>
      <c r="Q1669">
        <f t="shared" si="130"/>
        <v>80</v>
      </c>
      <c r="R1669">
        <f t="shared" si="131"/>
        <v>21</v>
      </c>
      <c r="S1669" s="1">
        <f t="shared" si="132"/>
        <v>0.47499999999999998</v>
      </c>
      <c r="T1669">
        <f t="shared" si="133"/>
        <v>0.8</v>
      </c>
      <c r="U1669" t="str">
        <f t="shared" si="134"/>
        <v>Feb</v>
      </c>
    </row>
    <row r="1670" spans="1:21">
      <c r="A1670" s="2">
        <v>46070</v>
      </c>
      <c r="B1670" t="s">
        <v>6</v>
      </c>
      <c r="C1670" t="s">
        <v>36</v>
      </c>
      <c r="D1670" t="s">
        <v>7</v>
      </c>
      <c r="E1670" t="s">
        <v>32</v>
      </c>
      <c r="F1670" t="s">
        <v>45</v>
      </c>
      <c r="G1670">
        <v>33</v>
      </c>
      <c r="H1670">
        <v>40</v>
      </c>
      <c r="I1670">
        <v>49</v>
      </c>
      <c r="J1670">
        <v>24</v>
      </c>
      <c r="K1670">
        <v>414</v>
      </c>
      <c r="L1670">
        <v>95.34</v>
      </c>
      <c r="M1670">
        <v>2113.02</v>
      </c>
      <c r="N1670">
        <v>72690</v>
      </c>
      <c r="O1670">
        <v>1162.78</v>
      </c>
      <c r="P1670" s="1">
        <v>0.77200000000000002</v>
      </c>
      <c r="Q1670">
        <f t="shared" si="130"/>
        <v>73</v>
      </c>
      <c r="R1670">
        <f t="shared" si="131"/>
        <v>64</v>
      </c>
      <c r="S1670" s="1">
        <f t="shared" si="132"/>
        <v>0.32876712328767121</v>
      </c>
      <c r="T1670">
        <f t="shared" si="133"/>
        <v>0.73</v>
      </c>
      <c r="U1670" t="str">
        <f t="shared" si="134"/>
        <v>Feb</v>
      </c>
    </row>
    <row r="1671" spans="1:21">
      <c r="A1671" s="2">
        <v>46117</v>
      </c>
      <c r="B1671" t="s">
        <v>6</v>
      </c>
      <c r="C1671" t="s">
        <v>51</v>
      </c>
      <c r="D1671" t="s">
        <v>10</v>
      </c>
      <c r="E1671" t="s">
        <v>32</v>
      </c>
      <c r="F1671" t="s">
        <v>49</v>
      </c>
      <c r="G1671">
        <v>70</v>
      </c>
      <c r="H1671">
        <v>41</v>
      </c>
      <c r="I1671">
        <v>23</v>
      </c>
      <c r="J1671">
        <v>108</v>
      </c>
      <c r="K1671">
        <v>416</v>
      </c>
      <c r="L1671">
        <v>135.46</v>
      </c>
      <c r="M1671">
        <v>2375.44</v>
      </c>
      <c r="N1671">
        <v>74700</v>
      </c>
      <c r="O1671">
        <v>1453.49</v>
      </c>
      <c r="P1671" s="1">
        <v>0.33900000000000002</v>
      </c>
      <c r="Q1671">
        <f t="shared" si="130"/>
        <v>111</v>
      </c>
      <c r="R1671">
        <f t="shared" si="131"/>
        <v>149</v>
      </c>
      <c r="S1671" s="1">
        <f t="shared" si="132"/>
        <v>0.7927927927927928</v>
      </c>
      <c r="T1671">
        <f t="shared" si="133"/>
        <v>1.1100000000000001</v>
      </c>
      <c r="U1671" t="str">
        <f t="shared" si="134"/>
        <v>Apr</v>
      </c>
    </row>
    <row r="1672" spans="1:21">
      <c r="A1672" s="2">
        <v>46076</v>
      </c>
      <c r="B1672" t="s">
        <v>6</v>
      </c>
      <c r="C1672" t="s">
        <v>46</v>
      </c>
      <c r="D1672" t="s">
        <v>11</v>
      </c>
      <c r="E1672" t="s">
        <v>35</v>
      </c>
      <c r="F1672" t="s">
        <v>45</v>
      </c>
      <c r="G1672">
        <v>30</v>
      </c>
      <c r="H1672">
        <v>72</v>
      </c>
      <c r="I1672">
        <v>69</v>
      </c>
      <c r="J1672">
        <v>33</v>
      </c>
      <c r="K1672">
        <v>139</v>
      </c>
      <c r="L1672">
        <v>120.65</v>
      </c>
      <c r="M1672">
        <v>2149.02</v>
      </c>
      <c r="N1672">
        <v>65802</v>
      </c>
      <c r="O1672">
        <v>1785.13</v>
      </c>
      <c r="P1672" s="1">
        <v>0.78700000000000003</v>
      </c>
      <c r="Q1672">
        <f t="shared" si="130"/>
        <v>102</v>
      </c>
      <c r="R1672">
        <f t="shared" si="131"/>
        <v>105</v>
      </c>
      <c r="S1672" s="1">
        <f t="shared" si="132"/>
        <v>0.3235294117647059</v>
      </c>
      <c r="T1672">
        <f t="shared" si="133"/>
        <v>1.02</v>
      </c>
      <c r="U1672" t="str">
        <f t="shared" si="134"/>
        <v>Feb</v>
      </c>
    </row>
    <row r="1673" spans="1:21">
      <c r="A1673" s="2">
        <v>46070</v>
      </c>
      <c r="B1673" t="s">
        <v>4</v>
      </c>
      <c r="C1673" t="s">
        <v>31</v>
      </c>
      <c r="D1673" t="s">
        <v>10</v>
      </c>
      <c r="E1673" t="s">
        <v>42</v>
      </c>
      <c r="F1673" t="s">
        <v>45</v>
      </c>
      <c r="G1673">
        <v>39</v>
      </c>
      <c r="H1673">
        <v>69</v>
      </c>
      <c r="I1673">
        <v>68</v>
      </c>
      <c r="J1673">
        <v>100</v>
      </c>
      <c r="K1673">
        <v>239</v>
      </c>
      <c r="L1673">
        <v>117.02</v>
      </c>
      <c r="M1673">
        <v>2030.43</v>
      </c>
      <c r="N1673">
        <v>69016</v>
      </c>
      <c r="O1673">
        <v>1244.32</v>
      </c>
      <c r="P1673" s="1">
        <v>-0.92900000000000005</v>
      </c>
      <c r="Q1673">
        <f t="shared" si="130"/>
        <v>108</v>
      </c>
      <c r="R1673">
        <f t="shared" si="131"/>
        <v>169</v>
      </c>
      <c r="S1673" s="1">
        <f t="shared" si="132"/>
        <v>0.37037037037037035</v>
      </c>
      <c r="T1673">
        <f t="shared" si="133"/>
        <v>1.08</v>
      </c>
      <c r="U1673" t="str">
        <f t="shared" si="134"/>
        <v>Feb</v>
      </c>
    </row>
    <row r="1674" spans="1:21">
      <c r="A1674" s="2">
        <v>46092</v>
      </c>
      <c r="B1674" t="s">
        <v>6</v>
      </c>
      <c r="C1674" t="s">
        <v>40</v>
      </c>
      <c r="D1674" t="s">
        <v>7</v>
      </c>
      <c r="E1674" t="s">
        <v>41</v>
      </c>
      <c r="F1674" t="s">
        <v>45</v>
      </c>
      <c r="G1674">
        <v>82</v>
      </c>
      <c r="H1674">
        <v>26</v>
      </c>
      <c r="I1674">
        <v>22</v>
      </c>
      <c r="J1674">
        <v>154</v>
      </c>
      <c r="K1674">
        <v>79</v>
      </c>
      <c r="L1674">
        <v>108.79</v>
      </c>
      <c r="M1674">
        <v>2057.35</v>
      </c>
      <c r="N1674">
        <v>67865</v>
      </c>
      <c r="O1674">
        <v>1369.92</v>
      </c>
      <c r="P1674" s="1">
        <v>-0.56100000000000005</v>
      </c>
      <c r="Q1674">
        <f t="shared" si="130"/>
        <v>108</v>
      </c>
      <c r="R1674">
        <f t="shared" si="131"/>
        <v>180</v>
      </c>
      <c r="S1674" s="1">
        <f t="shared" si="132"/>
        <v>0.79629629629629628</v>
      </c>
      <c r="T1674">
        <f t="shared" si="133"/>
        <v>1.08</v>
      </c>
      <c r="U1674" t="str">
        <f t="shared" si="134"/>
        <v>Mar</v>
      </c>
    </row>
    <row r="1675" spans="1:21">
      <c r="A1675" s="2">
        <v>46092</v>
      </c>
      <c r="B1675" t="s">
        <v>6</v>
      </c>
      <c r="C1675" t="s">
        <v>34</v>
      </c>
      <c r="D1675" t="s">
        <v>11</v>
      </c>
      <c r="E1675" t="s">
        <v>38</v>
      </c>
      <c r="F1675" t="s">
        <v>39</v>
      </c>
      <c r="G1675">
        <v>92</v>
      </c>
      <c r="H1675">
        <v>56</v>
      </c>
      <c r="I1675">
        <v>1</v>
      </c>
      <c r="J1675">
        <v>133</v>
      </c>
      <c r="K1675">
        <v>34</v>
      </c>
      <c r="L1675">
        <v>116.14</v>
      </c>
      <c r="M1675">
        <v>2438.36</v>
      </c>
      <c r="N1675">
        <v>72773</v>
      </c>
      <c r="O1675">
        <v>1332.04</v>
      </c>
      <c r="P1675" s="1">
        <v>-0.32</v>
      </c>
      <c r="Q1675">
        <f t="shared" si="130"/>
        <v>148</v>
      </c>
      <c r="R1675">
        <f t="shared" si="131"/>
        <v>189</v>
      </c>
      <c r="S1675" s="1">
        <f t="shared" si="132"/>
        <v>0.9932432432432432</v>
      </c>
      <c r="T1675">
        <f t="shared" si="133"/>
        <v>1.48</v>
      </c>
      <c r="U1675" t="str">
        <f t="shared" si="134"/>
        <v>Mar</v>
      </c>
    </row>
    <row r="1676" spans="1:21">
      <c r="A1676" s="2">
        <v>46117</v>
      </c>
      <c r="B1676" t="s">
        <v>4</v>
      </c>
      <c r="C1676" t="s">
        <v>43</v>
      </c>
      <c r="D1676" t="s">
        <v>7</v>
      </c>
      <c r="E1676" t="s">
        <v>47</v>
      </c>
      <c r="F1676" t="s">
        <v>49</v>
      </c>
      <c r="G1676">
        <v>20</v>
      </c>
      <c r="H1676">
        <v>41</v>
      </c>
      <c r="I1676">
        <v>5</v>
      </c>
      <c r="J1676">
        <v>7</v>
      </c>
      <c r="K1676">
        <v>10</v>
      </c>
      <c r="L1676">
        <v>139.15</v>
      </c>
      <c r="M1676">
        <v>1961.38</v>
      </c>
      <c r="N1676">
        <v>72629</v>
      </c>
      <c r="O1676">
        <v>948.95</v>
      </c>
      <c r="P1676" s="1">
        <v>0.23400000000000001</v>
      </c>
      <c r="Q1676">
        <f t="shared" si="130"/>
        <v>61</v>
      </c>
      <c r="R1676">
        <f t="shared" si="131"/>
        <v>48</v>
      </c>
      <c r="S1676" s="1">
        <f t="shared" si="132"/>
        <v>0.91803278688524592</v>
      </c>
      <c r="T1676">
        <f t="shared" si="133"/>
        <v>0.61</v>
      </c>
      <c r="U1676" t="str">
        <f t="shared" si="134"/>
        <v>Apr</v>
      </c>
    </row>
    <row r="1677" spans="1:21">
      <c r="A1677" s="2">
        <v>46114</v>
      </c>
      <c r="B1677" t="s">
        <v>6</v>
      </c>
      <c r="C1677" t="s">
        <v>43</v>
      </c>
      <c r="D1677" t="s">
        <v>7</v>
      </c>
      <c r="E1677" t="s">
        <v>42</v>
      </c>
      <c r="F1677" t="s">
        <v>49</v>
      </c>
      <c r="G1677">
        <v>17</v>
      </c>
      <c r="H1677">
        <v>5</v>
      </c>
      <c r="I1677">
        <v>31</v>
      </c>
      <c r="J1677">
        <v>54</v>
      </c>
      <c r="K1677">
        <v>12</v>
      </c>
      <c r="L1677">
        <v>101.45</v>
      </c>
      <c r="M1677">
        <v>2190.66</v>
      </c>
      <c r="N1677">
        <v>67061</v>
      </c>
      <c r="O1677">
        <v>1325.76</v>
      </c>
      <c r="P1677" s="1">
        <v>-0.61699999999999999</v>
      </c>
      <c r="Q1677">
        <f t="shared" si="130"/>
        <v>22</v>
      </c>
      <c r="R1677">
        <f t="shared" si="131"/>
        <v>59</v>
      </c>
      <c r="S1677" s="1">
        <f t="shared" si="132"/>
        <v>-0.40909090909090912</v>
      </c>
      <c r="T1677">
        <f t="shared" si="133"/>
        <v>0.22</v>
      </c>
      <c r="U1677" t="str">
        <f t="shared" si="134"/>
        <v>Apr</v>
      </c>
    </row>
    <row r="1678" spans="1:21">
      <c r="A1678" s="2">
        <v>46106</v>
      </c>
      <c r="B1678" t="s">
        <v>6</v>
      </c>
      <c r="C1678" t="s">
        <v>36</v>
      </c>
      <c r="D1678" t="s">
        <v>9</v>
      </c>
      <c r="E1678" t="s">
        <v>41</v>
      </c>
      <c r="F1678" t="s">
        <v>45</v>
      </c>
      <c r="G1678">
        <v>23</v>
      </c>
      <c r="H1678">
        <v>34</v>
      </c>
      <c r="I1678">
        <v>12</v>
      </c>
      <c r="J1678">
        <v>19</v>
      </c>
      <c r="K1678">
        <v>355</v>
      </c>
      <c r="L1678">
        <v>99.57</v>
      </c>
      <c r="M1678">
        <v>2316.2399999999998</v>
      </c>
      <c r="N1678">
        <v>66882</v>
      </c>
      <c r="O1678">
        <v>1422.27</v>
      </c>
      <c r="P1678" s="1">
        <v>0.77900000000000003</v>
      </c>
      <c r="Q1678">
        <f t="shared" si="130"/>
        <v>57</v>
      </c>
      <c r="R1678">
        <f t="shared" si="131"/>
        <v>53</v>
      </c>
      <c r="S1678" s="1">
        <f t="shared" si="132"/>
        <v>0.78947368421052633</v>
      </c>
      <c r="T1678">
        <f t="shared" si="133"/>
        <v>0.56999999999999995</v>
      </c>
      <c r="U1678" t="str">
        <f t="shared" si="134"/>
        <v>Mar</v>
      </c>
    </row>
    <row r="1679" spans="1:21">
      <c r="A1679" s="2">
        <v>46120</v>
      </c>
      <c r="B1679" t="s">
        <v>4</v>
      </c>
      <c r="C1679" t="s">
        <v>43</v>
      </c>
      <c r="D1679" t="s">
        <v>11</v>
      </c>
      <c r="E1679" t="s">
        <v>35</v>
      </c>
      <c r="F1679" t="s">
        <v>49</v>
      </c>
      <c r="G1679">
        <v>118</v>
      </c>
      <c r="H1679">
        <v>1</v>
      </c>
      <c r="I1679">
        <v>71</v>
      </c>
      <c r="J1679">
        <v>112</v>
      </c>
      <c r="K1679">
        <v>424</v>
      </c>
      <c r="L1679">
        <v>122.06</v>
      </c>
      <c r="M1679">
        <v>1963.26</v>
      </c>
      <c r="N1679">
        <v>69032</v>
      </c>
      <c r="O1679">
        <v>1643.12</v>
      </c>
      <c r="P1679" s="1">
        <v>0.67200000000000004</v>
      </c>
      <c r="Q1679">
        <f t="shared" si="130"/>
        <v>119</v>
      </c>
      <c r="R1679">
        <f t="shared" si="131"/>
        <v>113</v>
      </c>
      <c r="S1679" s="1">
        <f t="shared" si="132"/>
        <v>0.40336134453781514</v>
      </c>
      <c r="T1679">
        <f t="shared" si="133"/>
        <v>1.19</v>
      </c>
      <c r="U1679" t="str">
        <f t="shared" si="134"/>
        <v>Apr</v>
      </c>
    </row>
    <row r="1680" spans="1:21">
      <c r="A1680" s="2">
        <v>46126</v>
      </c>
      <c r="B1680" t="s">
        <v>6</v>
      </c>
      <c r="C1680" t="s">
        <v>40</v>
      </c>
      <c r="D1680" t="s">
        <v>5</v>
      </c>
      <c r="E1680" t="s">
        <v>32</v>
      </c>
      <c r="F1680" t="s">
        <v>45</v>
      </c>
      <c r="G1680">
        <v>115</v>
      </c>
      <c r="H1680">
        <v>45</v>
      </c>
      <c r="I1680">
        <v>74</v>
      </c>
      <c r="J1680">
        <v>148</v>
      </c>
      <c r="K1680">
        <v>387</v>
      </c>
      <c r="L1680">
        <v>82.32</v>
      </c>
      <c r="M1680">
        <v>2142.73</v>
      </c>
      <c r="N1680">
        <v>71672</v>
      </c>
      <c r="O1680">
        <v>1657.63</v>
      </c>
      <c r="P1680" s="1">
        <v>0.50900000000000001</v>
      </c>
      <c r="Q1680">
        <f t="shared" si="130"/>
        <v>160</v>
      </c>
      <c r="R1680">
        <f t="shared" si="131"/>
        <v>193</v>
      </c>
      <c r="S1680" s="1">
        <f t="shared" si="132"/>
        <v>0.53749999999999998</v>
      </c>
      <c r="T1680">
        <f t="shared" si="133"/>
        <v>1.6</v>
      </c>
      <c r="U1680" t="str">
        <f t="shared" si="134"/>
        <v>Apr</v>
      </c>
    </row>
    <row r="1681" spans="1:21">
      <c r="A1681" s="2">
        <v>46078</v>
      </c>
      <c r="B1681" t="s">
        <v>6</v>
      </c>
      <c r="C1681" t="s">
        <v>44</v>
      </c>
      <c r="D1681" t="s">
        <v>9</v>
      </c>
      <c r="E1681" t="s">
        <v>41</v>
      </c>
      <c r="F1681" t="s">
        <v>45</v>
      </c>
      <c r="G1681">
        <v>10</v>
      </c>
      <c r="H1681">
        <v>35</v>
      </c>
      <c r="I1681">
        <v>26</v>
      </c>
      <c r="J1681">
        <v>95</v>
      </c>
      <c r="K1681">
        <v>334</v>
      </c>
      <c r="L1681">
        <v>111.87</v>
      </c>
      <c r="M1681">
        <v>2142.58</v>
      </c>
      <c r="N1681">
        <v>69417</v>
      </c>
      <c r="O1681">
        <v>1018.76</v>
      </c>
      <c r="P1681" s="1">
        <v>-8.3000000000000004E-2</v>
      </c>
      <c r="Q1681">
        <f t="shared" si="130"/>
        <v>45</v>
      </c>
      <c r="R1681">
        <f t="shared" si="131"/>
        <v>130</v>
      </c>
      <c r="S1681" s="1">
        <f t="shared" si="132"/>
        <v>0.42222222222222222</v>
      </c>
      <c r="T1681">
        <f t="shared" si="133"/>
        <v>0.45</v>
      </c>
      <c r="U1681" t="str">
        <f t="shared" si="134"/>
        <v>Feb</v>
      </c>
    </row>
    <row r="1682" spans="1:21">
      <c r="A1682" s="2">
        <v>46093</v>
      </c>
      <c r="B1682" t="s">
        <v>6</v>
      </c>
      <c r="C1682" t="s">
        <v>51</v>
      </c>
      <c r="D1682" t="s">
        <v>9</v>
      </c>
      <c r="E1682" t="s">
        <v>38</v>
      </c>
      <c r="F1682" t="s">
        <v>49</v>
      </c>
      <c r="G1682">
        <v>86</v>
      </c>
      <c r="H1682">
        <v>72</v>
      </c>
      <c r="I1682">
        <v>80</v>
      </c>
      <c r="J1682">
        <v>76</v>
      </c>
      <c r="K1682">
        <v>388</v>
      </c>
      <c r="L1682">
        <v>106.92</v>
      </c>
      <c r="M1682">
        <v>1937.69</v>
      </c>
      <c r="N1682">
        <v>65720</v>
      </c>
      <c r="O1682">
        <v>1204.3699999999999</v>
      </c>
      <c r="P1682" s="1">
        <v>0.314</v>
      </c>
      <c r="Q1682">
        <f t="shared" si="130"/>
        <v>158</v>
      </c>
      <c r="R1682">
        <f t="shared" si="131"/>
        <v>148</v>
      </c>
      <c r="S1682" s="1">
        <f t="shared" si="132"/>
        <v>0.49367088607594939</v>
      </c>
      <c r="T1682">
        <f t="shared" si="133"/>
        <v>1.58</v>
      </c>
      <c r="U1682" t="str">
        <f t="shared" si="134"/>
        <v>Mar</v>
      </c>
    </row>
    <row r="1683" spans="1:21">
      <c r="A1683" s="2">
        <v>46075</v>
      </c>
      <c r="B1683" t="s">
        <v>4</v>
      </c>
      <c r="C1683" t="s">
        <v>50</v>
      </c>
      <c r="D1683" t="s">
        <v>7</v>
      </c>
      <c r="E1683" t="s">
        <v>38</v>
      </c>
      <c r="F1683" t="s">
        <v>49</v>
      </c>
      <c r="G1683">
        <v>43</v>
      </c>
      <c r="H1683">
        <v>14</v>
      </c>
      <c r="I1683">
        <v>26</v>
      </c>
      <c r="J1683">
        <v>13</v>
      </c>
      <c r="K1683">
        <v>441</v>
      </c>
      <c r="L1683">
        <v>131.80000000000001</v>
      </c>
      <c r="M1683">
        <v>1978.43</v>
      </c>
      <c r="N1683">
        <v>68066</v>
      </c>
      <c r="O1683">
        <v>1376.91</v>
      </c>
      <c r="P1683" s="1">
        <v>0.44400000000000001</v>
      </c>
      <c r="Q1683">
        <f t="shared" si="130"/>
        <v>57</v>
      </c>
      <c r="R1683">
        <f t="shared" si="131"/>
        <v>27</v>
      </c>
      <c r="S1683" s="1">
        <f t="shared" si="132"/>
        <v>0.54385964912280704</v>
      </c>
      <c r="T1683">
        <f t="shared" si="133"/>
        <v>0.56999999999999995</v>
      </c>
      <c r="U1683" t="str">
        <f t="shared" si="134"/>
        <v>Feb</v>
      </c>
    </row>
    <row r="1684" spans="1:21">
      <c r="A1684" s="2">
        <v>46091</v>
      </c>
      <c r="B1684" t="s">
        <v>4</v>
      </c>
      <c r="C1684" t="s">
        <v>34</v>
      </c>
      <c r="D1684" t="s">
        <v>10</v>
      </c>
      <c r="E1684" t="s">
        <v>37</v>
      </c>
      <c r="F1684" t="s">
        <v>49</v>
      </c>
      <c r="G1684">
        <v>11</v>
      </c>
      <c r="H1684">
        <v>31</v>
      </c>
      <c r="I1684">
        <v>62</v>
      </c>
      <c r="J1684">
        <v>114</v>
      </c>
      <c r="K1684">
        <v>389</v>
      </c>
      <c r="L1684">
        <v>125.11</v>
      </c>
      <c r="M1684">
        <v>2256.3200000000002</v>
      </c>
      <c r="N1684">
        <v>72513</v>
      </c>
      <c r="O1684">
        <v>1481.74</v>
      </c>
      <c r="P1684" s="1">
        <v>-0.29199999999999998</v>
      </c>
      <c r="Q1684">
        <f t="shared" si="130"/>
        <v>42</v>
      </c>
      <c r="R1684">
        <f t="shared" si="131"/>
        <v>145</v>
      </c>
      <c r="S1684" s="1">
        <f t="shared" si="132"/>
        <v>-0.47619047619047616</v>
      </c>
      <c r="T1684">
        <f t="shared" si="133"/>
        <v>0.42</v>
      </c>
      <c r="U1684" t="str">
        <f t="shared" si="134"/>
        <v>Mar</v>
      </c>
    </row>
    <row r="1685" spans="1:21">
      <c r="A1685" s="2">
        <v>46087</v>
      </c>
      <c r="B1685" t="s">
        <v>6</v>
      </c>
      <c r="C1685" t="s">
        <v>46</v>
      </c>
      <c r="D1685" t="s">
        <v>11</v>
      </c>
      <c r="E1685" t="s">
        <v>38</v>
      </c>
      <c r="F1685" t="s">
        <v>49</v>
      </c>
      <c r="G1685">
        <v>29</v>
      </c>
      <c r="H1685">
        <v>0</v>
      </c>
      <c r="I1685">
        <v>64</v>
      </c>
      <c r="J1685">
        <v>85</v>
      </c>
      <c r="K1685">
        <v>269</v>
      </c>
      <c r="L1685">
        <v>104.88</v>
      </c>
      <c r="M1685">
        <v>2282.4699999999998</v>
      </c>
      <c r="N1685">
        <v>75267</v>
      </c>
      <c r="O1685">
        <v>992.19</v>
      </c>
      <c r="P1685" s="1">
        <v>0.192</v>
      </c>
      <c r="Q1685">
        <f t="shared" si="130"/>
        <v>29</v>
      </c>
      <c r="R1685">
        <f t="shared" si="131"/>
        <v>85</v>
      </c>
      <c r="S1685" s="1">
        <f t="shared" si="132"/>
        <v>-1.2068965517241379</v>
      </c>
      <c r="T1685">
        <f t="shared" si="133"/>
        <v>0.28999999999999998</v>
      </c>
      <c r="U1685" t="str">
        <f t="shared" si="134"/>
        <v>Mar</v>
      </c>
    </row>
    <row r="1686" spans="1:21">
      <c r="A1686" s="2">
        <v>46070</v>
      </c>
      <c r="B1686" t="s">
        <v>6</v>
      </c>
      <c r="C1686" t="s">
        <v>43</v>
      </c>
      <c r="D1686" t="s">
        <v>11</v>
      </c>
      <c r="E1686" t="s">
        <v>47</v>
      </c>
      <c r="F1686" t="s">
        <v>33</v>
      </c>
      <c r="G1686">
        <v>37</v>
      </c>
      <c r="H1686">
        <v>78</v>
      </c>
      <c r="I1686">
        <v>1</v>
      </c>
      <c r="J1686">
        <v>123</v>
      </c>
      <c r="K1686">
        <v>168</v>
      </c>
      <c r="L1686">
        <v>90.46</v>
      </c>
      <c r="M1686">
        <v>2242.12</v>
      </c>
      <c r="N1686">
        <v>73094</v>
      </c>
      <c r="O1686">
        <v>1530.58</v>
      </c>
      <c r="P1686" s="1">
        <v>0.23599999999999999</v>
      </c>
      <c r="Q1686">
        <f t="shared" si="130"/>
        <v>115</v>
      </c>
      <c r="R1686">
        <f t="shared" si="131"/>
        <v>201</v>
      </c>
      <c r="S1686" s="1">
        <f t="shared" si="132"/>
        <v>0.99130434782608701</v>
      </c>
      <c r="T1686">
        <f t="shared" si="133"/>
        <v>1.1499999999999999</v>
      </c>
      <c r="U1686" t="str">
        <f t="shared" si="134"/>
        <v>Feb</v>
      </c>
    </row>
    <row r="1687" spans="1:21">
      <c r="A1687" s="2">
        <v>46077</v>
      </c>
      <c r="B1687" t="s">
        <v>6</v>
      </c>
      <c r="C1687" t="s">
        <v>48</v>
      </c>
      <c r="D1687" t="s">
        <v>7</v>
      </c>
      <c r="E1687" t="s">
        <v>41</v>
      </c>
      <c r="F1687" t="s">
        <v>49</v>
      </c>
      <c r="G1687">
        <v>2</v>
      </c>
      <c r="H1687">
        <v>76</v>
      </c>
      <c r="I1687">
        <v>48</v>
      </c>
      <c r="J1687">
        <v>91</v>
      </c>
      <c r="K1687">
        <v>260</v>
      </c>
      <c r="L1687">
        <v>87.34</v>
      </c>
      <c r="M1687">
        <v>2340.9499999999998</v>
      </c>
      <c r="N1687">
        <v>75632</v>
      </c>
      <c r="O1687">
        <v>1297.3499999999999</v>
      </c>
      <c r="P1687" s="1">
        <v>0.68200000000000005</v>
      </c>
      <c r="Q1687">
        <f t="shared" si="130"/>
        <v>78</v>
      </c>
      <c r="R1687">
        <f t="shared" si="131"/>
        <v>167</v>
      </c>
      <c r="S1687" s="1">
        <f t="shared" si="132"/>
        <v>0.38461538461538464</v>
      </c>
      <c r="T1687">
        <f t="shared" si="133"/>
        <v>0.78</v>
      </c>
      <c r="U1687" t="str">
        <f t="shared" si="134"/>
        <v>Feb</v>
      </c>
    </row>
    <row r="1688" spans="1:21">
      <c r="A1688" s="2">
        <v>46105</v>
      </c>
      <c r="B1688" t="s">
        <v>6</v>
      </c>
      <c r="C1688" t="s">
        <v>36</v>
      </c>
      <c r="D1688" t="s">
        <v>5</v>
      </c>
      <c r="E1688" t="s">
        <v>37</v>
      </c>
      <c r="F1688" t="s">
        <v>49</v>
      </c>
      <c r="G1688">
        <v>100</v>
      </c>
      <c r="H1688">
        <v>78</v>
      </c>
      <c r="I1688">
        <v>82</v>
      </c>
      <c r="J1688">
        <v>50</v>
      </c>
      <c r="K1688">
        <v>54</v>
      </c>
      <c r="L1688">
        <v>90.18</v>
      </c>
      <c r="M1688">
        <v>2109.56</v>
      </c>
      <c r="N1688">
        <v>72618</v>
      </c>
      <c r="O1688">
        <v>1004.46</v>
      </c>
      <c r="P1688" s="1">
        <v>-0.12</v>
      </c>
      <c r="Q1688">
        <f t="shared" si="130"/>
        <v>178</v>
      </c>
      <c r="R1688">
        <f t="shared" si="131"/>
        <v>128</v>
      </c>
      <c r="S1688" s="1">
        <f t="shared" si="132"/>
        <v>0.5393258426966292</v>
      </c>
      <c r="T1688">
        <f t="shared" si="133"/>
        <v>1.78</v>
      </c>
      <c r="U1688" t="str">
        <f t="shared" si="134"/>
        <v>Mar</v>
      </c>
    </row>
    <row r="1689" spans="1:21">
      <c r="A1689" s="2">
        <v>46111</v>
      </c>
      <c r="B1689" t="s">
        <v>4</v>
      </c>
      <c r="C1689" t="s">
        <v>43</v>
      </c>
      <c r="D1689" t="s">
        <v>11</v>
      </c>
      <c r="E1689" t="s">
        <v>37</v>
      </c>
      <c r="F1689" t="s">
        <v>49</v>
      </c>
      <c r="G1689">
        <v>7</v>
      </c>
      <c r="H1689">
        <v>73</v>
      </c>
      <c r="I1689">
        <v>31</v>
      </c>
      <c r="J1689">
        <v>155</v>
      </c>
      <c r="K1689">
        <v>142</v>
      </c>
      <c r="L1689">
        <v>83.34</v>
      </c>
      <c r="M1689">
        <v>1861.87</v>
      </c>
      <c r="N1689">
        <v>71255</v>
      </c>
      <c r="O1689">
        <v>1132.6300000000001</v>
      </c>
      <c r="P1689" s="1">
        <v>-0.64900000000000002</v>
      </c>
      <c r="Q1689">
        <f t="shared" si="130"/>
        <v>80</v>
      </c>
      <c r="R1689">
        <f t="shared" si="131"/>
        <v>228</v>
      </c>
      <c r="S1689" s="1">
        <f t="shared" si="132"/>
        <v>0.61250000000000004</v>
      </c>
      <c r="T1689">
        <f t="shared" si="133"/>
        <v>0.8</v>
      </c>
      <c r="U1689" t="str">
        <f t="shared" si="134"/>
        <v>Mar</v>
      </c>
    </row>
    <row r="1690" spans="1:21">
      <c r="A1690" s="2">
        <v>46089</v>
      </c>
      <c r="B1690" t="s">
        <v>4</v>
      </c>
      <c r="C1690" t="s">
        <v>51</v>
      </c>
      <c r="D1690" t="s">
        <v>9</v>
      </c>
      <c r="E1690" t="s">
        <v>41</v>
      </c>
      <c r="F1690" t="s">
        <v>33</v>
      </c>
      <c r="G1690">
        <v>56</v>
      </c>
      <c r="H1690">
        <v>45</v>
      </c>
      <c r="I1690">
        <v>88</v>
      </c>
      <c r="J1690">
        <v>114</v>
      </c>
      <c r="K1690">
        <v>313</v>
      </c>
      <c r="L1690">
        <v>118.76</v>
      </c>
      <c r="M1690">
        <v>2007.26</v>
      </c>
      <c r="N1690">
        <v>69431</v>
      </c>
      <c r="O1690">
        <v>951.9</v>
      </c>
      <c r="P1690" s="1">
        <v>-0.98599999999999999</v>
      </c>
      <c r="Q1690">
        <f t="shared" si="130"/>
        <v>101</v>
      </c>
      <c r="R1690">
        <f t="shared" si="131"/>
        <v>159</v>
      </c>
      <c r="S1690" s="1">
        <f t="shared" si="132"/>
        <v>0.12871287128712872</v>
      </c>
      <c r="T1690">
        <f t="shared" si="133"/>
        <v>1.01</v>
      </c>
      <c r="U1690" t="str">
        <f t="shared" si="134"/>
        <v>Mar</v>
      </c>
    </row>
    <row r="1691" spans="1:21">
      <c r="A1691" s="2">
        <v>46121</v>
      </c>
      <c r="B1691" t="s">
        <v>6</v>
      </c>
      <c r="C1691" t="s">
        <v>50</v>
      </c>
      <c r="D1691" t="s">
        <v>5</v>
      </c>
      <c r="E1691" t="s">
        <v>35</v>
      </c>
      <c r="F1691" t="s">
        <v>49</v>
      </c>
      <c r="G1691">
        <v>35</v>
      </c>
      <c r="H1691">
        <v>12</v>
      </c>
      <c r="I1691">
        <v>17</v>
      </c>
      <c r="J1691">
        <v>4</v>
      </c>
      <c r="K1691">
        <v>2</v>
      </c>
      <c r="L1691">
        <v>110.86</v>
      </c>
      <c r="M1691">
        <v>2212.5500000000002</v>
      </c>
      <c r="N1691">
        <v>68560</v>
      </c>
      <c r="O1691">
        <v>1311.29</v>
      </c>
      <c r="P1691" s="1">
        <v>0.28899999999999998</v>
      </c>
      <c r="Q1691">
        <f t="shared" si="130"/>
        <v>47</v>
      </c>
      <c r="R1691">
        <f t="shared" si="131"/>
        <v>16</v>
      </c>
      <c r="S1691" s="1">
        <f t="shared" si="132"/>
        <v>0.63829787234042556</v>
      </c>
      <c r="T1691">
        <f t="shared" si="133"/>
        <v>0.47</v>
      </c>
      <c r="U1691" t="str">
        <f t="shared" si="134"/>
        <v>Apr</v>
      </c>
    </row>
    <row r="1692" spans="1:21">
      <c r="A1692" s="2">
        <v>46115</v>
      </c>
      <c r="B1692" t="s">
        <v>4</v>
      </c>
      <c r="C1692" t="s">
        <v>46</v>
      </c>
      <c r="D1692" t="s">
        <v>10</v>
      </c>
      <c r="E1692" t="s">
        <v>42</v>
      </c>
      <c r="F1692" t="s">
        <v>45</v>
      </c>
      <c r="G1692">
        <v>56</v>
      </c>
      <c r="H1692">
        <v>27</v>
      </c>
      <c r="I1692">
        <v>77</v>
      </c>
      <c r="J1692">
        <v>147</v>
      </c>
      <c r="K1692">
        <v>325</v>
      </c>
      <c r="L1692">
        <v>117.38</v>
      </c>
      <c r="M1692">
        <v>2080.87</v>
      </c>
      <c r="N1692">
        <v>65553</v>
      </c>
      <c r="O1692">
        <v>1077.5999999999999</v>
      </c>
      <c r="P1692" s="1">
        <v>-0.70399999999999996</v>
      </c>
      <c r="Q1692">
        <f t="shared" si="130"/>
        <v>83</v>
      </c>
      <c r="R1692">
        <f t="shared" si="131"/>
        <v>174</v>
      </c>
      <c r="S1692" s="1">
        <f t="shared" si="132"/>
        <v>7.2289156626506021E-2</v>
      </c>
      <c r="T1692">
        <f t="shared" si="133"/>
        <v>0.83</v>
      </c>
      <c r="U1692" t="str">
        <f t="shared" si="134"/>
        <v>Apr</v>
      </c>
    </row>
    <row r="1693" spans="1:21">
      <c r="A1693" s="2">
        <v>46076</v>
      </c>
      <c r="B1693" t="s">
        <v>4</v>
      </c>
      <c r="C1693" t="s">
        <v>43</v>
      </c>
      <c r="D1693" t="s">
        <v>9</v>
      </c>
      <c r="E1693" t="s">
        <v>42</v>
      </c>
      <c r="F1693" t="s">
        <v>49</v>
      </c>
      <c r="G1693">
        <v>45</v>
      </c>
      <c r="H1693">
        <v>66</v>
      </c>
      <c r="I1693">
        <v>0</v>
      </c>
      <c r="J1693">
        <v>145</v>
      </c>
      <c r="K1693">
        <v>127</v>
      </c>
      <c r="L1693">
        <v>94.99</v>
      </c>
      <c r="M1693">
        <v>2234.04</v>
      </c>
      <c r="N1693">
        <v>67966</v>
      </c>
      <c r="O1693">
        <v>1549.37</v>
      </c>
      <c r="P1693" s="1">
        <v>-0.45100000000000001</v>
      </c>
      <c r="Q1693">
        <f t="shared" si="130"/>
        <v>111</v>
      </c>
      <c r="R1693">
        <f t="shared" si="131"/>
        <v>211</v>
      </c>
      <c r="S1693" s="1">
        <f t="shared" si="132"/>
        <v>1</v>
      </c>
      <c r="T1693">
        <f t="shared" si="133"/>
        <v>1.1100000000000001</v>
      </c>
      <c r="U1693" t="str">
        <f t="shared" si="134"/>
        <v>Feb</v>
      </c>
    </row>
    <row r="1694" spans="1:21">
      <c r="A1694" s="2">
        <v>46099</v>
      </c>
      <c r="B1694" t="s">
        <v>4</v>
      </c>
      <c r="C1694" t="s">
        <v>31</v>
      </c>
      <c r="D1694" t="s">
        <v>9</v>
      </c>
      <c r="E1694" t="s">
        <v>38</v>
      </c>
      <c r="F1694" t="s">
        <v>33</v>
      </c>
      <c r="G1694">
        <v>85</v>
      </c>
      <c r="H1694">
        <v>34</v>
      </c>
      <c r="I1694">
        <v>18</v>
      </c>
      <c r="J1694">
        <v>51</v>
      </c>
      <c r="K1694">
        <v>327</v>
      </c>
      <c r="L1694">
        <v>82.2</v>
      </c>
      <c r="M1694">
        <v>2316.19</v>
      </c>
      <c r="N1694">
        <v>72454</v>
      </c>
      <c r="O1694">
        <v>1513.16</v>
      </c>
      <c r="P1694" s="1">
        <v>0.253</v>
      </c>
      <c r="Q1694">
        <f t="shared" si="130"/>
        <v>119</v>
      </c>
      <c r="R1694">
        <f t="shared" si="131"/>
        <v>85</v>
      </c>
      <c r="S1694" s="1">
        <f t="shared" si="132"/>
        <v>0.84873949579831931</v>
      </c>
      <c r="T1694">
        <f t="shared" si="133"/>
        <v>1.19</v>
      </c>
      <c r="U1694" t="str">
        <f t="shared" si="134"/>
        <v>Mar</v>
      </c>
    </row>
    <row r="1695" spans="1:21">
      <c r="A1695" s="2">
        <v>46095</v>
      </c>
      <c r="B1695" t="s">
        <v>6</v>
      </c>
      <c r="C1695" t="s">
        <v>51</v>
      </c>
      <c r="D1695" t="s">
        <v>9</v>
      </c>
      <c r="E1695" t="s">
        <v>38</v>
      </c>
      <c r="F1695" t="s">
        <v>45</v>
      </c>
      <c r="G1695">
        <v>78</v>
      </c>
      <c r="H1695">
        <v>66</v>
      </c>
      <c r="I1695">
        <v>21</v>
      </c>
      <c r="J1695">
        <v>41</v>
      </c>
      <c r="K1695">
        <v>381</v>
      </c>
      <c r="L1695">
        <v>131.77000000000001</v>
      </c>
      <c r="M1695">
        <v>2489.83</v>
      </c>
      <c r="N1695">
        <v>70377</v>
      </c>
      <c r="O1695">
        <v>1528.06</v>
      </c>
      <c r="P1695" s="1">
        <v>-0.44600000000000001</v>
      </c>
      <c r="Q1695">
        <f t="shared" si="130"/>
        <v>144</v>
      </c>
      <c r="R1695">
        <f t="shared" si="131"/>
        <v>107</v>
      </c>
      <c r="S1695" s="1">
        <f t="shared" si="132"/>
        <v>0.85416666666666663</v>
      </c>
      <c r="T1695">
        <f t="shared" si="133"/>
        <v>1.44</v>
      </c>
      <c r="U1695" t="str">
        <f t="shared" si="134"/>
        <v>Mar</v>
      </c>
    </row>
    <row r="1696" spans="1:21">
      <c r="A1696" s="2">
        <v>46070</v>
      </c>
      <c r="B1696" t="s">
        <v>6</v>
      </c>
      <c r="C1696" t="s">
        <v>50</v>
      </c>
      <c r="D1696" t="s">
        <v>9</v>
      </c>
      <c r="E1696" t="s">
        <v>32</v>
      </c>
      <c r="F1696" t="s">
        <v>45</v>
      </c>
      <c r="G1696">
        <v>17</v>
      </c>
      <c r="H1696">
        <v>64</v>
      </c>
      <c r="I1696">
        <v>26</v>
      </c>
      <c r="J1696">
        <v>19</v>
      </c>
      <c r="K1696">
        <v>381</v>
      </c>
      <c r="L1696">
        <v>106.22</v>
      </c>
      <c r="M1696">
        <v>1973.22</v>
      </c>
      <c r="N1696">
        <v>67799</v>
      </c>
      <c r="O1696">
        <v>1044.74</v>
      </c>
      <c r="P1696" s="1">
        <v>0.56499999999999995</v>
      </c>
      <c r="Q1696">
        <f t="shared" si="130"/>
        <v>81</v>
      </c>
      <c r="R1696">
        <f t="shared" si="131"/>
        <v>83</v>
      </c>
      <c r="S1696" s="1">
        <f t="shared" si="132"/>
        <v>0.67901234567901236</v>
      </c>
      <c r="T1696">
        <f t="shared" si="133"/>
        <v>0.81</v>
      </c>
      <c r="U1696" t="str">
        <f t="shared" si="134"/>
        <v>Feb</v>
      </c>
    </row>
    <row r="1697" spans="1:21">
      <c r="A1697" s="2">
        <v>46089</v>
      </c>
      <c r="B1697" t="s">
        <v>6</v>
      </c>
      <c r="C1697" t="s">
        <v>40</v>
      </c>
      <c r="D1697" t="s">
        <v>10</v>
      </c>
      <c r="E1697" t="s">
        <v>37</v>
      </c>
      <c r="F1697" t="s">
        <v>45</v>
      </c>
      <c r="G1697">
        <v>114</v>
      </c>
      <c r="H1697">
        <v>57</v>
      </c>
      <c r="I1697">
        <v>52</v>
      </c>
      <c r="J1697">
        <v>30</v>
      </c>
      <c r="K1697">
        <v>428</v>
      </c>
      <c r="L1697">
        <v>117.54</v>
      </c>
      <c r="M1697">
        <v>2303.6</v>
      </c>
      <c r="N1697">
        <v>65908</v>
      </c>
      <c r="O1697">
        <v>1417.86</v>
      </c>
      <c r="P1697" s="1">
        <v>-9.5000000000000001E-2</v>
      </c>
      <c r="Q1697">
        <f t="shared" si="130"/>
        <v>171</v>
      </c>
      <c r="R1697">
        <f t="shared" si="131"/>
        <v>87</v>
      </c>
      <c r="S1697" s="1">
        <f t="shared" si="132"/>
        <v>0.69590643274853803</v>
      </c>
      <c r="T1697">
        <f t="shared" si="133"/>
        <v>1.71</v>
      </c>
      <c r="U1697" t="str">
        <f t="shared" si="134"/>
        <v>Mar</v>
      </c>
    </row>
    <row r="1698" spans="1:21">
      <c r="A1698" s="2">
        <v>46092</v>
      </c>
      <c r="B1698" t="s">
        <v>6</v>
      </c>
      <c r="C1698" t="s">
        <v>31</v>
      </c>
      <c r="D1698" t="s">
        <v>5</v>
      </c>
      <c r="E1698" t="s">
        <v>38</v>
      </c>
      <c r="F1698" t="s">
        <v>33</v>
      </c>
      <c r="G1698">
        <v>57</v>
      </c>
      <c r="H1698">
        <v>25</v>
      </c>
      <c r="I1698">
        <v>84</v>
      </c>
      <c r="J1698">
        <v>43</v>
      </c>
      <c r="K1698">
        <v>234</v>
      </c>
      <c r="L1698">
        <v>106.69</v>
      </c>
      <c r="M1698">
        <v>1859.68</v>
      </c>
      <c r="N1698">
        <v>66172</v>
      </c>
      <c r="O1698">
        <v>1048.49</v>
      </c>
      <c r="P1698" s="1">
        <v>0.57099999999999995</v>
      </c>
      <c r="Q1698">
        <f t="shared" si="130"/>
        <v>82</v>
      </c>
      <c r="R1698">
        <f t="shared" si="131"/>
        <v>68</v>
      </c>
      <c r="S1698" s="1">
        <f t="shared" si="132"/>
        <v>-2.4390243902439025E-2</v>
      </c>
      <c r="T1698">
        <f t="shared" si="133"/>
        <v>0.82</v>
      </c>
      <c r="U1698" t="str">
        <f t="shared" si="134"/>
        <v>Mar</v>
      </c>
    </row>
    <row r="1699" spans="1:21">
      <c r="A1699" s="2">
        <v>46071</v>
      </c>
      <c r="B1699" t="s">
        <v>6</v>
      </c>
      <c r="C1699" t="s">
        <v>31</v>
      </c>
      <c r="D1699" t="s">
        <v>10</v>
      </c>
      <c r="E1699" t="s">
        <v>32</v>
      </c>
      <c r="F1699" t="s">
        <v>33</v>
      </c>
      <c r="G1699">
        <v>84</v>
      </c>
      <c r="H1699">
        <v>75</v>
      </c>
      <c r="I1699">
        <v>33</v>
      </c>
      <c r="J1699">
        <v>12</v>
      </c>
      <c r="K1699">
        <v>71</v>
      </c>
      <c r="L1699">
        <v>119.16</v>
      </c>
      <c r="M1699">
        <v>1967.05</v>
      </c>
      <c r="N1699">
        <v>74302</v>
      </c>
      <c r="O1699">
        <v>1347.53</v>
      </c>
      <c r="P1699" s="1">
        <v>0.16800000000000001</v>
      </c>
      <c r="Q1699">
        <f t="shared" si="130"/>
        <v>159</v>
      </c>
      <c r="R1699">
        <f t="shared" si="131"/>
        <v>87</v>
      </c>
      <c r="S1699" s="1">
        <f t="shared" si="132"/>
        <v>0.79245283018867929</v>
      </c>
      <c r="T1699">
        <f t="shared" si="133"/>
        <v>1.59</v>
      </c>
      <c r="U1699" t="str">
        <f t="shared" si="134"/>
        <v>Feb</v>
      </c>
    </row>
    <row r="1700" spans="1:21">
      <c r="A1700" s="2">
        <v>46122</v>
      </c>
      <c r="B1700" t="s">
        <v>6</v>
      </c>
      <c r="C1700" t="s">
        <v>31</v>
      </c>
      <c r="D1700" t="s">
        <v>10</v>
      </c>
      <c r="E1700" t="s">
        <v>41</v>
      </c>
      <c r="F1700" t="s">
        <v>39</v>
      </c>
      <c r="G1700">
        <v>5</v>
      </c>
      <c r="H1700">
        <v>10</v>
      </c>
      <c r="I1700">
        <v>60</v>
      </c>
      <c r="J1700">
        <v>117</v>
      </c>
      <c r="K1700">
        <v>98</v>
      </c>
      <c r="L1700">
        <v>125.67</v>
      </c>
      <c r="M1700">
        <v>2096.13</v>
      </c>
      <c r="N1700">
        <v>75505</v>
      </c>
      <c r="O1700">
        <v>1711.7</v>
      </c>
      <c r="P1700" s="1">
        <v>-0.48399999999999999</v>
      </c>
      <c r="Q1700">
        <f t="shared" si="130"/>
        <v>15</v>
      </c>
      <c r="R1700">
        <f t="shared" si="131"/>
        <v>127</v>
      </c>
      <c r="S1700" s="1">
        <f t="shared" si="132"/>
        <v>-3</v>
      </c>
      <c r="T1700">
        <f t="shared" si="133"/>
        <v>0.15</v>
      </c>
      <c r="U1700" t="str">
        <f t="shared" si="134"/>
        <v>Apr</v>
      </c>
    </row>
    <row r="1701" spans="1:21">
      <c r="A1701" s="2">
        <v>46090</v>
      </c>
      <c r="B1701" t="s">
        <v>6</v>
      </c>
      <c r="C1701" t="s">
        <v>46</v>
      </c>
      <c r="D1701" t="s">
        <v>11</v>
      </c>
      <c r="E1701" t="s">
        <v>35</v>
      </c>
      <c r="F1701" t="s">
        <v>33</v>
      </c>
      <c r="G1701">
        <v>51</v>
      </c>
      <c r="H1701">
        <v>72</v>
      </c>
      <c r="I1701">
        <v>56</v>
      </c>
      <c r="J1701">
        <v>47</v>
      </c>
      <c r="K1701">
        <v>236</v>
      </c>
      <c r="L1701">
        <v>82.85</v>
      </c>
      <c r="M1701">
        <v>1828.8</v>
      </c>
      <c r="N1701">
        <v>65611</v>
      </c>
      <c r="O1701">
        <v>1722.48</v>
      </c>
      <c r="P1701" s="1">
        <v>-0.67400000000000004</v>
      </c>
      <c r="Q1701">
        <f t="shared" si="130"/>
        <v>123</v>
      </c>
      <c r="R1701">
        <f t="shared" si="131"/>
        <v>119</v>
      </c>
      <c r="S1701" s="1">
        <f t="shared" si="132"/>
        <v>0.54471544715447151</v>
      </c>
      <c r="T1701">
        <f t="shared" si="133"/>
        <v>1.23</v>
      </c>
      <c r="U1701" t="str">
        <f t="shared" si="134"/>
        <v>Mar</v>
      </c>
    </row>
    <row r="1702" spans="1:21">
      <c r="A1702" s="2">
        <v>46097</v>
      </c>
      <c r="B1702" t="s">
        <v>4</v>
      </c>
      <c r="C1702" t="s">
        <v>36</v>
      </c>
      <c r="D1702" t="s">
        <v>9</v>
      </c>
      <c r="E1702" t="s">
        <v>42</v>
      </c>
      <c r="F1702" t="s">
        <v>39</v>
      </c>
      <c r="G1702">
        <v>85</v>
      </c>
      <c r="H1702">
        <v>63</v>
      </c>
      <c r="I1702">
        <v>11</v>
      </c>
      <c r="J1702">
        <v>88</v>
      </c>
      <c r="K1702">
        <v>64</v>
      </c>
      <c r="L1702">
        <v>89.86</v>
      </c>
      <c r="M1702">
        <v>2187.13</v>
      </c>
      <c r="N1702">
        <v>72254</v>
      </c>
      <c r="O1702">
        <v>1619.96</v>
      </c>
      <c r="P1702" s="1">
        <v>-0.39500000000000002</v>
      </c>
      <c r="Q1702">
        <f t="shared" si="130"/>
        <v>148</v>
      </c>
      <c r="R1702">
        <f t="shared" si="131"/>
        <v>151</v>
      </c>
      <c r="S1702" s="1">
        <f t="shared" si="132"/>
        <v>0.92567567567567566</v>
      </c>
      <c r="T1702">
        <f t="shared" si="133"/>
        <v>1.48</v>
      </c>
      <c r="U1702" t="str">
        <f t="shared" si="134"/>
        <v>Mar</v>
      </c>
    </row>
    <row r="1703" spans="1:21">
      <c r="A1703" s="2">
        <v>46109</v>
      </c>
      <c r="B1703" t="s">
        <v>6</v>
      </c>
      <c r="C1703" t="s">
        <v>51</v>
      </c>
      <c r="D1703" t="s">
        <v>9</v>
      </c>
      <c r="E1703" t="s">
        <v>32</v>
      </c>
      <c r="F1703" t="s">
        <v>33</v>
      </c>
      <c r="G1703">
        <v>15</v>
      </c>
      <c r="H1703">
        <v>75</v>
      </c>
      <c r="I1703">
        <v>88</v>
      </c>
      <c r="J1703">
        <v>16</v>
      </c>
      <c r="K1703">
        <v>304</v>
      </c>
      <c r="L1703">
        <v>133.82</v>
      </c>
      <c r="M1703">
        <v>2115.6999999999998</v>
      </c>
      <c r="N1703">
        <v>75858</v>
      </c>
      <c r="O1703">
        <v>993.41</v>
      </c>
      <c r="P1703" s="1">
        <v>0.46500000000000002</v>
      </c>
      <c r="Q1703">
        <f t="shared" si="130"/>
        <v>90</v>
      </c>
      <c r="R1703">
        <f t="shared" si="131"/>
        <v>91</v>
      </c>
      <c r="S1703" s="1">
        <f t="shared" si="132"/>
        <v>2.2222222222222223E-2</v>
      </c>
      <c r="T1703">
        <f t="shared" si="133"/>
        <v>0.9</v>
      </c>
      <c r="U1703" t="str">
        <f t="shared" si="134"/>
        <v>Mar</v>
      </c>
    </row>
    <row r="1704" spans="1:21">
      <c r="A1704" s="2">
        <v>46103</v>
      </c>
      <c r="B1704" t="s">
        <v>4</v>
      </c>
      <c r="C1704" t="s">
        <v>51</v>
      </c>
      <c r="D1704" t="s">
        <v>11</v>
      </c>
      <c r="E1704" t="s">
        <v>35</v>
      </c>
      <c r="F1704" t="s">
        <v>49</v>
      </c>
      <c r="G1704">
        <v>35</v>
      </c>
      <c r="H1704">
        <v>40</v>
      </c>
      <c r="I1704">
        <v>29</v>
      </c>
      <c r="J1704">
        <v>34</v>
      </c>
      <c r="K1704">
        <v>43</v>
      </c>
      <c r="L1704">
        <v>130.78</v>
      </c>
      <c r="M1704">
        <v>2379.48</v>
      </c>
      <c r="N1704">
        <v>67324</v>
      </c>
      <c r="O1704">
        <v>1269.1300000000001</v>
      </c>
      <c r="P1704" s="1">
        <v>-7.2999999999999995E-2</v>
      </c>
      <c r="Q1704">
        <f t="shared" si="130"/>
        <v>75</v>
      </c>
      <c r="R1704">
        <f t="shared" si="131"/>
        <v>74</v>
      </c>
      <c r="S1704" s="1">
        <f t="shared" si="132"/>
        <v>0.61333333333333329</v>
      </c>
      <c r="T1704">
        <f t="shared" si="133"/>
        <v>0.75</v>
      </c>
      <c r="U1704" t="str">
        <f t="shared" si="134"/>
        <v>Mar</v>
      </c>
    </row>
    <row r="1705" spans="1:21">
      <c r="A1705" s="2">
        <v>46093</v>
      </c>
      <c r="B1705" t="s">
        <v>4</v>
      </c>
      <c r="C1705" t="s">
        <v>31</v>
      </c>
      <c r="D1705" t="s">
        <v>11</v>
      </c>
      <c r="E1705" t="s">
        <v>37</v>
      </c>
      <c r="F1705" t="s">
        <v>49</v>
      </c>
      <c r="G1705">
        <v>104</v>
      </c>
      <c r="H1705">
        <v>8</v>
      </c>
      <c r="I1705">
        <v>48</v>
      </c>
      <c r="J1705">
        <v>24</v>
      </c>
      <c r="K1705">
        <v>348</v>
      </c>
      <c r="L1705">
        <v>138.27000000000001</v>
      </c>
      <c r="M1705">
        <v>2135.2399999999998</v>
      </c>
      <c r="N1705">
        <v>71411</v>
      </c>
      <c r="O1705">
        <v>1304.4000000000001</v>
      </c>
      <c r="P1705" s="1">
        <v>-3.9E-2</v>
      </c>
      <c r="Q1705">
        <f t="shared" si="130"/>
        <v>112</v>
      </c>
      <c r="R1705">
        <f t="shared" si="131"/>
        <v>32</v>
      </c>
      <c r="S1705" s="1">
        <f t="shared" si="132"/>
        <v>0.5714285714285714</v>
      </c>
      <c r="T1705">
        <f t="shared" si="133"/>
        <v>1.1200000000000001</v>
      </c>
      <c r="U1705" t="str">
        <f t="shared" si="134"/>
        <v>Mar</v>
      </c>
    </row>
    <row r="1706" spans="1:21">
      <c r="A1706" s="2">
        <v>46098</v>
      </c>
      <c r="B1706" t="s">
        <v>4</v>
      </c>
      <c r="C1706" t="s">
        <v>43</v>
      </c>
      <c r="D1706" t="s">
        <v>5</v>
      </c>
      <c r="E1706" t="s">
        <v>32</v>
      </c>
      <c r="F1706" t="s">
        <v>45</v>
      </c>
      <c r="G1706">
        <v>65</v>
      </c>
      <c r="H1706">
        <v>76</v>
      </c>
      <c r="I1706">
        <v>61</v>
      </c>
      <c r="J1706">
        <v>149</v>
      </c>
      <c r="K1706">
        <v>149</v>
      </c>
      <c r="L1706">
        <v>90.69</v>
      </c>
      <c r="M1706">
        <v>2130.8000000000002</v>
      </c>
      <c r="N1706">
        <v>71605</v>
      </c>
      <c r="O1706">
        <v>1318.16</v>
      </c>
      <c r="P1706" s="1">
        <v>-0.375</v>
      </c>
      <c r="Q1706">
        <f t="shared" si="130"/>
        <v>141</v>
      </c>
      <c r="R1706">
        <f t="shared" si="131"/>
        <v>225</v>
      </c>
      <c r="S1706" s="1">
        <f t="shared" si="132"/>
        <v>0.56737588652482274</v>
      </c>
      <c r="T1706">
        <f t="shared" si="133"/>
        <v>1.41</v>
      </c>
      <c r="U1706" t="str">
        <f t="shared" si="134"/>
        <v>Mar</v>
      </c>
    </row>
    <row r="1707" spans="1:21">
      <c r="A1707" s="2">
        <v>46076</v>
      </c>
      <c r="B1707" t="s">
        <v>4</v>
      </c>
      <c r="C1707" t="s">
        <v>34</v>
      </c>
      <c r="D1707" t="s">
        <v>7</v>
      </c>
      <c r="E1707" t="s">
        <v>41</v>
      </c>
      <c r="F1707" t="s">
        <v>39</v>
      </c>
      <c r="G1707">
        <v>21</v>
      </c>
      <c r="H1707">
        <v>18</v>
      </c>
      <c r="I1707">
        <v>0</v>
      </c>
      <c r="J1707">
        <v>117</v>
      </c>
      <c r="K1707">
        <v>270</v>
      </c>
      <c r="L1707">
        <v>127.38</v>
      </c>
      <c r="M1707">
        <v>2356.5</v>
      </c>
      <c r="N1707">
        <v>67446</v>
      </c>
      <c r="O1707">
        <v>1567.05</v>
      </c>
      <c r="P1707" s="1">
        <v>4.2999999999999997E-2</v>
      </c>
      <c r="Q1707">
        <f t="shared" si="130"/>
        <v>39</v>
      </c>
      <c r="R1707">
        <f t="shared" si="131"/>
        <v>135</v>
      </c>
      <c r="S1707" s="1">
        <f t="shared" si="132"/>
        <v>1</v>
      </c>
      <c r="T1707">
        <f t="shared" si="133"/>
        <v>0.39</v>
      </c>
      <c r="U1707" t="str">
        <f t="shared" si="134"/>
        <v>Feb</v>
      </c>
    </row>
    <row r="1708" spans="1:21">
      <c r="A1708" s="2">
        <v>46090</v>
      </c>
      <c r="B1708" t="s">
        <v>4</v>
      </c>
      <c r="C1708" t="s">
        <v>51</v>
      </c>
      <c r="D1708" t="s">
        <v>9</v>
      </c>
      <c r="E1708" t="s">
        <v>35</v>
      </c>
      <c r="F1708" t="s">
        <v>39</v>
      </c>
      <c r="G1708">
        <v>28</v>
      </c>
      <c r="H1708">
        <v>63</v>
      </c>
      <c r="I1708">
        <v>13</v>
      </c>
      <c r="J1708">
        <v>91</v>
      </c>
      <c r="K1708">
        <v>421</v>
      </c>
      <c r="L1708">
        <v>106.89</v>
      </c>
      <c r="M1708">
        <v>1805.2</v>
      </c>
      <c r="N1708">
        <v>73459</v>
      </c>
      <c r="O1708">
        <v>1227.69</v>
      </c>
      <c r="P1708" s="1">
        <v>-0.89700000000000002</v>
      </c>
      <c r="Q1708">
        <f t="shared" si="130"/>
        <v>91</v>
      </c>
      <c r="R1708">
        <f t="shared" si="131"/>
        <v>154</v>
      </c>
      <c r="S1708" s="1">
        <f t="shared" si="132"/>
        <v>0.8571428571428571</v>
      </c>
      <c r="T1708">
        <f t="shared" si="133"/>
        <v>0.91</v>
      </c>
      <c r="U1708" t="str">
        <f t="shared" si="134"/>
        <v>Mar</v>
      </c>
    </row>
    <row r="1709" spans="1:21">
      <c r="A1709" s="2">
        <v>46123</v>
      </c>
      <c r="B1709" t="s">
        <v>6</v>
      </c>
      <c r="C1709" t="s">
        <v>36</v>
      </c>
      <c r="D1709" t="s">
        <v>9</v>
      </c>
      <c r="E1709" t="s">
        <v>42</v>
      </c>
      <c r="F1709" t="s">
        <v>49</v>
      </c>
      <c r="G1709">
        <v>99</v>
      </c>
      <c r="H1709">
        <v>76</v>
      </c>
      <c r="I1709">
        <v>65</v>
      </c>
      <c r="J1709">
        <v>130</v>
      </c>
      <c r="K1709">
        <v>273</v>
      </c>
      <c r="L1709">
        <v>107.99</v>
      </c>
      <c r="M1709">
        <v>2222.7199999999998</v>
      </c>
      <c r="N1709">
        <v>73065</v>
      </c>
      <c r="O1709">
        <v>934.41</v>
      </c>
      <c r="P1709" s="1">
        <v>0.375</v>
      </c>
      <c r="Q1709">
        <f t="shared" si="130"/>
        <v>175</v>
      </c>
      <c r="R1709">
        <f t="shared" si="131"/>
        <v>206</v>
      </c>
      <c r="S1709" s="1">
        <f t="shared" si="132"/>
        <v>0.62857142857142856</v>
      </c>
      <c r="T1709">
        <f t="shared" si="133"/>
        <v>1.75</v>
      </c>
      <c r="U1709" t="str">
        <f t="shared" si="134"/>
        <v>Apr</v>
      </c>
    </row>
    <row r="1710" spans="1:21">
      <c r="A1710" s="2">
        <v>46074</v>
      </c>
      <c r="B1710" t="s">
        <v>4</v>
      </c>
      <c r="C1710" t="s">
        <v>50</v>
      </c>
      <c r="D1710" t="s">
        <v>7</v>
      </c>
      <c r="E1710" t="s">
        <v>47</v>
      </c>
      <c r="F1710" t="s">
        <v>49</v>
      </c>
      <c r="G1710">
        <v>60</v>
      </c>
      <c r="H1710">
        <v>23</v>
      </c>
      <c r="I1710">
        <v>46</v>
      </c>
      <c r="J1710">
        <v>93</v>
      </c>
      <c r="K1710">
        <v>367</v>
      </c>
      <c r="L1710">
        <v>101.6</v>
      </c>
      <c r="M1710">
        <v>1920.82</v>
      </c>
      <c r="N1710">
        <v>64666</v>
      </c>
      <c r="O1710">
        <v>1460.32</v>
      </c>
      <c r="P1710" s="1">
        <v>0.26400000000000001</v>
      </c>
      <c r="Q1710">
        <f t="shared" si="130"/>
        <v>83</v>
      </c>
      <c r="R1710">
        <f t="shared" si="131"/>
        <v>116</v>
      </c>
      <c r="S1710" s="1">
        <f t="shared" si="132"/>
        <v>0.44578313253012047</v>
      </c>
      <c r="T1710">
        <f t="shared" si="133"/>
        <v>0.83</v>
      </c>
      <c r="U1710" t="str">
        <f t="shared" si="134"/>
        <v>Feb</v>
      </c>
    </row>
    <row r="1711" spans="1:21">
      <c r="A1711" s="2">
        <v>46073</v>
      </c>
      <c r="B1711" t="s">
        <v>6</v>
      </c>
      <c r="C1711" t="s">
        <v>40</v>
      </c>
      <c r="D1711" t="s">
        <v>10</v>
      </c>
      <c r="E1711" t="s">
        <v>37</v>
      </c>
      <c r="F1711" t="s">
        <v>49</v>
      </c>
      <c r="G1711">
        <v>16</v>
      </c>
      <c r="H1711">
        <v>29</v>
      </c>
      <c r="I1711">
        <v>88</v>
      </c>
      <c r="J1711">
        <v>54</v>
      </c>
      <c r="K1711">
        <v>354</v>
      </c>
      <c r="L1711">
        <v>117.18</v>
      </c>
      <c r="M1711">
        <v>2304.02</v>
      </c>
      <c r="N1711">
        <v>64705</v>
      </c>
      <c r="O1711">
        <v>1062.95</v>
      </c>
      <c r="P1711" s="1">
        <v>0.73699999999999999</v>
      </c>
      <c r="Q1711">
        <f t="shared" si="130"/>
        <v>45</v>
      </c>
      <c r="R1711">
        <f t="shared" si="131"/>
        <v>83</v>
      </c>
      <c r="S1711" s="1">
        <f t="shared" si="132"/>
        <v>-0.9555555555555556</v>
      </c>
      <c r="T1711">
        <f t="shared" si="133"/>
        <v>0.45</v>
      </c>
      <c r="U1711" t="str">
        <f t="shared" si="134"/>
        <v>Feb</v>
      </c>
    </row>
    <row r="1712" spans="1:21">
      <c r="A1712" s="2">
        <v>46091</v>
      </c>
      <c r="B1712" t="s">
        <v>4</v>
      </c>
      <c r="C1712" t="s">
        <v>40</v>
      </c>
      <c r="D1712" t="s">
        <v>10</v>
      </c>
      <c r="E1712" t="s">
        <v>32</v>
      </c>
      <c r="F1712" t="s">
        <v>33</v>
      </c>
      <c r="G1712">
        <v>24</v>
      </c>
      <c r="H1712">
        <v>35</v>
      </c>
      <c r="I1712">
        <v>53</v>
      </c>
      <c r="J1712">
        <v>0</v>
      </c>
      <c r="K1712">
        <v>275</v>
      </c>
      <c r="L1712">
        <v>101.91</v>
      </c>
      <c r="M1712">
        <v>2446.54</v>
      </c>
      <c r="N1712">
        <v>67572</v>
      </c>
      <c r="O1712">
        <v>1146.79</v>
      </c>
      <c r="P1712" s="1">
        <v>-0.42499999999999999</v>
      </c>
      <c r="Q1712">
        <f t="shared" si="130"/>
        <v>59</v>
      </c>
      <c r="R1712">
        <f t="shared" si="131"/>
        <v>35</v>
      </c>
      <c r="S1712" s="1">
        <f t="shared" si="132"/>
        <v>0.10169491525423729</v>
      </c>
      <c r="T1712">
        <f t="shared" si="133"/>
        <v>0.59</v>
      </c>
      <c r="U1712" t="str">
        <f t="shared" si="134"/>
        <v>Mar</v>
      </c>
    </row>
    <row r="1713" spans="1:21">
      <c r="A1713" s="2">
        <v>46100</v>
      </c>
      <c r="B1713" t="s">
        <v>6</v>
      </c>
      <c r="C1713" t="s">
        <v>48</v>
      </c>
      <c r="D1713" t="s">
        <v>11</v>
      </c>
      <c r="E1713" t="s">
        <v>35</v>
      </c>
      <c r="F1713" t="s">
        <v>45</v>
      </c>
      <c r="G1713">
        <v>94</v>
      </c>
      <c r="H1713">
        <v>71</v>
      </c>
      <c r="I1713">
        <v>69</v>
      </c>
      <c r="J1713">
        <v>54</v>
      </c>
      <c r="K1713">
        <v>99</v>
      </c>
      <c r="L1713">
        <v>93.34</v>
      </c>
      <c r="M1713">
        <v>2442.88</v>
      </c>
      <c r="N1713">
        <v>65208</v>
      </c>
      <c r="O1713">
        <v>984.55</v>
      </c>
      <c r="P1713" s="1">
        <v>0.17699999999999999</v>
      </c>
      <c r="Q1713">
        <f t="shared" si="130"/>
        <v>165</v>
      </c>
      <c r="R1713">
        <f t="shared" si="131"/>
        <v>125</v>
      </c>
      <c r="S1713" s="1">
        <f t="shared" si="132"/>
        <v>0.58181818181818179</v>
      </c>
      <c r="T1713">
        <f t="shared" si="133"/>
        <v>1.65</v>
      </c>
      <c r="U1713" t="str">
        <f t="shared" si="134"/>
        <v>Mar</v>
      </c>
    </row>
    <row r="1714" spans="1:21">
      <c r="A1714" s="2">
        <v>46111</v>
      </c>
      <c r="B1714" t="s">
        <v>6</v>
      </c>
      <c r="C1714" t="s">
        <v>40</v>
      </c>
      <c r="D1714" t="s">
        <v>7</v>
      </c>
      <c r="E1714" t="s">
        <v>37</v>
      </c>
      <c r="F1714" t="s">
        <v>39</v>
      </c>
      <c r="G1714">
        <v>59</v>
      </c>
      <c r="H1714">
        <v>38</v>
      </c>
      <c r="I1714">
        <v>64</v>
      </c>
      <c r="J1714">
        <v>142</v>
      </c>
      <c r="K1714">
        <v>225</v>
      </c>
      <c r="L1714">
        <v>134.51</v>
      </c>
      <c r="M1714">
        <v>2187.2600000000002</v>
      </c>
      <c r="N1714">
        <v>67837</v>
      </c>
      <c r="O1714">
        <v>1145.1500000000001</v>
      </c>
      <c r="P1714" s="1">
        <v>-0.311</v>
      </c>
      <c r="Q1714">
        <f t="shared" si="130"/>
        <v>97</v>
      </c>
      <c r="R1714">
        <f t="shared" si="131"/>
        <v>180</v>
      </c>
      <c r="S1714" s="1">
        <f t="shared" si="132"/>
        <v>0.34020618556701032</v>
      </c>
      <c r="T1714">
        <f t="shared" si="133"/>
        <v>0.97</v>
      </c>
      <c r="U1714" t="str">
        <f t="shared" si="134"/>
        <v>Mar</v>
      </c>
    </row>
    <row r="1715" spans="1:21">
      <c r="A1715" s="2">
        <v>46113</v>
      </c>
      <c r="B1715" t="s">
        <v>4</v>
      </c>
      <c r="C1715" t="s">
        <v>36</v>
      </c>
      <c r="D1715" t="s">
        <v>10</v>
      </c>
      <c r="E1715" t="s">
        <v>37</v>
      </c>
      <c r="F1715" t="s">
        <v>39</v>
      </c>
      <c r="G1715">
        <v>90</v>
      </c>
      <c r="H1715">
        <v>41</v>
      </c>
      <c r="I1715">
        <v>86</v>
      </c>
      <c r="J1715">
        <v>157</v>
      </c>
      <c r="K1715">
        <v>350</v>
      </c>
      <c r="L1715">
        <v>133.91</v>
      </c>
      <c r="M1715">
        <v>2018.68</v>
      </c>
      <c r="N1715">
        <v>67269</v>
      </c>
      <c r="O1715">
        <v>1068.6199999999999</v>
      </c>
      <c r="P1715" s="1">
        <v>0.13500000000000001</v>
      </c>
      <c r="Q1715">
        <f t="shared" si="130"/>
        <v>131</v>
      </c>
      <c r="R1715">
        <f t="shared" si="131"/>
        <v>198</v>
      </c>
      <c r="S1715" s="1">
        <f t="shared" si="132"/>
        <v>0.34351145038167941</v>
      </c>
      <c r="T1715">
        <f t="shared" si="133"/>
        <v>1.31</v>
      </c>
      <c r="U1715" t="str">
        <f t="shared" si="134"/>
        <v>Apr</v>
      </c>
    </row>
    <row r="1716" spans="1:21">
      <c r="A1716" s="2">
        <v>46099</v>
      </c>
      <c r="B1716" t="s">
        <v>6</v>
      </c>
      <c r="C1716" t="s">
        <v>51</v>
      </c>
      <c r="D1716" t="s">
        <v>10</v>
      </c>
      <c r="E1716" t="s">
        <v>37</v>
      </c>
      <c r="F1716" t="s">
        <v>45</v>
      </c>
      <c r="G1716">
        <v>32</v>
      </c>
      <c r="H1716">
        <v>25</v>
      </c>
      <c r="I1716">
        <v>67</v>
      </c>
      <c r="J1716">
        <v>83</v>
      </c>
      <c r="K1716">
        <v>281</v>
      </c>
      <c r="L1716">
        <v>97.88</v>
      </c>
      <c r="M1716">
        <v>1940.72</v>
      </c>
      <c r="N1716">
        <v>70143</v>
      </c>
      <c r="O1716">
        <v>1023.83</v>
      </c>
      <c r="P1716" s="1">
        <v>0.39200000000000002</v>
      </c>
      <c r="Q1716">
        <f t="shared" si="130"/>
        <v>57</v>
      </c>
      <c r="R1716">
        <f t="shared" si="131"/>
        <v>108</v>
      </c>
      <c r="S1716" s="1">
        <f t="shared" si="132"/>
        <v>-0.17543859649122806</v>
      </c>
      <c r="T1716">
        <f t="shared" si="133"/>
        <v>0.56999999999999995</v>
      </c>
      <c r="U1716" t="str">
        <f t="shared" si="134"/>
        <v>Mar</v>
      </c>
    </row>
    <row r="1717" spans="1:21">
      <c r="A1717" s="2">
        <v>46110</v>
      </c>
      <c r="B1717" t="s">
        <v>4</v>
      </c>
      <c r="C1717" t="s">
        <v>44</v>
      </c>
      <c r="D1717" t="s">
        <v>9</v>
      </c>
      <c r="E1717" t="s">
        <v>37</v>
      </c>
      <c r="F1717" t="s">
        <v>33</v>
      </c>
      <c r="G1717">
        <v>115</v>
      </c>
      <c r="H1717">
        <v>8</v>
      </c>
      <c r="I1717">
        <v>71</v>
      </c>
      <c r="J1717">
        <v>66</v>
      </c>
      <c r="K1717">
        <v>401</v>
      </c>
      <c r="L1717">
        <v>112.63</v>
      </c>
      <c r="M1717">
        <v>1870.85</v>
      </c>
      <c r="N1717">
        <v>64114</v>
      </c>
      <c r="O1717">
        <v>1463.4</v>
      </c>
      <c r="P1717" s="1">
        <v>-0.51800000000000002</v>
      </c>
      <c r="Q1717">
        <f t="shared" si="130"/>
        <v>123</v>
      </c>
      <c r="R1717">
        <f t="shared" si="131"/>
        <v>74</v>
      </c>
      <c r="S1717" s="1">
        <f t="shared" si="132"/>
        <v>0.42276422764227645</v>
      </c>
      <c r="T1717">
        <f t="shared" si="133"/>
        <v>1.23</v>
      </c>
      <c r="U1717" t="str">
        <f t="shared" si="134"/>
        <v>Mar</v>
      </c>
    </row>
    <row r="1718" spans="1:21">
      <c r="A1718" s="2">
        <v>46072</v>
      </c>
      <c r="B1718" t="s">
        <v>6</v>
      </c>
      <c r="C1718" t="s">
        <v>50</v>
      </c>
      <c r="D1718" t="s">
        <v>9</v>
      </c>
      <c r="E1718" t="s">
        <v>32</v>
      </c>
      <c r="F1718" t="s">
        <v>33</v>
      </c>
      <c r="G1718">
        <v>80</v>
      </c>
      <c r="H1718">
        <v>73</v>
      </c>
      <c r="I1718">
        <v>69</v>
      </c>
      <c r="J1718">
        <v>149</v>
      </c>
      <c r="K1718">
        <v>119</v>
      </c>
      <c r="L1718">
        <v>137.28</v>
      </c>
      <c r="M1718">
        <v>2232.29</v>
      </c>
      <c r="N1718">
        <v>67788</v>
      </c>
      <c r="O1718">
        <v>1301.1600000000001</v>
      </c>
      <c r="P1718" s="1">
        <v>0.27700000000000002</v>
      </c>
      <c r="Q1718">
        <f t="shared" si="130"/>
        <v>153</v>
      </c>
      <c r="R1718">
        <f t="shared" si="131"/>
        <v>222</v>
      </c>
      <c r="S1718" s="1">
        <f t="shared" si="132"/>
        <v>0.5490196078431373</v>
      </c>
      <c r="T1718">
        <f t="shared" si="133"/>
        <v>1.53</v>
      </c>
      <c r="U1718" t="str">
        <f t="shared" si="134"/>
        <v>Feb</v>
      </c>
    </row>
    <row r="1719" spans="1:21">
      <c r="A1719" s="2">
        <v>46126</v>
      </c>
      <c r="B1719" t="s">
        <v>6</v>
      </c>
      <c r="C1719" t="s">
        <v>48</v>
      </c>
      <c r="D1719" t="s">
        <v>11</v>
      </c>
      <c r="E1719" t="s">
        <v>37</v>
      </c>
      <c r="F1719" t="s">
        <v>45</v>
      </c>
      <c r="G1719">
        <v>3</v>
      </c>
      <c r="H1719">
        <v>36</v>
      </c>
      <c r="I1719">
        <v>41</v>
      </c>
      <c r="J1719">
        <v>89</v>
      </c>
      <c r="K1719">
        <v>298</v>
      </c>
      <c r="L1719">
        <v>88.4</v>
      </c>
      <c r="M1719">
        <v>2489.2600000000002</v>
      </c>
      <c r="N1719">
        <v>75498</v>
      </c>
      <c r="O1719">
        <v>1020.89</v>
      </c>
      <c r="P1719" s="1">
        <v>9.6000000000000002E-2</v>
      </c>
      <c r="Q1719">
        <f t="shared" si="130"/>
        <v>39</v>
      </c>
      <c r="R1719">
        <f t="shared" si="131"/>
        <v>125</v>
      </c>
      <c r="S1719" s="1">
        <f t="shared" si="132"/>
        <v>-5.128205128205128E-2</v>
      </c>
      <c r="T1719">
        <f t="shared" si="133"/>
        <v>0.39</v>
      </c>
      <c r="U1719" t="str">
        <f t="shared" si="134"/>
        <v>Apr</v>
      </c>
    </row>
    <row r="1720" spans="1:21">
      <c r="A1720" s="2">
        <v>46084</v>
      </c>
      <c r="B1720" t="s">
        <v>6</v>
      </c>
      <c r="C1720" t="s">
        <v>40</v>
      </c>
      <c r="D1720" t="s">
        <v>9</v>
      </c>
      <c r="E1720" t="s">
        <v>35</v>
      </c>
      <c r="F1720" t="s">
        <v>45</v>
      </c>
      <c r="G1720">
        <v>52</v>
      </c>
      <c r="H1720">
        <v>62</v>
      </c>
      <c r="I1720">
        <v>36</v>
      </c>
      <c r="J1720">
        <v>44</v>
      </c>
      <c r="K1720">
        <v>43</v>
      </c>
      <c r="L1720">
        <v>94.5</v>
      </c>
      <c r="M1720">
        <v>1835.6</v>
      </c>
      <c r="N1720">
        <v>66714</v>
      </c>
      <c r="O1720">
        <v>1402.01</v>
      </c>
      <c r="P1720" s="1">
        <v>-0.41399999999999998</v>
      </c>
      <c r="Q1720">
        <f t="shared" si="130"/>
        <v>114</v>
      </c>
      <c r="R1720">
        <f t="shared" si="131"/>
        <v>106</v>
      </c>
      <c r="S1720" s="1">
        <f t="shared" si="132"/>
        <v>0.68421052631578949</v>
      </c>
      <c r="T1720">
        <f t="shared" si="133"/>
        <v>1.1399999999999999</v>
      </c>
      <c r="U1720" t="str">
        <f t="shared" si="134"/>
        <v>Mar</v>
      </c>
    </row>
    <row r="1721" spans="1:21">
      <c r="A1721" s="2">
        <v>46070</v>
      </c>
      <c r="B1721" t="s">
        <v>4</v>
      </c>
      <c r="C1721" t="s">
        <v>31</v>
      </c>
      <c r="D1721" t="s">
        <v>7</v>
      </c>
      <c r="E1721" t="s">
        <v>37</v>
      </c>
      <c r="F1721" t="s">
        <v>45</v>
      </c>
      <c r="G1721">
        <v>41</v>
      </c>
      <c r="H1721">
        <v>58</v>
      </c>
      <c r="I1721">
        <v>23</v>
      </c>
      <c r="J1721">
        <v>36</v>
      </c>
      <c r="K1721">
        <v>188</v>
      </c>
      <c r="L1721">
        <v>127.85</v>
      </c>
      <c r="M1721">
        <v>2173.88</v>
      </c>
      <c r="N1721">
        <v>71536</v>
      </c>
      <c r="O1721">
        <v>1565.58</v>
      </c>
      <c r="P1721" s="1">
        <v>-0.27900000000000003</v>
      </c>
      <c r="Q1721">
        <f t="shared" si="130"/>
        <v>99</v>
      </c>
      <c r="R1721">
        <f t="shared" si="131"/>
        <v>94</v>
      </c>
      <c r="S1721" s="1">
        <f t="shared" si="132"/>
        <v>0.76767676767676762</v>
      </c>
      <c r="T1721">
        <f t="shared" si="133"/>
        <v>0.99</v>
      </c>
      <c r="U1721" t="str">
        <f t="shared" si="134"/>
        <v>Feb</v>
      </c>
    </row>
    <row r="1722" spans="1:21">
      <c r="A1722" s="2">
        <v>46073</v>
      </c>
      <c r="B1722" t="s">
        <v>4</v>
      </c>
      <c r="C1722" t="s">
        <v>36</v>
      </c>
      <c r="D1722" t="s">
        <v>11</v>
      </c>
      <c r="E1722" t="s">
        <v>41</v>
      </c>
      <c r="F1722" t="s">
        <v>33</v>
      </c>
      <c r="G1722">
        <v>56</v>
      </c>
      <c r="H1722">
        <v>58</v>
      </c>
      <c r="I1722">
        <v>28</v>
      </c>
      <c r="J1722">
        <v>150</v>
      </c>
      <c r="K1722">
        <v>211</v>
      </c>
      <c r="L1722">
        <v>122.57</v>
      </c>
      <c r="M1722">
        <v>1844.98</v>
      </c>
      <c r="N1722">
        <v>69811</v>
      </c>
      <c r="O1722">
        <v>1014.73</v>
      </c>
      <c r="P1722" s="1">
        <v>0.97</v>
      </c>
      <c r="Q1722">
        <f t="shared" si="130"/>
        <v>114</v>
      </c>
      <c r="R1722">
        <f t="shared" si="131"/>
        <v>208</v>
      </c>
      <c r="S1722" s="1">
        <f t="shared" si="132"/>
        <v>0.75438596491228072</v>
      </c>
      <c r="T1722">
        <f t="shared" si="133"/>
        <v>1.1399999999999999</v>
      </c>
      <c r="U1722" t="str">
        <f t="shared" si="134"/>
        <v>Feb</v>
      </c>
    </row>
    <row r="1723" spans="1:21">
      <c r="A1723" s="2">
        <v>46115</v>
      </c>
      <c r="B1723" t="s">
        <v>4</v>
      </c>
      <c r="C1723" t="s">
        <v>51</v>
      </c>
      <c r="D1723" t="s">
        <v>7</v>
      </c>
      <c r="E1723" t="s">
        <v>38</v>
      </c>
      <c r="F1723" t="s">
        <v>45</v>
      </c>
      <c r="G1723">
        <v>103</v>
      </c>
      <c r="H1723">
        <v>54</v>
      </c>
      <c r="I1723">
        <v>53</v>
      </c>
      <c r="J1723">
        <v>15</v>
      </c>
      <c r="K1723">
        <v>263</v>
      </c>
      <c r="L1723">
        <v>117.6</v>
      </c>
      <c r="M1723">
        <v>1937.23</v>
      </c>
      <c r="N1723">
        <v>74764</v>
      </c>
      <c r="O1723">
        <v>1136.08</v>
      </c>
      <c r="P1723" s="1">
        <v>-0.95699999999999996</v>
      </c>
      <c r="Q1723">
        <f t="shared" si="130"/>
        <v>157</v>
      </c>
      <c r="R1723">
        <f t="shared" si="131"/>
        <v>69</v>
      </c>
      <c r="S1723" s="1">
        <f t="shared" si="132"/>
        <v>0.66242038216560506</v>
      </c>
      <c r="T1723">
        <f t="shared" si="133"/>
        <v>1.57</v>
      </c>
      <c r="U1723" t="str">
        <f t="shared" si="134"/>
        <v>Apr</v>
      </c>
    </row>
    <row r="1724" spans="1:21">
      <c r="A1724" s="2">
        <v>46123</v>
      </c>
      <c r="B1724" t="s">
        <v>6</v>
      </c>
      <c r="C1724" t="s">
        <v>46</v>
      </c>
      <c r="D1724" t="s">
        <v>5</v>
      </c>
      <c r="E1724" t="s">
        <v>38</v>
      </c>
      <c r="F1724" t="s">
        <v>45</v>
      </c>
      <c r="G1724">
        <v>60</v>
      </c>
      <c r="H1724">
        <v>31</v>
      </c>
      <c r="I1724">
        <v>54</v>
      </c>
      <c r="J1724">
        <v>154</v>
      </c>
      <c r="K1724">
        <v>133</v>
      </c>
      <c r="L1724">
        <v>91.67</v>
      </c>
      <c r="M1724">
        <v>2388.92</v>
      </c>
      <c r="N1724">
        <v>74571</v>
      </c>
      <c r="O1724">
        <v>1535.04</v>
      </c>
      <c r="P1724" s="1">
        <v>-0.26500000000000001</v>
      </c>
      <c r="Q1724">
        <f t="shared" si="130"/>
        <v>91</v>
      </c>
      <c r="R1724">
        <f t="shared" si="131"/>
        <v>185</v>
      </c>
      <c r="S1724" s="1">
        <f t="shared" si="132"/>
        <v>0.40659340659340659</v>
      </c>
      <c r="T1724">
        <f t="shared" si="133"/>
        <v>0.91</v>
      </c>
      <c r="U1724" t="str">
        <f t="shared" si="134"/>
        <v>Apr</v>
      </c>
    </row>
    <row r="1725" spans="1:21">
      <c r="A1725" s="2">
        <v>46090</v>
      </c>
      <c r="B1725" t="s">
        <v>6</v>
      </c>
      <c r="C1725" t="s">
        <v>51</v>
      </c>
      <c r="D1725" t="s">
        <v>10</v>
      </c>
      <c r="E1725" t="s">
        <v>32</v>
      </c>
      <c r="F1725" t="s">
        <v>49</v>
      </c>
      <c r="G1725">
        <v>10</v>
      </c>
      <c r="H1725">
        <v>47</v>
      </c>
      <c r="I1725">
        <v>2</v>
      </c>
      <c r="J1725">
        <v>41</v>
      </c>
      <c r="K1725">
        <v>432</v>
      </c>
      <c r="L1725">
        <v>98.22</v>
      </c>
      <c r="M1725">
        <v>2150.4699999999998</v>
      </c>
      <c r="N1725">
        <v>67201</v>
      </c>
      <c r="O1725">
        <v>1599.74</v>
      </c>
      <c r="P1725" s="1">
        <v>0.497</v>
      </c>
      <c r="Q1725">
        <f t="shared" si="130"/>
        <v>57</v>
      </c>
      <c r="R1725">
        <f t="shared" si="131"/>
        <v>88</v>
      </c>
      <c r="S1725" s="1">
        <f t="shared" si="132"/>
        <v>0.96491228070175439</v>
      </c>
      <c r="T1725">
        <f t="shared" si="133"/>
        <v>0.56999999999999995</v>
      </c>
      <c r="U1725" t="str">
        <f t="shared" si="134"/>
        <v>Mar</v>
      </c>
    </row>
    <row r="1726" spans="1:21">
      <c r="A1726" s="2">
        <v>46097</v>
      </c>
      <c r="B1726" t="s">
        <v>6</v>
      </c>
      <c r="C1726" t="s">
        <v>31</v>
      </c>
      <c r="D1726" t="s">
        <v>5</v>
      </c>
      <c r="E1726" t="s">
        <v>35</v>
      </c>
      <c r="F1726" t="s">
        <v>39</v>
      </c>
      <c r="G1726">
        <v>54</v>
      </c>
      <c r="H1726">
        <v>46</v>
      </c>
      <c r="I1726">
        <v>52</v>
      </c>
      <c r="J1726">
        <v>77</v>
      </c>
      <c r="K1726">
        <v>188</v>
      </c>
      <c r="L1726">
        <v>135.11000000000001</v>
      </c>
      <c r="M1726">
        <v>1903.86</v>
      </c>
      <c r="N1726">
        <v>64051</v>
      </c>
      <c r="O1726">
        <v>1444.94</v>
      </c>
      <c r="P1726" s="1">
        <v>0.442</v>
      </c>
      <c r="Q1726">
        <f t="shared" si="130"/>
        <v>100</v>
      </c>
      <c r="R1726">
        <f t="shared" si="131"/>
        <v>123</v>
      </c>
      <c r="S1726" s="1">
        <f t="shared" si="132"/>
        <v>0.48</v>
      </c>
      <c r="T1726">
        <f t="shared" si="133"/>
        <v>1</v>
      </c>
      <c r="U1726" t="str">
        <f t="shared" si="134"/>
        <v>Mar</v>
      </c>
    </row>
    <row r="1727" spans="1:21">
      <c r="A1727" s="2">
        <v>46092</v>
      </c>
      <c r="B1727" t="s">
        <v>6</v>
      </c>
      <c r="C1727" t="s">
        <v>46</v>
      </c>
      <c r="D1727" t="s">
        <v>10</v>
      </c>
      <c r="E1727" t="s">
        <v>41</v>
      </c>
      <c r="F1727" t="s">
        <v>45</v>
      </c>
      <c r="G1727">
        <v>36</v>
      </c>
      <c r="H1727">
        <v>24</v>
      </c>
      <c r="I1727">
        <v>53</v>
      </c>
      <c r="J1727">
        <v>2</v>
      </c>
      <c r="K1727">
        <v>66</v>
      </c>
      <c r="L1727">
        <v>95.56</v>
      </c>
      <c r="M1727">
        <v>1866.2</v>
      </c>
      <c r="N1727">
        <v>66799</v>
      </c>
      <c r="O1727">
        <v>1740.45</v>
      </c>
      <c r="P1727" s="1">
        <v>-0.77200000000000002</v>
      </c>
      <c r="Q1727">
        <f t="shared" si="130"/>
        <v>60</v>
      </c>
      <c r="R1727">
        <f t="shared" si="131"/>
        <v>26</v>
      </c>
      <c r="S1727" s="1">
        <f t="shared" si="132"/>
        <v>0.11666666666666667</v>
      </c>
      <c r="T1727">
        <f t="shared" si="133"/>
        <v>0.6</v>
      </c>
      <c r="U1727" t="str">
        <f t="shared" si="134"/>
        <v>Mar</v>
      </c>
    </row>
    <row r="1728" spans="1:21">
      <c r="A1728" s="2">
        <v>46088</v>
      </c>
      <c r="B1728" t="s">
        <v>4</v>
      </c>
      <c r="C1728" t="s">
        <v>44</v>
      </c>
      <c r="D1728" t="s">
        <v>7</v>
      </c>
      <c r="E1728" t="s">
        <v>42</v>
      </c>
      <c r="F1728" t="s">
        <v>39</v>
      </c>
      <c r="G1728">
        <v>118</v>
      </c>
      <c r="H1728">
        <v>79</v>
      </c>
      <c r="I1728">
        <v>6</v>
      </c>
      <c r="J1728">
        <v>103</v>
      </c>
      <c r="K1728">
        <v>153</v>
      </c>
      <c r="L1728">
        <v>101.47</v>
      </c>
      <c r="M1728">
        <v>1988.5</v>
      </c>
      <c r="N1728">
        <v>68154</v>
      </c>
      <c r="O1728">
        <v>1193.27</v>
      </c>
      <c r="P1728" s="1">
        <v>-0.38</v>
      </c>
      <c r="Q1728">
        <f t="shared" si="130"/>
        <v>197</v>
      </c>
      <c r="R1728">
        <f t="shared" si="131"/>
        <v>182</v>
      </c>
      <c r="S1728" s="1">
        <f t="shared" si="132"/>
        <v>0.96954314720812185</v>
      </c>
      <c r="T1728">
        <f t="shared" si="133"/>
        <v>1.97</v>
      </c>
      <c r="U1728" t="str">
        <f t="shared" si="134"/>
        <v>Mar</v>
      </c>
    </row>
    <row r="1729" spans="1:21">
      <c r="A1729" s="2">
        <v>46088</v>
      </c>
      <c r="B1729" t="s">
        <v>4</v>
      </c>
      <c r="C1729" t="s">
        <v>51</v>
      </c>
      <c r="D1729" t="s">
        <v>5</v>
      </c>
      <c r="E1729" t="s">
        <v>38</v>
      </c>
      <c r="F1729" t="s">
        <v>49</v>
      </c>
      <c r="G1729">
        <v>62</v>
      </c>
      <c r="H1729">
        <v>13</v>
      </c>
      <c r="I1729">
        <v>69</v>
      </c>
      <c r="J1729">
        <v>150</v>
      </c>
      <c r="K1729">
        <v>373</v>
      </c>
      <c r="L1729">
        <v>108.13</v>
      </c>
      <c r="M1729">
        <v>1813.61</v>
      </c>
      <c r="N1729">
        <v>66500</v>
      </c>
      <c r="O1729">
        <v>1665.72</v>
      </c>
      <c r="P1729" s="1">
        <v>0.97499999999999998</v>
      </c>
      <c r="Q1729">
        <f t="shared" si="130"/>
        <v>75</v>
      </c>
      <c r="R1729">
        <f t="shared" si="131"/>
        <v>163</v>
      </c>
      <c r="S1729" s="1">
        <f t="shared" si="132"/>
        <v>0.08</v>
      </c>
      <c r="T1729">
        <f t="shared" si="133"/>
        <v>0.75</v>
      </c>
      <c r="U1729" t="str">
        <f t="shared" si="134"/>
        <v>Mar</v>
      </c>
    </row>
    <row r="1730" spans="1:21">
      <c r="A1730" s="2">
        <v>46116</v>
      </c>
      <c r="B1730" t="s">
        <v>4</v>
      </c>
      <c r="C1730" t="s">
        <v>43</v>
      </c>
      <c r="D1730" t="s">
        <v>9</v>
      </c>
      <c r="E1730" t="s">
        <v>47</v>
      </c>
      <c r="F1730" t="s">
        <v>39</v>
      </c>
      <c r="G1730">
        <v>89</v>
      </c>
      <c r="H1730">
        <v>59</v>
      </c>
      <c r="I1730">
        <v>15</v>
      </c>
      <c r="J1730">
        <v>24</v>
      </c>
      <c r="K1730">
        <v>185</v>
      </c>
      <c r="L1730">
        <v>105.3</v>
      </c>
      <c r="M1730">
        <v>2445.23</v>
      </c>
      <c r="N1730">
        <v>71329</v>
      </c>
      <c r="O1730">
        <v>1548.29</v>
      </c>
      <c r="P1730" s="1">
        <v>-0.26500000000000001</v>
      </c>
      <c r="Q1730">
        <f t="shared" si="130"/>
        <v>148</v>
      </c>
      <c r="R1730">
        <f t="shared" si="131"/>
        <v>83</v>
      </c>
      <c r="S1730" s="1">
        <f t="shared" si="132"/>
        <v>0.89864864864864868</v>
      </c>
      <c r="T1730">
        <f t="shared" si="133"/>
        <v>1.48</v>
      </c>
      <c r="U1730" t="str">
        <f t="shared" si="134"/>
        <v>Apr</v>
      </c>
    </row>
    <row r="1731" spans="1:21">
      <c r="A1731" s="2">
        <v>46086</v>
      </c>
      <c r="B1731" t="s">
        <v>6</v>
      </c>
      <c r="C1731" t="s">
        <v>50</v>
      </c>
      <c r="D1731" t="s">
        <v>5</v>
      </c>
      <c r="E1731" t="s">
        <v>32</v>
      </c>
      <c r="F1731" t="s">
        <v>45</v>
      </c>
      <c r="G1731">
        <v>61</v>
      </c>
      <c r="H1731">
        <v>25</v>
      </c>
      <c r="I1731">
        <v>6</v>
      </c>
      <c r="J1731">
        <v>103</v>
      </c>
      <c r="K1731">
        <v>10</v>
      </c>
      <c r="L1731">
        <v>84.7</v>
      </c>
      <c r="M1731">
        <v>2143.8200000000002</v>
      </c>
      <c r="N1731">
        <v>68771</v>
      </c>
      <c r="O1731">
        <v>1678.47</v>
      </c>
      <c r="P1731" s="1">
        <v>0.55500000000000005</v>
      </c>
      <c r="Q1731">
        <f t="shared" ref="Q1731:Q1794" si="135">G1731+H1731</f>
        <v>86</v>
      </c>
      <c r="R1731">
        <f t="shared" ref="R1731:R1794" si="136">J1731+H1731</f>
        <v>128</v>
      </c>
      <c r="S1731" s="1">
        <f t="shared" ref="S1731:S1794" si="137">(Q1731-I1731)/(Q1731)</f>
        <v>0.93023255813953487</v>
      </c>
      <c r="T1731">
        <f t="shared" ref="T1731:T1794" si="138">Q1731/100</f>
        <v>0.86</v>
      </c>
      <c r="U1731" t="str">
        <f t="shared" ref="U1731:U1794" si="139">TEXT(A1731,"mmm")</f>
        <v>Mar</v>
      </c>
    </row>
    <row r="1732" spans="1:21">
      <c r="A1732" s="2">
        <v>46069</v>
      </c>
      <c r="B1732" t="s">
        <v>6</v>
      </c>
      <c r="C1732" t="s">
        <v>36</v>
      </c>
      <c r="D1732" t="s">
        <v>10</v>
      </c>
      <c r="E1732" t="s">
        <v>41</v>
      </c>
      <c r="F1732" t="s">
        <v>39</v>
      </c>
      <c r="G1732">
        <v>57</v>
      </c>
      <c r="H1732">
        <v>26</v>
      </c>
      <c r="I1732">
        <v>80</v>
      </c>
      <c r="J1732">
        <v>38</v>
      </c>
      <c r="K1732">
        <v>194</v>
      </c>
      <c r="L1732">
        <v>106.48</v>
      </c>
      <c r="M1732">
        <v>2413.41</v>
      </c>
      <c r="N1732">
        <v>71784</v>
      </c>
      <c r="O1732">
        <v>1198.43</v>
      </c>
      <c r="P1732" s="1">
        <v>-0.90600000000000003</v>
      </c>
      <c r="Q1732">
        <f t="shared" si="135"/>
        <v>83</v>
      </c>
      <c r="R1732">
        <f t="shared" si="136"/>
        <v>64</v>
      </c>
      <c r="S1732" s="1">
        <f t="shared" si="137"/>
        <v>3.614457831325301E-2</v>
      </c>
      <c r="T1732">
        <f t="shared" si="138"/>
        <v>0.83</v>
      </c>
      <c r="U1732" t="str">
        <f t="shared" si="139"/>
        <v>Feb</v>
      </c>
    </row>
    <row r="1733" spans="1:21">
      <c r="A1733" s="2">
        <v>46082</v>
      </c>
      <c r="B1733" t="s">
        <v>4</v>
      </c>
      <c r="C1733" t="s">
        <v>48</v>
      </c>
      <c r="D1733" t="s">
        <v>11</v>
      </c>
      <c r="E1733" t="s">
        <v>47</v>
      </c>
      <c r="F1733" t="s">
        <v>49</v>
      </c>
      <c r="G1733">
        <v>64</v>
      </c>
      <c r="H1733">
        <v>20</v>
      </c>
      <c r="I1733">
        <v>11</v>
      </c>
      <c r="J1733">
        <v>7</v>
      </c>
      <c r="K1733">
        <v>109</v>
      </c>
      <c r="L1733">
        <v>109.39</v>
      </c>
      <c r="M1733">
        <v>2061.0700000000002</v>
      </c>
      <c r="N1733">
        <v>66873</v>
      </c>
      <c r="O1733">
        <v>1307.1199999999999</v>
      </c>
      <c r="P1733" s="1">
        <v>0.78300000000000003</v>
      </c>
      <c r="Q1733">
        <f t="shared" si="135"/>
        <v>84</v>
      </c>
      <c r="R1733">
        <f t="shared" si="136"/>
        <v>27</v>
      </c>
      <c r="S1733" s="1">
        <f t="shared" si="137"/>
        <v>0.86904761904761907</v>
      </c>
      <c r="T1733">
        <f t="shared" si="138"/>
        <v>0.84</v>
      </c>
      <c r="U1733" t="str">
        <f t="shared" si="139"/>
        <v>Mar</v>
      </c>
    </row>
    <row r="1734" spans="1:21">
      <c r="A1734" s="2">
        <v>46126</v>
      </c>
      <c r="B1734" t="s">
        <v>4</v>
      </c>
      <c r="C1734" t="s">
        <v>51</v>
      </c>
      <c r="D1734" t="s">
        <v>9</v>
      </c>
      <c r="E1734" t="s">
        <v>47</v>
      </c>
      <c r="F1734" t="s">
        <v>39</v>
      </c>
      <c r="G1734">
        <v>45</v>
      </c>
      <c r="H1734">
        <v>34</v>
      </c>
      <c r="I1734">
        <v>24</v>
      </c>
      <c r="J1734">
        <v>156</v>
      </c>
      <c r="K1734">
        <v>388</v>
      </c>
      <c r="L1734">
        <v>121.74</v>
      </c>
      <c r="M1734">
        <v>2026.65</v>
      </c>
      <c r="N1734">
        <v>71805</v>
      </c>
      <c r="O1734">
        <v>1008.63</v>
      </c>
      <c r="P1734" s="1">
        <v>-0.20399999999999999</v>
      </c>
      <c r="Q1734">
        <f t="shared" si="135"/>
        <v>79</v>
      </c>
      <c r="R1734">
        <f t="shared" si="136"/>
        <v>190</v>
      </c>
      <c r="S1734" s="1">
        <f t="shared" si="137"/>
        <v>0.69620253164556967</v>
      </c>
      <c r="T1734">
        <f t="shared" si="138"/>
        <v>0.79</v>
      </c>
      <c r="U1734" t="str">
        <f t="shared" si="139"/>
        <v>Apr</v>
      </c>
    </row>
    <row r="1735" spans="1:21">
      <c r="A1735" s="2">
        <v>46127</v>
      </c>
      <c r="B1735" t="s">
        <v>6</v>
      </c>
      <c r="C1735" t="s">
        <v>44</v>
      </c>
      <c r="D1735" t="s">
        <v>9</v>
      </c>
      <c r="E1735" t="s">
        <v>42</v>
      </c>
      <c r="F1735" t="s">
        <v>39</v>
      </c>
      <c r="G1735">
        <v>112</v>
      </c>
      <c r="H1735">
        <v>35</v>
      </c>
      <c r="I1735">
        <v>42</v>
      </c>
      <c r="J1735">
        <v>14</v>
      </c>
      <c r="K1735">
        <v>286</v>
      </c>
      <c r="L1735">
        <v>128.88999999999999</v>
      </c>
      <c r="M1735">
        <v>2312.3000000000002</v>
      </c>
      <c r="N1735">
        <v>73122</v>
      </c>
      <c r="O1735">
        <v>1094.6099999999999</v>
      </c>
      <c r="P1735" s="1">
        <v>-0.754</v>
      </c>
      <c r="Q1735">
        <f t="shared" si="135"/>
        <v>147</v>
      </c>
      <c r="R1735">
        <f t="shared" si="136"/>
        <v>49</v>
      </c>
      <c r="S1735" s="1">
        <f t="shared" si="137"/>
        <v>0.7142857142857143</v>
      </c>
      <c r="T1735">
        <f t="shared" si="138"/>
        <v>1.47</v>
      </c>
      <c r="U1735" t="str">
        <f t="shared" si="139"/>
        <v>Apr</v>
      </c>
    </row>
    <row r="1736" spans="1:21">
      <c r="A1736" s="2">
        <v>46092</v>
      </c>
      <c r="B1736" t="s">
        <v>4</v>
      </c>
      <c r="C1736" t="s">
        <v>40</v>
      </c>
      <c r="D1736" t="s">
        <v>5</v>
      </c>
      <c r="E1736" t="s">
        <v>41</v>
      </c>
      <c r="F1736" t="s">
        <v>33</v>
      </c>
      <c r="G1736">
        <v>88</v>
      </c>
      <c r="H1736">
        <v>16</v>
      </c>
      <c r="I1736">
        <v>72</v>
      </c>
      <c r="J1736">
        <v>54</v>
      </c>
      <c r="K1736">
        <v>202</v>
      </c>
      <c r="L1736">
        <v>116.74</v>
      </c>
      <c r="M1736">
        <v>2104.46</v>
      </c>
      <c r="N1736">
        <v>70185</v>
      </c>
      <c r="O1736">
        <v>1567.85</v>
      </c>
      <c r="P1736" s="1">
        <v>0.151</v>
      </c>
      <c r="Q1736">
        <f t="shared" si="135"/>
        <v>104</v>
      </c>
      <c r="R1736">
        <f t="shared" si="136"/>
        <v>70</v>
      </c>
      <c r="S1736" s="1">
        <f t="shared" si="137"/>
        <v>0.30769230769230771</v>
      </c>
      <c r="T1736">
        <f t="shared" si="138"/>
        <v>1.04</v>
      </c>
      <c r="U1736" t="str">
        <f t="shared" si="139"/>
        <v>Mar</v>
      </c>
    </row>
    <row r="1737" spans="1:21">
      <c r="A1737" s="2">
        <v>46073</v>
      </c>
      <c r="B1737" t="s">
        <v>6</v>
      </c>
      <c r="C1737" t="s">
        <v>51</v>
      </c>
      <c r="D1737" t="s">
        <v>10</v>
      </c>
      <c r="E1737" t="s">
        <v>41</v>
      </c>
      <c r="F1737" t="s">
        <v>45</v>
      </c>
      <c r="G1737">
        <v>54</v>
      </c>
      <c r="H1737">
        <v>78</v>
      </c>
      <c r="I1737">
        <v>39</v>
      </c>
      <c r="J1737">
        <v>100</v>
      </c>
      <c r="K1737">
        <v>296</v>
      </c>
      <c r="L1737">
        <v>99.69</v>
      </c>
      <c r="M1737">
        <v>2317.94</v>
      </c>
      <c r="N1737">
        <v>75566</v>
      </c>
      <c r="O1737">
        <v>1382.11</v>
      </c>
      <c r="P1737" s="1">
        <v>-0.34399999999999997</v>
      </c>
      <c r="Q1737">
        <f t="shared" si="135"/>
        <v>132</v>
      </c>
      <c r="R1737">
        <f t="shared" si="136"/>
        <v>178</v>
      </c>
      <c r="S1737" s="1">
        <f t="shared" si="137"/>
        <v>0.70454545454545459</v>
      </c>
      <c r="T1737">
        <f t="shared" si="138"/>
        <v>1.32</v>
      </c>
      <c r="U1737" t="str">
        <f t="shared" si="139"/>
        <v>Feb</v>
      </c>
    </row>
    <row r="1738" spans="1:21">
      <c r="A1738" s="2">
        <v>46109</v>
      </c>
      <c r="B1738" t="s">
        <v>6</v>
      </c>
      <c r="C1738" t="s">
        <v>31</v>
      </c>
      <c r="D1738" t="s">
        <v>5</v>
      </c>
      <c r="E1738" t="s">
        <v>35</v>
      </c>
      <c r="F1738" t="s">
        <v>39</v>
      </c>
      <c r="G1738">
        <v>22</v>
      </c>
      <c r="H1738">
        <v>3</v>
      </c>
      <c r="I1738">
        <v>84</v>
      </c>
      <c r="J1738">
        <v>81</v>
      </c>
      <c r="K1738">
        <v>409</v>
      </c>
      <c r="L1738">
        <v>133.16999999999999</v>
      </c>
      <c r="M1738">
        <v>2224.77</v>
      </c>
      <c r="N1738">
        <v>75309</v>
      </c>
      <c r="O1738">
        <v>1140.06</v>
      </c>
      <c r="P1738" s="1">
        <v>-0.82299999999999995</v>
      </c>
      <c r="Q1738">
        <f t="shared" si="135"/>
        <v>25</v>
      </c>
      <c r="R1738">
        <f t="shared" si="136"/>
        <v>84</v>
      </c>
      <c r="S1738" s="1">
        <f t="shared" si="137"/>
        <v>-2.36</v>
      </c>
      <c r="T1738">
        <f t="shared" si="138"/>
        <v>0.25</v>
      </c>
      <c r="U1738" t="str">
        <f t="shared" si="139"/>
        <v>Mar</v>
      </c>
    </row>
    <row r="1739" spans="1:21">
      <c r="A1739" s="2">
        <v>46100</v>
      </c>
      <c r="B1739" t="s">
        <v>4</v>
      </c>
      <c r="C1739" t="s">
        <v>36</v>
      </c>
      <c r="D1739" t="s">
        <v>9</v>
      </c>
      <c r="E1739" t="s">
        <v>37</v>
      </c>
      <c r="F1739" t="s">
        <v>33</v>
      </c>
      <c r="G1739">
        <v>78</v>
      </c>
      <c r="H1739">
        <v>2</v>
      </c>
      <c r="I1739">
        <v>75</v>
      </c>
      <c r="J1739">
        <v>45</v>
      </c>
      <c r="K1739">
        <v>42</v>
      </c>
      <c r="L1739">
        <v>87.35</v>
      </c>
      <c r="M1739">
        <v>2475.23</v>
      </c>
      <c r="N1739">
        <v>70544</v>
      </c>
      <c r="O1739">
        <v>940.61</v>
      </c>
      <c r="P1739" s="1">
        <v>-0.218</v>
      </c>
      <c r="Q1739">
        <f t="shared" si="135"/>
        <v>80</v>
      </c>
      <c r="R1739">
        <f t="shared" si="136"/>
        <v>47</v>
      </c>
      <c r="S1739" s="1">
        <f t="shared" si="137"/>
        <v>6.25E-2</v>
      </c>
      <c r="T1739">
        <f t="shared" si="138"/>
        <v>0.8</v>
      </c>
      <c r="U1739" t="str">
        <f t="shared" si="139"/>
        <v>Mar</v>
      </c>
    </row>
    <row r="1740" spans="1:21">
      <c r="A1740" s="2">
        <v>46072</v>
      </c>
      <c r="B1740" t="s">
        <v>4</v>
      </c>
      <c r="C1740" t="s">
        <v>43</v>
      </c>
      <c r="D1740" t="s">
        <v>9</v>
      </c>
      <c r="E1740" t="s">
        <v>42</v>
      </c>
      <c r="F1740" t="s">
        <v>33</v>
      </c>
      <c r="G1740">
        <v>85</v>
      </c>
      <c r="H1740">
        <v>68</v>
      </c>
      <c r="I1740">
        <v>55</v>
      </c>
      <c r="J1740">
        <v>84</v>
      </c>
      <c r="K1740">
        <v>326</v>
      </c>
      <c r="L1740">
        <v>129.37</v>
      </c>
      <c r="M1740">
        <v>1899.87</v>
      </c>
      <c r="N1740">
        <v>66744</v>
      </c>
      <c r="O1740">
        <v>965.5</v>
      </c>
      <c r="P1740" s="1">
        <v>0.70299999999999996</v>
      </c>
      <c r="Q1740">
        <f t="shared" si="135"/>
        <v>153</v>
      </c>
      <c r="R1740">
        <f t="shared" si="136"/>
        <v>152</v>
      </c>
      <c r="S1740" s="1">
        <f t="shared" si="137"/>
        <v>0.64052287581699341</v>
      </c>
      <c r="T1740">
        <f t="shared" si="138"/>
        <v>1.53</v>
      </c>
      <c r="U1740" t="str">
        <f t="shared" si="139"/>
        <v>Feb</v>
      </c>
    </row>
    <row r="1741" spans="1:21">
      <c r="A1741" s="2">
        <v>46088</v>
      </c>
      <c r="B1741" t="s">
        <v>4</v>
      </c>
      <c r="C1741" t="s">
        <v>44</v>
      </c>
      <c r="D1741" t="s">
        <v>7</v>
      </c>
      <c r="E1741" t="s">
        <v>38</v>
      </c>
      <c r="F1741" t="s">
        <v>49</v>
      </c>
      <c r="G1741">
        <v>39</v>
      </c>
      <c r="H1741">
        <v>22</v>
      </c>
      <c r="I1741">
        <v>72</v>
      </c>
      <c r="J1741">
        <v>76</v>
      </c>
      <c r="K1741">
        <v>171</v>
      </c>
      <c r="L1741">
        <v>114.92</v>
      </c>
      <c r="M1741">
        <v>1845.36</v>
      </c>
      <c r="N1741">
        <v>67727</v>
      </c>
      <c r="O1741">
        <v>932.31</v>
      </c>
      <c r="P1741" s="1">
        <v>-0.622</v>
      </c>
      <c r="Q1741">
        <f t="shared" si="135"/>
        <v>61</v>
      </c>
      <c r="R1741">
        <f t="shared" si="136"/>
        <v>98</v>
      </c>
      <c r="S1741" s="1">
        <f t="shared" si="137"/>
        <v>-0.18032786885245902</v>
      </c>
      <c r="T1741">
        <f t="shared" si="138"/>
        <v>0.61</v>
      </c>
      <c r="U1741" t="str">
        <f t="shared" si="139"/>
        <v>Mar</v>
      </c>
    </row>
    <row r="1742" spans="1:21">
      <c r="A1742" s="2">
        <v>46099</v>
      </c>
      <c r="B1742" t="s">
        <v>4</v>
      </c>
      <c r="C1742" t="s">
        <v>40</v>
      </c>
      <c r="D1742" t="s">
        <v>9</v>
      </c>
      <c r="E1742" t="s">
        <v>47</v>
      </c>
      <c r="F1742" t="s">
        <v>49</v>
      </c>
      <c r="G1742">
        <v>63</v>
      </c>
      <c r="H1742">
        <v>26</v>
      </c>
      <c r="I1742">
        <v>79</v>
      </c>
      <c r="J1742">
        <v>104</v>
      </c>
      <c r="K1742">
        <v>439</v>
      </c>
      <c r="L1742">
        <v>80.67</v>
      </c>
      <c r="M1742">
        <v>2075.46</v>
      </c>
      <c r="N1742">
        <v>72413</v>
      </c>
      <c r="O1742">
        <v>1542.01</v>
      </c>
      <c r="P1742" s="1">
        <v>-0.72299999999999998</v>
      </c>
      <c r="Q1742">
        <f t="shared" si="135"/>
        <v>89</v>
      </c>
      <c r="R1742">
        <f t="shared" si="136"/>
        <v>130</v>
      </c>
      <c r="S1742" s="1">
        <f t="shared" si="137"/>
        <v>0.11235955056179775</v>
      </c>
      <c r="T1742">
        <f t="shared" si="138"/>
        <v>0.89</v>
      </c>
      <c r="U1742" t="str">
        <f t="shared" si="139"/>
        <v>Mar</v>
      </c>
    </row>
    <row r="1743" spans="1:21">
      <c r="A1743" s="2">
        <v>46116</v>
      </c>
      <c r="B1743" t="s">
        <v>6</v>
      </c>
      <c r="C1743" t="s">
        <v>43</v>
      </c>
      <c r="D1743" t="s">
        <v>7</v>
      </c>
      <c r="E1743" t="s">
        <v>47</v>
      </c>
      <c r="F1743" t="s">
        <v>45</v>
      </c>
      <c r="G1743">
        <v>101</v>
      </c>
      <c r="H1743">
        <v>39</v>
      </c>
      <c r="I1743">
        <v>44</v>
      </c>
      <c r="J1743">
        <v>151</v>
      </c>
      <c r="K1743">
        <v>323</v>
      </c>
      <c r="L1743">
        <v>97.84</v>
      </c>
      <c r="M1743">
        <v>2080.11</v>
      </c>
      <c r="N1743">
        <v>71243</v>
      </c>
      <c r="O1743">
        <v>1141.1400000000001</v>
      </c>
      <c r="P1743" s="1">
        <v>0.45</v>
      </c>
      <c r="Q1743">
        <f t="shared" si="135"/>
        <v>140</v>
      </c>
      <c r="R1743">
        <f t="shared" si="136"/>
        <v>190</v>
      </c>
      <c r="S1743" s="1">
        <f t="shared" si="137"/>
        <v>0.68571428571428572</v>
      </c>
      <c r="T1743">
        <f t="shared" si="138"/>
        <v>1.4</v>
      </c>
      <c r="U1743" t="str">
        <f t="shared" si="139"/>
        <v>Apr</v>
      </c>
    </row>
    <row r="1744" spans="1:21">
      <c r="A1744" s="2">
        <v>46112</v>
      </c>
      <c r="B1744" t="s">
        <v>6</v>
      </c>
      <c r="C1744" t="s">
        <v>40</v>
      </c>
      <c r="D1744" t="s">
        <v>5</v>
      </c>
      <c r="E1744" t="s">
        <v>32</v>
      </c>
      <c r="F1744" t="s">
        <v>45</v>
      </c>
      <c r="G1744">
        <v>82</v>
      </c>
      <c r="H1744">
        <v>32</v>
      </c>
      <c r="I1744">
        <v>72</v>
      </c>
      <c r="J1744">
        <v>117</v>
      </c>
      <c r="K1744">
        <v>259</v>
      </c>
      <c r="L1744">
        <v>99.66</v>
      </c>
      <c r="M1744">
        <v>2167.1</v>
      </c>
      <c r="N1744">
        <v>67305</v>
      </c>
      <c r="O1744">
        <v>1597.1</v>
      </c>
      <c r="P1744" s="1">
        <v>-0.252</v>
      </c>
      <c r="Q1744">
        <f t="shared" si="135"/>
        <v>114</v>
      </c>
      <c r="R1744">
        <f t="shared" si="136"/>
        <v>149</v>
      </c>
      <c r="S1744" s="1">
        <f t="shared" si="137"/>
        <v>0.36842105263157893</v>
      </c>
      <c r="T1744">
        <f t="shared" si="138"/>
        <v>1.1399999999999999</v>
      </c>
      <c r="U1744" t="str">
        <f t="shared" si="139"/>
        <v>Mar</v>
      </c>
    </row>
    <row r="1745" spans="1:21">
      <c r="A1745" s="2">
        <v>46114</v>
      </c>
      <c r="B1745" t="s">
        <v>4</v>
      </c>
      <c r="C1745" t="s">
        <v>31</v>
      </c>
      <c r="D1745" t="s">
        <v>9</v>
      </c>
      <c r="E1745" t="s">
        <v>32</v>
      </c>
      <c r="F1745" t="s">
        <v>39</v>
      </c>
      <c r="G1745">
        <v>12</v>
      </c>
      <c r="H1745">
        <v>40</v>
      </c>
      <c r="I1745">
        <v>19</v>
      </c>
      <c r="J1745">
        <v>73</v>
      </c>
      <c r="K1745">
        <v>57</v>
      </c>
      <c r="L1745">
        <v>90.7</v>
      </c>
      <c r="M1745">
        <v>1967.49</v>
      </c>
      <c r="N1745">
        <v>64270</v>
      </c>
      <c r="O1745">
        <v>1680.49</v>
      </c>
      <c r="P1745" s="1">
        <v>-0.59099999999999997</v>
      </c>
      <c r="Q1745">
        <f t="shared" si="135"/>
        <v>52</v>
      </c>
      <c r="R1745">
        <f t="shared" si="136"/>
        <v>113</v>
      </c>
      <c r="S1745" s="1">
        <f t="shared" si="137"/>
        <v>0.63461538461538458</v>
      </c>
      <c r="T1745">
        <f t="shared" si="138"/>
        <v>0.52</v>
      </c>
      <c r="U1745" t="str">
        <f t="shared" si="139"/>
        <v>Apr</v>
      </c>
    </row>
    <row r="1746" spans="1:21">
      <c r="A1746" s="2">
        <v>46100</v>
      </c>
      <c r="B1746" t="s">
        <v>4</v>
      </c>
      <c r="C1746" t="s">
        <v>40</v>
      </c>
      <c r="D1746" t="s">
        <v>11</v>
      </c>
      <c r="E1746" t="s">
        <v>47</v>
      </c>
      <c r="F1746" t="s">
        <v>33</v>
      </c>
      <c r="G1746">
        <v>86</v>
      </c>
      <c r="H1746">
        <v>4</v>
      </c>
      <c r="I1746">
        <v>11</v>
      </c>
      <c r="J1746">
        <v>7</v>
      </c>
      <c r="K1746">
        <v>208</v>
      </c>
      <c r="L1746">
        <v>82.6</v>
      </c>
      <c r="M1746">
        <v>2420.9699999999998</v>
      </c>
      <c r="N1746">
        <v>74737</v>
      </c>
      <c r="O1746">
        <v>1643.48</v>
      </c>
      <c r="P1746" s="1">
        <v>-0.41699999999999998</v>
      </c>
      <c r="Q1746">
        <f t="shared" si="135"/>
        <v>90</v>
      </c>
      <c r="R1746">
        <f t="shared" si="136"/>
        <v>11</v>
      </c>
      <c r="S1746" s="1">
        <f t="shared" si="137"/>
        <v>0.87777777777777777</v>
      </c>
      <c r="T1746">
        <f t="shared" si="138"/>
        <v>0.9</v>
      </c>
      <c r="U1746" t="str">
        <f t="shared" si="139"/>
        <v>Mar</v>
      </c>
    </row>
    <row r="1747" spans="1:21">
      <c r="A1747" s="2">
        <v>46097</v>
      </c>
      <c r="B1747" t="s">
        <v>6</v>
      </c>
      <c r="C1747" t="s">
        <v>34</v>
      </c>
      <c r="D1747" t="s">
        <v>10</v>
      </c>
      <c r="E1747" t="s">
        <v>38</v>
      </c>
      <c r="F1747" t="s">
        <v>39</v>
      </c>
      <c r="G1747">
        <v>38</v>
      </c>
      <c r="H1747">
        <v>13</v>
      </c>
      <c r="I1747">
        <v>12</v>
      </c>
      <c r="J1747">
        <v>159</v>
      </c>
      <c r="K1747">
        <v>59</v>
      </c>
      <c r="L1747">
        <v>105.9</v>
      </c>
      <c r="M1747">
        <v>1912.76</v>
      </c>
      <c r="N1747">
        <v>72183</v>
      </c>
      <c r="O1747">
        <v>1466.68</v>
      </c>
      <c r="P1747" s="1">
        <v>0.99299999999999999</v>
      </c>
      <c r="Q1747">
        <f t="shared" si="135"/>
        <v>51</v>
      </c>
      <c r="R1747">
        <f t="shared" si="136"/>
        <v>172</v>
      </c>
      <c r="S1747" s="1">
        <f t="shared" si="137"/>
        <v>0.76470588235294112</v>
      </c>
      <c r="T1747">
        <f t="shared" si="138"/>
        <v>0.51</v>
      </c>
      <c r="U1747" t="str">
        <f t="shared" si="139"/>
        <v>Mar</v>
      </c>
    </row>
    <row r="1748" spans="1:21">
      <c r="A1748" s="2">
        <v>46078</v>
      </c>
      <c r="B1748" t="s">
        <v>4</v>
      </c>
      <c r="C1748" t="s">
        <v>51</v>
      </c>
      <c r="D1748" t="s">
        <v>11</v>
      </c>
      <c r="E1748" t="s">
        <v>35</v>
      </c>
      <c r="F1748" t="s">
        <v>39</v>
      </c>
      <c r="G1748">
        <v>33</v>
      </c>
      <c r="H1748">
        <v>12</v>
      </c>
      <c r="I1748">
        <v>88</v>
      </c>
      <c r="J1748">
        <v>135</v>
      </c>
      <c r="K1748">
        <v>233</v>
      </c>
      <c r="L1748">
        <v>102.23</v>
      </c>
      <c r="M1748">
        <v>2168.56</v>
      </c>
      <c r="N1748">
        <v>71335</v>
      </c>
      <c r="O1748">
        <v>1058.8599999999999</v>
      </c>
      <c r="P1748" s="1">
        <v>0.82399999999999995</v>
      </c>
      <c r="Q1748">
        <f t="shared" si="135"/>
        <v>45</v>
      </c>
      <c r="R1748">
        <f t="shared" si="136"/>
        <v>147</v>
      </c>
      <c r="S1748" s="1">
        <f t="shared" si="137"/>
        <v>-0.9555555555555556</v>
      </c>
      <c r="T1748">
        <f t="shared" si="138"/>
        <v>0.45</v>
      </c>
      <c r="U1748" t="str">
        <f t="shared" si="139"/>
        <v>Feb</v>
      </c>
    </row>
    <row r="1749" spans="1:21">
      <c r="A1749" s="2">
        <v>46127</v>
      </c>
      <c r="B1749" t="s">
        <v>4</v>
      </c>
      <c r="C1749" t="s">
        <v>44</v>
      </c>
      <c r="D1749" t="s">
        <v>9</v>
      </c>
      <c r="E1749" t="s">
        <v>35</v>
      </c>
      <c r="F1749" t="s">
        <v>45</v>
      </c>
      <c r="G1749">
        <v>18</v>
      </c>
      <c r="H1749">
        <v>28</v>
      </c>
      <c r="I1749">
        <v>37</v>
      </c>
      <c r="J1749">
        <v>76</v>
      </c>
      <c r="K1749">
        <v>292</v>
      </c>
      <c r="L1749">
        <v>125.58</v>
      </c>
      <c r="M1749">
        <v>1907.24</v>
      </c>
      <c r="N1749">
        <v>75177</v>
      </c>
      <c r="O1749">
        <v>1226.07</v>
      </c>
      <c r="P1749" s="1">
        <v>-0.255</v>
      </c>
      <c r="Q1749">
        <f t="shared" si="135"/>
        <v>46</v>
      </c>
      <c r="R1749">
        <f t="shared" si="136"/>
        <v>104</v>
      </c>
      <c r="S1749" s="1">
        <f t="shared" si="137"/>
        <v>0.19565217391304349</v>
      </c>
      <c r="T1749">
        <f t="shared" si="138"/>
        <v>0.46</v>
      </c>
      <c r="U1749" t="str">
        <f t="shared" si="139"/>
        <v>Apr</v>
      </c>
    </row>
    <row r="1750" spans="1:21">
      <c r="A1750" s="2">
        <v>46117</v>
      </c>
      <c r="B1750" t="s">
        <v>4</v>
      </c>
      <c r="C1750" t="s">
        <v>46</v>
      </c>
      <c r="D1750" t="s">
        <v>9</v>
      </c>
      <c r="E1750" t="s">
        <v>41</v>
      </c>
      <c r="F1750" t="s">
        <v>45</v>
      </c>
      <c r="G1750">
        <v>50</v>
      </c>
      <c r="H1750">
        <v>50</v>
      </c>
      <c r="I1750">
        <v>83</v>
      </c>
      <c r="J1750">
        <v>32</v>
      </c>
      <c r="K1750">
        <v>312</v>
      </c>
      <c r="L1750">
        <v>88.76</v>
      </c>
      <c r="M1750">
        <v>2104.4299999999998</v>
      </c>
      <c r="N1750">
        <v>69070</v>
      </c>
      <c r="O1750">
        <v>1238.9000000000001</v>
      </c>
      <c r="P1750" s="1">
        <v>0.64200000000000002</v>
      </c>
      <c r="Q1750">
        <f t="shared" si="135"/>
        <v>100</v>
      </c>
      <c r="R1750">
        <f t="shared" si="136"/>
        <v>82</v>
      </c>
      <c r="S1750" s="1">
        <f t="shared" si="137"/>
        <v>0.17</v>
      </c>
      <c r="T1750">
        <f t="shared" si="138"/>
        <v>1</v>
      </c>
      <c r="U1750" t="str">
        <f t="shared" si="139"/>
        <v>Apr</v>
      </c>
    </row>
    <row r="1751" spans="1:21">
      <c r="A1751" s="2">
        <v>46118</v>
      </c>
      <c r="B1751" t="s">
        <v>4</v>
      </c>
      <c r="C1751" t="s">
        <v>31</v>
      </c>
      <c r="D1751" t="s">
        <v>7</v>
      </c>
      <c r="E1751" t="s">
        <v>47</v>
      </c>
      <c r="F1751" t="s">
        <v>33</v>
      </c>
      <c r="G1751">
        <v>37</v>
      </c>
      <c r="H1751">
        <v>3</v>
      </c>
      <c r="I1751">
        <v>58</v>
      </c>
      <c r="J1751">
        <v>77</v>
      </c>
      <c r="K1751">
        <v>258</v>
      </c>
      <c r="L1751">
        <v>139.11000000000001</v>
      </c>
      <c r="M1751">
        <v>2041.38</v>
      </c>
      <c r="N1751">
        <v>68050</v>
      </c>
      <c r="O1751">
        <v>1343.52</v>
      </c>
      <c r="P1751" s="1">
        <v>-0.83</v>
      </c>
      <c r="Q1751">
        <f t="shared" si="135"/>
        <v>40</v>
      </c>
      <c r="R1751">
        <f t="shared" si="136"/>
        <v>80</v>
      </c>
      <c r="S1751" s="1">
        <f t="shared" si="137"/>
        <v>-0.45</v>
      </c>
      <c r="T1751">
        <f t="shared" si="138"/>
        <v>0.4</v>
      </c>
      <c r="U1751" t="str">
        <f t="shared" si="139"/>
        <v>Apr</v>
      </c>
    </row>
    <row r="1752" spans="1:21">
      <c r="A1752" s="2">
        <v>46120</v>
      </c>
      <c r="B1752" t="s">
        <v>6</v>
      </c>
      <c r="C1752" t="s">
        <v>44</v>
      </c>
      <c r="D1752" t="s">
        <v>9</v>
      </c>
      <c r="E1752" t="s">
        <v>32</v>
      </c>
      <c r="F1752" t="s">
        <v>45</v>
      </c>
      <c r="G1752">
        <v>31</v>
      </c>
      <c r="H1752">
        <v>72</v>
      </c>
      <c r="I1752">
        <v>28</v>
      </c>
      <c r="J1752">
        <v>104</v>
      </c>
      <c r="K1752">
        <v>156</v>
      </c>
      <c r="L1752">
        <v>86.72</v>
      </c>
      <c r="M1752">
        <v>2075.3000000000002</v>
      </c>
      <c r="N1752">
        <v>72003</v>
      </c>
      <c r="O1752">
        <v>1738.43</v>
      </c>
      <c r="P1752" s="1">
        <v>0.86399999999999999</v>
      </c>
      <c r="Q1752">
        <f t="shared" si="135"/>
        <v>103</v>
      </c>
      <c r="R1752">
        <f t="shared" si="136"/>
        <v>176</v>
      </c>
      <c r="S1752" s="1">
        <f t="shared" si="137"/>
        <v>0.72815533980582525</v>
      </c>
      <c r="T1752">
        <f t="shared" si="138"/>
        <v>1.03</v>
      </c>
      <c r="U1752" t="str">
        <f t="shared" si="139"/>
        <v>Apr</v>
      </c>
    </row>
    <row r="1753" spans="1:21">
      <c r="A1753" s="2">
        <v>46123</v>
      </c>
      <c r="B1753" t="s">
        <v>6</v>
      </c>
      <c r="C1753" t="s">
        <v>34</v>
      </c>
      <c r="D1753" t="s">
        <v>7</v>
      </c>
      <c r="E1753" t="s">
        <v>41</v>
      </c>
      <c r="F1753" t="s">
        <v>45</v>
      </c>
      <c r="G1753">
        <v>86</v>
      </c>
      <c r="H1753">
        <v>58</v>
      </c>
      <c r="I1753">
        <v>43</v>
      </c>
      <c r="J1753">
        <v>71</v>
      </c>
      <c r="K1753">
        <v>154</v>
      </c>
      <c r="L1753">
        <v>134.05000000000001</v>
      </c>
      <c r="M1753">
        <v>2070.9699999999998</v>
      </c>
      <c r="N1753">
        <v>74004</v>
      </c>
      <c r="O1753">
        <v>1755.29</v>
      </c>
      <c r="P1753" s="1">
        <v>-0.34200000000000003</v>
      </c>
      <c r="Q1753">
        <f t="shared" si="135"/>
        <v>144</v>
      </c>
      <c r="R1753">
        <f t="shared" si="136"/>
        <v>129</v>
      </c>
      <c r="S1753" s="1">
        <f t="shared" si="137"/>
        <v>0.70138888888888884</v>
      </c>
      <c r="T1753">
        <f t="shared" si="138"/>
        <v>1.44</v>
      </c>
      <c r="U1753" t="str">
        <f t="shared" si="139"/>
        <v>Apr</v>
      </c>
    </row>
    <row r="1754" spans="1:21">
      <c r="A1754" s="2">
        <v>46095</v>
      </c>
      <c r="B1754" t="s">
        <v>6</v>
      </c>
      <c r="C1754" t="s">
        <v>43</v>
      </c>
      <c r="D1754" t="s">
        <v>11</v>
      </c>
      <c r="E1754" t="s">
        <v>42</v>
      </c>
      <c r="F1754" t="s">
        <v>39</v>
      </c>
      <c r="G1754">
        <v>92</v>
      </c>
      <c r="H1754">
        <v>37</v>
      </c>
      <c r="I1754">
        <v>39</v>
      </c>
      <c r="J1754">
        <v>67</v>
      </c>
      <c r="K1754">
        <v>62</v>
      </c>
      <c r="L1754">
        <v>116.92</v>
      </c>
      <c r="M1754">
        <v>1810.41</v>
      </c>
      <c r="N1754">
        <v>70227</v>
      </c>
      <c r="O1754">
        <v>1105.55</v>
      </c>
      <c r="P1754" s="1">
        <v>-0.39300000000000002</v>
      </c>
      <c r="Q1754">
        <f t="shared" si="135"/>
        <v>129</v>
      </c>
      <c r="R1754">
        <f t="shared" si="136"/>
        <v>104</v>
      </c>
      <c r="S1754" s="1">
        <f t="shared" si="137"/>
        <v>0.69767441860465118</v>
      </c>
      <c r="T1754">
        <f t="shared" si="138"/>
        <v>1.29</v>
      </c>
      <c r="U1754" t="str">
        <f t="shared" si="139"/>
        <v>Mar</v>
      </c>
    </row>
    <row r="1755" spans="1:21">
      <c r="A1755" s="2">
        <v>46091</v>
      </c>
      <c r="B1755" t="s">
        <v>6</v>
      </c>
      <c r="C1755" t="s">
        <v>36</v>
      </c>
      <c r="D1755" t="s">
        <v>5</v>
      </c>
      <c r="E1755" t="s">
        <v>47</v>
      </c>
      <c r="F1755" t="s">
        <v>49</v>
      </c>
      <c r="G1755">
        <v>22</v>
      </c>
      <c r="H1755">
        <v>67</v>
      </c>
      <c r="I1755">
        <v>22</v>
      </c>
      <c r="J1755">
        <v>43</v>
      </c>
      <c r="K1755">
        <v>444</v>
      </c>
      <c r="L1755">
        <v>134.69</v>
      </c>
      <c r="M1755">
        <v>1876.18</v>
      </c>
      <c r="N1755">
        <v>71836</v>
      </c>
      <c r="O1755">
        <v>1657.73</v>
      </c>
      <c r="P1755" s="1">
        <v>0.53800000000000003</v>
      </c>
      <c r="Q1755">
        <f t="shared" si="135"/>
        <v>89</v>
      </c>
      <c r="R1755">
        <f t="shared" si="136"/>
        <v>110</v>
      </c>
      <c r="S1755" s="1">
        <f t="shared" si="137"/>
        <v>0.7528089887640449</v>
      </c>
      <c r="T1755">
        <f t="shared" si="138"/>
        <v>0.89</v>
      </c>
      <c r="U1755" t="str">
        <f t="shared" si="139"/>
        <v>Mar</v>
      </c>
    </row>
    <row r="1756" spans="1:21">
      <c r="A1756" s="2">
        <v>46078</v>
      </c>
      <c r="B1756" t="s">
        <v>6</v>
      </c>
      <c r="C1756" t="s">
        <v>36</v>
      </c>
      <c r="D1756" t="s">
        <v>5</v>
      </c>
      <c r="E1756" t="s">
        <v>41</v>
      </c>
      <c r="F1756" t="s">
        <v>39</v>
      </c>
      <c r="G1756">
        <v>63</v>
      </c>
      <c r="H1756">
        <v>71</v>
      </c>
      <c r="I1756">
        <v>56</v>
      </c>
      <c r="J1756">
        <v>130</v>
      </c>
      <c r="K1756">
        <v>195</v>
      </c>
      <c r="L1756">
        <v>115.71</v>
      </c>
      <c r="M1756">
        <v>2350.11</v>
      </c>
      <c r="N1756">
        <v>66162</v>
      </c>
      <c r="O1756">
        <v>905.34</v>
      </c>
      <c r="P1756" s="1">
        <v>-0.31</v>
      </c>
      <c r="Q1756">
        <f t="shared" si="135"/>
        <v>134</v>
      </c>
      <c r="R1756">
        <f t="shared" si="136"/>
        <v>201</v>
      </c>
      <c r="S1756" s="1">
        <f t="shared" si="137"/>
        <v>0.58208955223880599</v>
      </c>
      <c r="T1756">
        <f t="shared" si="138"/>
        <v>1.34</v>
      </c>
      <c r="U1756" t="str">
        <f t="shared" si="139"/>
        <v>Feb</v>
      </c>
    </row>
    <row r="1757" spans="1:21">
      <c r="A1757" s="2">
        <v>46124</v>
      </c>
      <c r="B1757" t="s">
        <v>4</v>
      </c>
      <c r="C1757" t="s">
        <v>51</v>
      </c>
      <c r="D1757" t="s">
        <v>9</v>
      </c>
      <c r="E1757" t="s">
        <v>32</v>
      </c>
      <c r="F1757" t="s">
        <v>49</v>
      </c>
      <c r="G1757">
        <v>18</v>
      </c>
      <c r="H1757">
        <v>50</v>
      </c>
      <c r="I1757">
        <v>42</v>
      </c>
      <c r="J1757">
        <v>52</v>
      </c>
      <c r="K1757">
        <v>130</v>
      </c>
      <c r="L1757">
        <v>126.21</v>
      </c>
      <c r="M1757">
        <v>2218.94</v>
      </c>
      <c r="N1757">
        <v>71328</v>
      </c>
      <c r="O1757">
        <v>1524.28</v>
      </c>
      <c r="P1757" s="1">
        <v>-0.251</v>
      </c>
      <c r="Q1757">
        <f t="shared" si="135"/>
        <v>68</v>
      </c>
      <c r="R1757">
        <f t="shared" si="136"/>
        <v>102</v>
      </c>
      <c r="S1757" s="1">
        <f t="shared" si="137"/>
        <v>0.38235294117647056</v>
      </c>
      <c r="T1757">
        <f t="shared" si="138"/>
        <v>0.68</v>
      </c>
      <c r="U1757" t="str">
        <f t="shared" si="139"/>
        <v>Apr</v>
      </c>
    </row>
    <row r="1758" spans="1:21">
      <c r="A1758" s="2">
        <v>46123</v>
      </c>
      <c r="B1758" t="s">
        <v>6</v>
      </c>
      <c r="C1758" t="s">
        <v>36</v>
      </c>
      <c r="D1758" t="s">
        <v>5</v>
      </c>
      <c r="E1758" t="s">
        <v>41</v>
      </c>
      <c r="F1758" t="s">
        <v>39</v>
      </c>
      <c r="G1758">
        <v>81</v>
      </c>
      <c r="H1758">
        <v>10</v>
      </c>
      <c r="I1758">
        <v>24</v>
      </c>
      <c r="J1758">
        <v>40</v>
      </c>
      <c r="K1758">
        <v>362</v>
      </c>
      <c r="L1758">
        <v>121.08</v>
      </c>
      <c r="M1758">
        <v>2418.63</v>
      </c>
      <c r="N1758">
        <v>75873</v>
      </c>
      <c r="O1758">
        <v>1506.6</v>
      </c>
      <c r="P1758" s="1">
        <v>0.98199999999999998</v>
      </c>
      <c r="Q1758">
        <f t="shared" si="135"/>
        <v>91</v>
      </c>
      <c r="R1758">
        <f t="shared" si="136"/>
        <v>50</v>
      </c>
      <c r="S1758" s="1">
        <f t="shared" si="137"/>
        <v>0.73626373626373631</v>
      </c>
      <c r="T1758">
        <f t="shared" si="138"/>
        <v>0.91</v>
      </c>
      <c r="U1758" t="str">
        <f t="shared" si="139"/>
        <v>Apr</v>
      </c>
    </row>
    <row r="1759" spans="1:21">
      <c r="A1759" s="2">
        <v>46085</v>
      </c>
      <c r="B1759" t="s">
        <v>4</v>
      </c>
      <c r="C1759" t="s">
        <v>46</v>
      </c>
      <c r="D1759" t="s">
        <v>5</v>
      </c>
      <c r="E1759" t="s">
        <v>32</v>
      </c>
      <c r="F1759" t="s">
        <v>49</v>
      </c>
      <c r="G1759">
        <v>28</v>
      </c>
      <c r="H1759">
        <v>24</v>
      </c>
      <c r="I1759">
        <v>72</v>
      </c>
      <c r="J1759">
        <v>5</v>
      </c>
      <c r="K1759">
        <v>104</v>
      </c>
      <c r="L1759">
        <v>101.74</v>
      </c>
      <c r="M1759">
        <v>2217.11</v>
      </c>
      <c r="N1759">
        <v>69906</v>
      </c>
      <c r="O1759">
        <v>1283.22</v>
      </c>
      <c r="P1759" s="1">
        <v>-0.72499999999999998</v>
      </c>
      <c r="Q1759">
        <f t="shared" si="135"/>
        <v>52</v>
      </c>
      <c r="R1759">
        <f t="shared" si="136"/>
        <v>29</v>
      </c>
      <c r="S1759" s="1">
        <f t="shared" si="137"/>
        <v>-0.38461538461538464</v>
      </c>
      <c r="T1759">
        <f t="shared" si="138"/>
        <v>0.52</v>
      </c>
      <c r="U1759" t="str">
        <f t="shared" si="139"/>
        <v>Mar</v>
      </c>
    </row>
    <row r="1760" spans="1:21">
      <c r="A1760" s="2">
        <v>46108</v>
      </c>
      <c r="B1760" t="s">
        <v>6</v>
      </c>
      <c r="C1760" t="s">
        <v>36</v>
      </c>
      <c r="D1760" t="s">
        <v>9</v>
      </c>
      <c r="E1760" t="s">
        <v>37</v>
      </c>
      <c r="F1760" t="s">
        <v>33</v>
      </c>
      <c r="G1760">
        <v>53</v>
      </c>
      <c r="H1760">
        <v>22</v>
      </c>
      <c r="I1760">
        <v>50</v>
      </c>
      <c r="J1760">
        <v>126</v>
      </c>
      <c r="K1760">
        <v>330</v>
      </c>
      <c r="L1760">
        <v>139.88999999999999</v>
      </c>
      <c r="M1760">
        <v>2399.33</v>
      </c>
      <c r="N1760">
        <v>73151</v>
      </c>
      <c r="O1760">
        <v>1683.8</v>
      </c>
      <c r="P1760" s="1">
        <v>-0.112</v>
      </c>
      <c r="Q1760">
        <f t="shared" si="135"/>
        <v>75</v>
      </c>
      <c r="R1760">
        <f t="shared" si="136"/>
        <v>148</v>
      </c>
      <c r="S1760" s="1">
        <f t="shared" si="137"/>
        <v>0.33333333333333331</v>
      </c>
      <c r="T1760">
        <f t="shared" si="138"/>
        <v>0.75</v>
      </c>
      <c r="U1760" t="str">
        <f t="shared" si="139"/>
        <v>Mar</v>
      </c>
    </row>
    <row r="1761" spans="1:21">
      <c r="A1761" s="2">
        <v>46089</v>
      </c>
      <c r="B1761" t="s">
        <v>6</v>
      </c>
      <c r="C1761" t="s">
        <v>43</v>
      </c>
      <c r="D1761" t="s">
        <v>11</v>
      </c>
      <c r="E1761" t="s">
        <v>35</v>
      </c>
      <c r="F1761" t="s">
        <v>45</v>
      </c>
      <c r="G1761">
        <v>103</v>
      </c>
      <c r="H1761">
        <v>42</v>
      </c>
      <c r="I1761">
        <v>16</v>
      </c>
      <c r="J1761">
        <v>44</v>
      </c>
      <c r="K1761">
        <v>100</v>
      </c>
      <c r="L1761">
        <v>124.49</v>
      </c>
      <c r="M1761">
        <v>2049.9699999999998</v>
      </c>
      <c r="N1761">
        <v>74634</v>
      </c>
      <c r="O1761">
        <v>1129.03</v>
      </c>
      <c r="P1761" s="1">
        <v>-1.6E-2</v>
      </c>
      <c r="Q1761">
        <f t="shared" si="135"/>
        <v>145</v>
      </c>
      <c r="R1761">
        <f t="shared" si="136"/>
        <v>86</v>
      </c>
      <c r="S1761" s="1">
        <f t="shared" si="137"/>
        <v>0.8896551724137931</v>
      </c>
      <c r="T1761">
        <f t="shared" si="138"/>
        <v>1.45</v>
      </c>
      <c r="U1761" t="str">
        <f t="shared" si="139"/>
        <v>Mar</v>
      </c>
    </row>
    <row r="1762" spans="1:21">
      <c r="A1762" s="2">
        <v>46106</v>
      </c>
      <c r="B1762" t="s">
        <v>6</v>
      </c>
      <c r="C1762" t="s">
        <v>46</v>
      </c>
      <c r="D1762" t="s">
        <v>10</v>
      </c>
      <c r="E1762" t="s">
        <v>42</v>
      </c>
      <c r="F1762" t="s">
        <v>39</v>
      </c>
      <c r="G1762">
        <v>40</v>
      </c>
      <c r="H1762">
        <v>78</v>
      </c>
      <c r="I1762">
        <v>82</v>
      </c>
      <c r="J1762">
        <v>19</v>
      </c>
      <c r="K1762">
        <v>175</v>
      </c>
      <c r="L1762">
        <v>99.52</v>
      </c>
      <c r="M1762">
        <v>1937.27</v>
      </c>
      <c r="N1762">
        <v>75229</v>
      </c>
      <c r="O1762">
        <v>1798.84</v>
      </c>
      <c r="P1762" s="1">
        <v>-0.59799999999999998</v>
      </c>
      <c r="Q1762">
        <f t="shared" si="135"/>
        <v>118</v>
      </c>
      <c r="R1762">
        <f t="shared" si="136"/>
        <v>97</v>
      </c>
      <c r="S1762" s="1">
        <f t="shared" si="137"/>
        <v>0.30508474576271188</v>
      </c>
      <c r="T1762">
        <f t="shared" si="138"/>
        <v>1.18</v>
      </c>
      <c r="U1762" t="str">
        <f t="shared" si="139"/>
        <v>Mar</v>
      </c>
    </row>
    <row r="1763" spans="1:21">
      <c r="A1763" s="2">
        <v>46076</v>
      </c>
      <c r="B1763" t="s">
        <v>6</v>
      </c>
      <c r="C1763" t="s">
        <v>46</v>
      </c>
      <c r="D1763" t="s">
        <v>7</v>
      </c>
      <c r="E1763" t="s">
        <v>41</v>
      </c>
      <c r="F1763" t="s">
        <v>39</v>
      </c>
      <c r="G1763">
        <v>7</v>
      </c>
      <c r="H1763">
        <v>66</v>
      </c>
      <c r="I1763">
        <v>39</v>
      </c>
      <c r="J1763">
        <v>94</v>
      </c>
      <c r="K1763">
        <v>30</v>
      </c>
      <c r="L1763">
        <v>108.78</v>
      </c>
      <c r="M1763">
        <v>2454.61</v>
      </c>
      <c r="N1763">
        <v>68173</v>
      </c>
      <c r="O1763">
        <v>1582.14</v>
      </c>
      <c r="P1763" s="1">
        <v>0.623</v>
      </c>
      <c r="Q1763">
        <f t="shared" si="135"/>
        <v>73</v>
      </c>
      <c r="R1763">
        <f t="shared" si="136"/>
        <v>160</v>
      </c>
      <c r="S1763" s="1">
        <f t="shared" si="137"/>
        <v>0.46575342465753422</v>
      </c>
      <c r="T1763">
        <f t="shared" si="138"/>
        <v>0.73</v>
      </c>
      <c r="U1763" t="str">
        <f t="shared" si="139"/>
        <v>Feb</v>
      </c>
    </row>
    <row r="1764" spans="1:21">
      <c r="A1764" s="2">
        <v>46078</v>
      </c>
      <c r="B1764" t="s">
        <v>4</v>
      </c>
      <c r="C1764" t="s">
        <v>34</v>
      </c>
      <c r="D1764" t="s">
        <v>5</v>
      </c>
      <c r="E1764" t="s">
        <v>47</v>
      </c>
      <c r="F1764" t="s">
        <v>33</v>
      </c>
      <c r="G1764">
        <v>102</v>
      </c>
      <c r="H1764">
        <v>42</v>
      </c>
      <c r="I1764">
        <v>15</v>
      </c>
      <c r="J1764">
        <v>35</v>
      </c>
      <c r="K1764">
        <v>264</v>
      </c>
      <c r="L1764">
        <v>80.13</v>
      </c>
      <c r="M1764">
        <v>2066.21</v>
      </c>
      <c r="N1764">
        <v>68896</v>
      </c>
      <c r="O1764">
        <v>1264.27</v>
      </c>
      <c r="P1764" s="1">
        <v>-0.65300000000000002</v>
      </c>
      <c r="Q1764">
        <f t="shared" si="135"/>
        <v>144</v>
      </c>
      <c r="R1764">
        <f t="shared" si="136"/>
        <v>77</v>
      </c>
      <c r="S1764" s="1">
        <f t="shared" si="137"/>
        <v>0.89583333333333337</v>
      </c>
      <c r="T1764">
        <f t="shared" si="138"/>
        <v>1.44</v>
      </c>
      <c r="U1764" t="str">
        <f t="shared" si="139"/>
        <v>Feb</v>
      </c>
    </row>
    <row r="1765" spans="1:21">
      <c r="A1765" s="2">
        <v>46071</v>
      </c>
      <c r="B1765" t="s">
        <v>6</v>
      </c>
      <c r="C1765" t="s">
        <v>51</v>
      </c>
      <c r="D1765" t="s">
        <v>11</v>
      </c>
      <c r="E1765" t="s">
        <v>37</v>
      </c>
      <c r="F1765" t="s">
        <v>39</v>
      </c>
      <c r="G1765">
        <v>88</v>
      </c>
      <c r="H1765">
        <v>4</v>
      </c>
      <c r="I1765">
        <v>57</v>
      </c>
      <c r="J1765">
        <v>19</v>
      </c>
      <c r="K1765">
        <v>408</v>
      </c>
      <c r="L1765">
        <v>102.9</v>
      </c>
      <c r="M1765">
        <v>2050.2399999999998</v>
      </c>
      <c r="N1765">
        <v>73127</v>
      </c>
      <c r="O1765">
        <v>1253.04</v>
      </c>
      <c r="P1765" s="1">
        <v>-0.55700000000000005</v>
      </c>
      <c r="Q1765">
        <f t="shared" si="135"/>
        <v>92</v>
      </c>
      <c r="R1765">
        <f t="shared" si="136"/>
        <v>23</v>
      </c>
      <c r="S1765" s="1">
        <f t="shared" si="137"/>
        <v>0.38043478260869568</v>
      </c>
      <c r="T1765">
        <f t="shared" si="138"/>
        <v>0.92</v>
      </c>
      <c r="U1765" t="str">
        <f t="shared" si="139"/>
        <v>Feb</v>
      </c>
    </row>
    <row r="1766" spans="1:21">
      <c r="A1766" s="2">
        <v>46125</v>
      </c>
      <c r="B1766" t="s">
        <v>4</v>
      </c>
      <c r="C1766" t="s">
        <v>43</v>
      </c>
      <c r="D1766" t="s">
        <v>10</v>
      </c>
      <c r="E1766" t="s">
        <v>47</v>
      </c>
      <c r="F1766" t="s">
        <v>49</v>
      </c>
      <c r="G1766">
        <v>115</v>
      </c>
      <c r="H1766">
        <v>66</v>
      </c>
      <c r="I1766">
        <v>88</v>
      </c>
      <c r="J1766">
        <v>45</v>
      </c>
      <c r="K1766">
        <v>242</v>
      </c>
      <c r="L1766">
        <v>94.02</v>
      </c>
      <c r="M1766">
        <v>2481.67</v>
      </c>
      <c r="N1766">
        <v>74748</v>
      </c>
      <c r="O1766">
        <v>1675.1</v>
      </c>
      <c r="P1766" s="1">
        <v>0.42399999999999999</v>
      </c>
      <c r="Q1766">
        <f t="shared" si="135"/>
        <v>181</v>
      </c>
      <c r="R1766">
        <f t="shared" si="136"/>
        <v>111</v>
      </c>
      <c r="S1766" s="1">
        <f t="shared" si="137"/>
        <v>0.51381215469613262</v>
      </c>
      <c r="T1766">
        <f t="shared" si="138"/>
        <v>1.81</v>
      </c>
      <c r="U1766" t="str">
        <f t="shared" si="139"/>
        <v>Apr</v>
      </c>
    </row>
    <row r="1767" spans="1:21">
      <c r="A1767" s="2">
        <v>46098</v>
      </c>
      <c r="B1767" t="s">
        <v>4</v>
      </c>
      <c r="C1767" t="s">
        <v>44</v>
      </c>
      <c r="D1767" t="s">
        <v>10</v>
      </c>
      <c r="E1767" t="s">
        <v>32</v>
      </c>
      <c r="F1767" t="s">
        <v>33</v>
      </c>
      <c r="G1767">
        <v>101</v>
      </c>
      <c r="H1767">
        <v>38</v>
      </c>
      <c r="I1767">
        <v>65</v>
      </c>
      <c r="J1767">
        <v>87</v>
      </c>
      <c r="K1767">
        <v>320</v>
      </c>
      <c r="L1767">
        <v>99.8</v>
      </c>
      <c r="M1767">
        <v>2397.71</v>
      </c>
      <c r="N1767">
        <v>69987</v>
      </c>
      <c r="O1767">
        <v>1052.95</v>
      </c>
      <c r="P1767" s="1">
        <v>0.16600000000000001</v>
      </c>
      <c r="Q1767">
        <f t="shared" si="135"/>
        <v>139</v>
      </c>
      <c r="R1767">
        <f t="shared" si="136"/>
        <v>125</v>
      </c>
      <c r="S1767" s="1">
        <f t="shared" si="137"/>
        <v>0.53237410071942448</v>
      </c>
      <c r="T1767">
        <f t="shared" si="138"/>
        <v>1.39</v>
      </c>
      <c r="U1767" t="str">
        <f t="shared" si="139"/>
        <v>Mar</v>
      </c>
    </row>
    <row r="1768" spans="1:21">
      <c r="A1768" s="2">
        <v>46123</v>
      </c>
      <c r="B1768" t="s">
        <v>4</v>
      </c>
      <c r="C1768" t="s">
        <v>48</v>
      </c>
      <c r="D1768" t="s">
        <v>7</v>
      </c>
      <c r="E1768" t="s">
        <v>42</v>
      </c>
      <c r="F1768" t="s">
        <v>49</v>
      </c>
      <c r="G1768">
        <v>103</v>
      </c>
      <c r="H1768">
        <v>47</v>
      </c>
      <c r="I1768">
        <v>21</v>
      </c>
      <c r="J1768">
        <v>28</v>
      </c>
      <c r="K1768">
        <v>316</v>
      </c>
      <c r="L1768">
        <v>106.82</v>
      </c>
      <c r="M1768">
        <v>2376.52</v>
      </c>
      <c r="N1768">
        <v>71403</v>
      </c>
      <c r="O1768">
        <v>1613.88</v>
      </c>
      <c r="P1768" s="1">
        <v>-0.25800000000000001</v>
      </c>
      <c r="Q1768">
        <f t="shared" si="135"/>
        <v>150</v>
      </c>
      <c r="R1768">
        <f t="shared" si="136"/>
        <v>75</v>
      </c>
      <c r="S1768" s="1">
        <f t="shared" si="137"/>
        <v>0.86</v>
      </c>
      <c r="T1768">
        <f t="shared" si="138"/>
        <v>1.5</v>
      </c>
      <c r="U1768" t="str">
        <f t="shared" si="139"/>
        <v>Apr</v>
      </c>
    </row>
    <row r="1769" spans="1:21">
      <c r="A1769" s="2">
        <v>46070</v>
      </c>
      <c r="B1769" t="s">
        <v>6</v>
      </c>
      <c r="C1769" t="s">
        <v>40</v>
      </c>
      <c r="D1769" t="s">
        <v>5</v>
      </c>
      <c r="E1769" t="s">
        <v>35</v>
      </c>
      <c r="F1769" t="s">
        <v>33</v>
      </c>
      <c r="G1769">
        <v>89</v>
      </c>
      <c r="H1769">
        <v>79</v>
      </c>
      <c r="I1769">
        <v>18</v>
      </c>
      <c r="J1769">
        <v>49</v>
      </c>
      <c r="K1769">
        <v>244</v>
      </c>
      <c r="L1769">
        <v>135.82</v>
      </c>
      <c r="M1769">
        <v>2377.4899999999998</v>
      </c>
      <c r="N1769">
        <v>75771</v>
      </c>
      <c r="O1769">
        <v>1156.74</v>
      </c>
      <c r="P1769" s="1">
        <v>0.64600000000000002</v>
      </c>
      <c r="Q1769">
        <f t="shared" si="135"/>
        <v>168</v>
      </c>
      <c r="R1769">
        <f t="shared" si="136"/>
        <v>128</v>
      </c>
      <c r="S1769" s="1">
        <f t="shared" si="137"/>
        <v>0.8928571428571429</v>
      </c>
      <c r="T1769">
        <f t="shared" si="138"/>
        <v>1.68</v>
      </c>
      <c r="U1769" t="str">
        <f t="shared" si="139"/>
        <v>Feb</v>
      </c>
    </row>
    <row r="1770" spans="1:21">
      <c r="A1770" s="2">
        <v>46122</v>
      </c>
      <c r="B1770" t="s">
        <v>4</v>
      </c>
      <c r="C1770" t="s">
        <v>34</v>
      </c>
      <c r="D1770" t="s">
        <v>7</v>
      </c>
      <c r="E1770" t="s">
        <v>38</v>
      </c>
      <c r="F1770" t="s">
        <v>49</v>
      </c>
      <c r="G1770">
        <v>105</v>
      </c>
      <c r="H1770">
        <v>79</v>
      </c>
      <c r="I1770">
        <v>81</v>
      </c>
      <c r="J1770">
        <v>148</v>
      </c>
      <c r="K1770">
        <v>60</v>
      </c>
      <c r="L1770">
        <v>132.19999999999999</v>
      </c>
      <c r="M1770">
        <v>2370.66</v>
      </c>
      <c r="N1770">
        <v>65710</v>
      </c>
      <c r="O1770">
        <v>1385.9</v>
      </c>
      <c r="P1770" s="1">
        <v>0.64600000000000002</v>
      </c>
      <c r="Q1770">
        <f t="shared" si="135"/>
        <v>184</v>
      </c>
      <c r="R1770">
        <f t="shared" si="136"/>
        <v>227</v>
      </c>
      <c r="S1770" s="1">
        <f t="shared" si="137"/>
        <v>0.55978260869565222</v>
      </c>
      <c r="T1770">
        <f t="shared" si="138"/>
        <v>1.84</v>
      </c>
      <c r="U1770" t="str">
        <f t="shared" si="139"/>
        <v>Apr</v>
      </c>
    </row>
    <row r="1771" spans="1:21">
      <c r="A1771" s="2">
        <v>46068</v>
      </c>
      <c r="B1771" t="s">
        <v>4</v>
      </c>
      <c r="C1771" t="s">
        <v>31</v>
      </c>
      <c r="D1771" t="s">
        <v>9</v>
      </c>
      <c r="E1771" t="s">
        <v>47</v>
      </c>
      <c r="F1771" t="s">
        <v>39</v>
      </c>
      <c r="G1771">
        <v>106</v>
      </c>
      <c r="H1771">
        <v>58</v>
      </c>
      <c r="I1771">
        <v>40</v>
      </c>
      <c r="J1771">
        <v>97</v>
      </c>
      <c r="K1771">
        <v>49</v>
      </c>
      <c r="L1771">
        <v>104.12</v>
      </c>
      <c r="M1771">
        <v>2114.6</v>
      </c>
      <c r="N1771">
        <v>64969</v>
      </c>
      <c r="O1771">
        <v>1795.4</v>
      </c>
      <c r="P1771" s="1">
        <v>0.67700000000000005</v>
      </c>
      <c r="Q1771">
        <f t="shared" si="135"/>
        <v>164</v>
      </c>
      <c r="R1771">
        <f t="shared" si="136"/>
        <v>155</v>
      </c>
      <c r="S1771" s="1">
        <f t="shared" si="137"/>
        <v>0.75609756097560976</v>
      </c>
      <c r="T1771">
        <f t="shared" si="138"/>
        <v>1.64</v>
      </c>
      <c r="U1771" t="str">
        <f t="shared" si="139"/>
        <v>Feb</v>
      </c>
    </row>
    <row r="1772" spans="1:21">
      <c r="A1772" s="2">
        <v>46117</v>
      </c>
      <c r="B1772" t="s">
        <v>4</v>
      </c>
      <c r="C1772" t="s">
        <v>46</v>
      </c>
      <c r="D1772" t="s">
        <v>9</v>
      </c>
      <c r="E1772" t="s">
        <v>41</v>
      </c>
      <c r="F1772" t="s">
        <v>45</v>
      </c>
      <c r="G1772">
        <v>64</v>
      </c>
      <c r="H1772">
        <v>65</v>
      </c>
      <c r="I1772">
        <v>71</v>
      </c>
      <c r="J1772">
        <v>12</v>
      </c>
      <c r="K1772">
        <v>424</v>
      </c>
      <c r="L1772">
        <v>84.72</v>
      </c>
      <c r="M1772">
        <v>2158.65</v>
      </c>
      <c r="N1772">
        <v>67344</v>
      </c>
      <c r="O1772">
        <v>1546.53</v>
      </c>
      <c r="P1772" s="1">
        <v>-0.97899999999999998</v>
      </c>
      <c r="Q1772">
        <f t="shared" si="135"/>
        <v>129</v>
      </c>
      <c r="R1772">
        <f t="shared" si="136"/>
        <v>77</v>
      </c>
      <c r="S1772" s="1">
        <f t="shared" si="137"/>
        <v>0.44961240310077522</v>
      </c>
      <c r="T1772">
        <f t="shared" si="138"/>
        <v>1.29</v>
      </c>
      <c r="U1772" t="str">
        <f t="shared" si="139"/>
        <v>Apr</v>
      </c>
    </row>
    <row r="1773" spans="1:21">
      <c r="A1773" s="2">
        <v>46105</v>
      </c>
      <c r="B1773" t="s">
        <v>6</v>
      </c>
      <c r="C1773" t="s">
        <v>43</v>
      </c>
      <c r="D1773" t="s">
        <v>9</v>
      </c>
      <c r="E1773" t="s">
        <v>42</v>
      </c>
      <c r="F1773" t="s">
        <v>39</v>
      </c>
      <c r="G1773">
        <v>14</v>
      </c>
      <c r="H1773">
        <v>66</v>
      </c>
      <c r="I1773">
        <v>72</v>
      </c>
      <c r="J1773">
        <v>1</v>
      </c>
      <c r="K1773">
        <v>133</v>
      </c>
      <c r="L1773">
        <v>94</v>
      </c>
      <c r="M1773">
        <v>2393.77</v>
      </c>
      <c r="N1773">
        <v>65162</v>
      </c>
      <c r="O1773">
        <v>1755.33</v>
      </c>
      <c r="P1773" s="1">
        <v>-0.61499999999999999</v>
      </c>
      <c r="Q1773">
        <f t="shared" si="135"/>
        <v>80</v>
      </c>
      <c r="R1773">
        <f t="shared" si="136"/>
        <v>67</v>
      </c>
      <c r="S1773" s="1">
        <f t="shared" si="137"/>
        <v>0.1</v>
      </c>
      <c r="T1773">
        <f t="shared" si="138"/>
        <v>0.8</v>
      </c>
      <c r="U1773" t="str">
        <f t="shared" si="139"/>
        <v>Mar</v>
      </c>
    </row>
    <row r="1774" spans="1:21">
      <c r="A1774" s="2">
        <v>46106</v>
      </c>
      <c r="B1774" t="s">
        <v>4</v>
      </c>
      <c r="C1774" t="s">
        <v>48</v>
      </c>
      <c r="D1774" t="s">
        <v>11</v>
      </c>
      <c r="E1774" t="s">
        <v>42</v>
      </c>
      <c r="F1774" t="s">
        <v>49</v>
      </c>
      <c r="G1774">
        <v>31</v>
      </c>
      <c r="H1774">
        <v>13</v>
      </c>
      <c r="I1774">
        <v>79</v>
      </c>
      <c r="J1774">
        <v>121</v>
      </c>
      <c r="K1774">
        <v>430</v>
      </c>
      <c r="L1774">
        <v>122.45</v>
      </c>
      <c r="M1774">
        <v>1993.08</v>
      </c>
      <c r="N1774">
        <v>70788</v>
      </c>
      <c r="O1774">
        <v>1243.28</v>
      </c>
      <c r="P1774" s="1">
        <v>0.69099999999999995</v>
      </c>
      <c r="Q1774">
        <f t="shared" si="135"/>
        <v>44</v>
      </c>
      <c r="R1774">
        <f t="shared" si="136"/>
        <v>134</v>
      </c>
      <c r="S1774" s="1">
        <f t="shared" si="137"/>
        <v>-0.79545454545454541</v>
      </c>
      <c r="T1774">
        <f t="shared" si="138"/>
        <v>0.44</v>
      </c>
      <c r="U1774" t="str">
        <f t="shared" si="139"/>
        <v>Mar</v>
      </c>
    </row>
    <row r="1775" spans="1:21">
      <c r="A1775" s="2">
        <v>46104</v>
      </c>
      <c r="B1775" t="s">
        <v>6</v>
      </c>
      <c r="C1775" t="s">
        <v>36</v>
      </c>
      <c r="D1775" t="s">
        <v>11</v>
      </c>
      <c r="E1775" t="s">
        <v>35</v>
      </c>
      <c r="F1775" t="s">
        <v>39</v>
      </c>
      <c r="G1775">
        <v>68</v>
      </c>
      <c r="H1775">
        <v>6</v>
      </c>
      <c r="I1775">
        <v>83</v>
      </c>
      <c r="J1775">
        <v>2</v>
      </c>
      <c r="K1775">
        <v>331</v>
      </c>
      <c r="L1775">
        <v>129.03</v>
      </c>
      <c r="M1775">
        <v>2069.13</v>
      </c>
      <c r="N1775">
        <v>67911</v>
      </c>
      <c r="O1775">
        <v>1281.4100000000001</v>
      </c>
      <c r="P1775" s="1">
        <v>-0.25900000000000001</v>
      </c>
      <c r="Q1775">
        <f t="shared" si="135"/>
        <v>74</v>
      </c>
      <c r="R1775">
        <f t="shared" si="136"/>
        <v>8</v>
      </c>
      <c r="S1775" s="1">
        <f t="shared" si="137"/>
        <v>-0.12162162162162163</v>
      </c>
      <c r="T1775">
        <f t="shared" si="138"/>
        <v>0.74</v>
      </c>
      <c r="U1775" t="str">
        <f t="shared" si="139"/>
        <v>Mar</v>
      </c>
    </row>
    <row r="1776" spans="1:21">
      <c r="A1776" s="2">
        <v>46089</v>
      </c>
      <c r="B1776" t="s">
        <v>4</v>
      </c>
      <c r="C1776" t="s">
        <v>40</v>
      </c>
      <c r="D1776" t="s">
        <v>7</v>
      </c>
      <c r="E1776" t="s">
        <v>47</v>
      </c>
      <c r="F1776" t="s">
        <v>49</v>
      </c>
      <c r="G1776">
        <v>79</v>
      </c>
      <c r="H1776">
        <v>41</v>
      </c>
      <c r="I1776">
        <v>9</v>
      </c>
      <c r="J1776">
        <v>69</v>
      </c>
      <c r="K1776">
        <v>214</v>
      </c>
      <c r="L1776">
        <v>98.44</v>
      </c>
      <c r="M1776">
        <v>2198.04</v>
      </c>
      <c r="N1776">
        <v>73382</v>
      </c>
      <c r="O1776">
        <v>1073.2</v>
      </c>
      <c r="P1776" s="1">
        <v>0.73899999999999999</v>
      </c>
      <c r="Q1776">
        <f t="shared" si="135"/>
        <v>120</v>
      </c>
      <c r="R1776">
        <f t="shared" si="136"/>
        <v>110</v>
      </c>
      <c r="S1776" s="1">
        <f t="shared" si="137"/>
        <v>0.92500000000000004</v>
      </c>
      <c r="T1776">
        <f t="shared" si="138"/>
        <v>1.2</v>
      </c>
      <c r="U1776" t="str">
        <f t="shared" si="139"/>
        <v>Mar</v>
      </c>
    </row>
    <row r="1777" spans="1:21">
      <c r="A1777" s="2">
        <v>46101</v>
      </c>
      <c r="B1777" t="s">
        <v>4</v>
      </c>
      <c r="C1777" t="s">
        <v>36</v>
      </c>
      <c r="D1777" t="s">
        <v>5</v>
      </c>
      <c r="E1777" t="s">
        <v>37</v>
      </c>
      <c r="F1777" t="s">
        <v>33</v>
      </c>
      <c r="G1777">
        <v>82</v>
      </c>
      <c r="H1777">
        <v>44</v>
      </c>
      <c r="I1777">
        <v>50</v>
      </c>
      <c r="J1777">
        <v>76</v>
      </c>
      <c r="K1777">
        <v>277</v>
      </c>
      <c r="L1777">
        <v>119.95</v>
      </c>
      <c r="M1777">
        <v>1979.89</v>
      </c>
      <c r="N1777">
        <v>74868</v>
      </c>
      <c r="O1777">
        <v>1320.59</v>
      </c>
      <c r="P1777" s="1">
        <v>-0.63</v>
      </c>
      <c r="Q1777">
        <f t="shared" si="135"/>
        <v>126</v>
      </c>
      <c r="R1777">
        <f t="shared" si="136"/>
        <v>120</v>
      </c>
      <c r="S1777" s="1">
        <f t="shared" si="137"/>
        <v>0.60317460317460314</v>
      </c>
      <c r="T1777">
        <f t="shared" si="138"/>
        <v>1.26</v>
      </c>
      <c r="U1777" t="str">
        <f t="shared" si="139"/>
        <v>Mar</v>
      </c>
    </row>
    <row r="1778" spans="1:21">
      <c r="A1778" s="2">
        <v>46091</v>
      </c>
      <c r="B1778" t="s">
        <v>6</v>
      </c>
      <c r="C1778" t="s">
        <v>51</v>
      </c>
      <c r="D1778" t="s">
        <v>7</v>
      </c>
      <c r="E1778" t="s">
        <v>37</v>
      </c>
      <c r="F1778" t="s">
        <v>39</v>
      </c>
      <c r="G1778">
        <v>26</v>
      </c>
      <c r="H1778">
        <v>73</v>
      </c>
      <c r="I1778">
        <v>19</v>
      </c>
      <c r="J1778">
        <v>87</v>
      </c>
      <c r="K1778">
        <v>311</v>
      </c>
      <c r="L1778">
        <v>102.12</v>
      </c>
      <c r="M1778">
        <v>1893.7</v>
      </c>
      <c r="N1778">
        <v>71480</v>
      </c>
      <c r="O1778">
        <v>904.17</v>
      </c>
      <c r="P1778" s="1">
        <v>0.77700000000000002</v>
      </c>
      <c r="Q1778">
        <f t="shared" si="135"/>
        <v>99</v>
      </c>
      <c r="R1778">
        <f t="shared" si="136"/>
        <v>160</v>
      </c>
      <c r="S1778" s="1">
        <f t="shared" si="137"/>
        <v>0.80808080808080807</v>
      </c>
      <c r="T1778">
        <f t="shared" si="138"/>
        <v>0.99</v>
      </c>
      <c r="U1778" t="str">
        <f t="shared" si="139"/>
        <v>Mar</v>
      </c>
    </row>
    <row r="1779" spans="1:21">
      <c r="A1779" s="2">
        <v>46073</v>
      </c>
      <c r="B1779" t="s">
        <v>6</v>
      </c>
      <c r="C1779" t="s">
        <v>46</v>
      </c>
      <c r="D1779" t="s">
        <v>10</v>
      </c>
      <c r="E1779" t="s">
        <v>42</v>
      </c>
      <c r="F1779" t="s">
        <v>49</v>
      </c>
      <c r="G1779">
        <v>62</v>
      </c>
      <c r="H1779">
        <v>20</v>
      </c>
      <c r="I1779">
        <v>78</v>
      </c>
      <c r="J1779">
        <v>142</v>
      </c>
      <c r="K1779">
        <v>447</v>
      </c>
      <c r="L1779">
        <v>107.89</v>
      </c>
      <c r="M1779">
        <v>2049.27</v>
      </c>
      <c r="N1779">
        <v>73904</v>
      </c>
      <c r="O1779">
        <v>1261.93</v>
      </c>
      <c r="P1779" s="1">
        <v>-0.69299999999999995</v>
      </c>
      <c r="Q1779">
        <f t="shared" si="135"/>
        <v>82</v>
      </c>
      <c r="R1779">
        <f t="shared" si="136"/>
        <v>162</v>
      </c>
      <c r="S1779" s="1">
        <f t="shared" si="137"/>
        <v>4.878048780487805E-2</v>
      </c>
      <c r="T1779">
        <f t="shared" si="138"/>
        <v>0.82</v>
      </c>
      <c r="U1779" t="str">
        <f t="shared" si="139"/>
        <v>Feb</v>
      </c>
    </row>
    <row r="1780" spans="1:21">
      <c r="A1780" s="2">
        <v>46087</v>
      </c>
      <c r="B1780" t="s">
        <v>4</v>
      </c>
      <c r="C1780" t="s">
        <v>40</v>
      </c>
      <c r="D1780" t="s">
        <v>9</v>
      </c>
      <c r="E1780" t="s">
        <v>32</v>
      </c>
      <c r="F1780" t="s">
        <v>39</v>
      </c>
      <c r="G1780">
        <v>53</v>
      </c>
      <c r="H1780">
        <v>3</v>
      </c>
      <c r="I1780">
        <v>89</v>
      </c>
      <c r="J1780">
        <v>45</v>
      </c>
      <c r="K1780">
        <v>263</v>
      </c>
      <c r="L1780">
        <v>113.41</v>
      </c>
      <c r="M1780">
        <v>2289.17</v>
      </c>
      <c r="N1780">
        <v>74224</v>
      </c>
      <c r="O1780">
        <v>1318.72</v>
      </c>
      <c r="P1780" s="1">
        <v>-0.35099999999999998</v>
      </c>
      <c r="Q1780">
        <f t="shared" si="135"/>
        <v>56</v>
      </c>
      <c r="R1780">
        <f t="shared" si="136"/>
        <v>48</v>
      </c>
      <c r="S1780" s="1">
        <f t="shared" si="137"/>
        <v>-0.5892857142857143</v>
      </c>
      <c r="T1780">
        <f t="shared" si="138"/>
        <v>0.56000000000000005</v>
      </c>
      <c r="U1780" t="str">
        <f t="shared" si="139"/>
        <v>Mar</v>
      </c>
    </row>
    <row r="1781" spans="1:21">
      <c r="A1781" s="2">
        <v>46108</v>
      </c>
      <c r="B1781" t="s">
        <v>6</v>
      </c>
      <c r="C1781" t="s">
        <v>51</v>
      </c>
      <c r="D1781" t="s">
        <v>11</v>
      </c>
      <c r="E1781" t="s">
        <v>42</v>
      </c>
      <c r="F1781" t="s">
        <v>49</v>
      </c>
      <c r="G1781">
        <v>55</v>
      </c>
      <c r="H1781">
        <v>78</v>
      </c>
      <c r="I1781">
        <v>12</v>
      </c>
      <c r="J1781">
        <v>143</v>
      </c>
      <c r="K1781">
        <v>429</v>
      </c>
      <c r="L1781">
        <v>89.67</v>
      </c>
      <c r="M1781">
        <v>1953.55</v>
      </c>
      <c r="N1781">
        <v>71699</v>
      </c>
      <c r="O1781">
        <v>1244.4000000000001</v>
      </c>
      <c r="P1781" s="1">
        <v>-0.54900000000000004</v>
      </c>
      <c r="Q1781">
        <f t="shared" si="135"/>
        <v>133</v>
      </c>
      <c r="R1781">
        <f t="shared" si="136"/>
        <v>221</v>
      </c>
      <c r="S1781" s="1">
        <f t="shared" si="137"/>
        <v>0.90977443609022557</v>
      </c>
      <c r="T1781">
        <f t="shared" si="138"/>
        <v>1.33</v>
      </c>
      <c r="U1781" t="str">
        <f t="shared" si="139"/>
        <v>Mar</v>
      </c>
    </row>
    <row r="1782" spans="1:21">
      <c r="A1782" s="2">
        <v>46070</v>
      </c>
      <c r="B1782" t="s">
        <v>6</v>
      </c>
      <c r="C1782" t="s">
        <v>40</v>
      </c>
      <c r="D1782" t="s">
        <v>9</v>
      </c>
      <c r="E1782" t="s">
        <v>35</v>
      </c>
      <c r="F1782" t="s">
        <v>49</v>
      </c>
      <c r="G1782">
        <v>105</v>
      </c>
      <c r="H1782">
        <v>21</v>
      </c>
      <c r="I1782">
        <v>67</v>
      </c>
      <c r="J1782">
        <v>48</v>
      </c>
      <c r="K1782">
        <v>193</v>
      </c>
      <c r="L1782">
        <v>87.7</v>
      </c>
      <c r="M1782">
        <v>2123.77</v>
      </c>
      <c r="N1782">
        <v>72798</v>
      </c>
      <c r="O1782">
        <v>1222.8399999999999</v>
      </c>
      <c r="P1782" s="1">
        <v>0.82399999999999995</v>
      </c>
      <c r="Q1782">
        <f t="shared" si="135"/>
        <v>126</v>
      </c>
      <c r="R1782">
        <f t="shared" si="136"/>
        <v>69</v>
      </c>
      <c r="S1782" s="1">
        <f t="shared" si="137"/>
        <v>0.46825396825396826</v>
      </c>
      <c r="T1782">
        <f t="shared" si="138"/>
        <v>1.26</v>
      </c>
      <c r="U1782" t="str">
        <f t="shared" si="139"/>
        <v>Feb</v>
      </c>
    </row>
    <row r="1783" spans="1:21">
      <c r="A1783" s="2">
        <v>46094</v>
      </c>
      <c r="B1783" t="s">
        <v>6</v>
      </c>
      <c r="C1783" t="s">
        <v>40</v>
      </c>
      <c r="D1783" t="s">
        <v>10</v>
      </c>
      <c r="E1783" t="s">
        <v>32</v>
      </c>
      <c r="F1783" t="s">
        <v>39</v>
      </c>
      <c r="G1783">
        <v>43</v>
      </c>
      <c r="H1783">
        <v>24</v>
      </c>
      <c r="I1783">
        <v>49</v>
      </c>
      <c r="J1783">
        <v>98</v>
      </c>
      <c r="K1783">
        <v>77</v>
      </c>
      <c r="L1783">
        <v>95.56</v>
      </c>
      <c r="M1783">
        <v>2074.41</v>
      </c>
      <c r="N1783">
        <v>65995</v>
      </c>
      <c r="O1783">
        <v>1681.01</v>
      </c>
      <c r="P1783" s="1">
        <v>2.1000000000000001E-2</v>
      </c>
      <c r="Q1783">
        <f t="shared" si="135"/>
        <v>67</v>
      </c>
      <c r="R1783">
        <f t="shared" si="136"/>
        <v>122</v>
      </c>
      <c r="S1783" s="1">
        <f t="shared" si="137"/>
        <v>0.26865671641791045</v>
      </c>
      <c r="T1783">
        <f t="shared" si="138"/>
        <v>0.67</v>
      </c>
      <c r="U1783" t="str">
        <f t="shared" si="139"/>
        <v>Mar</v>
      </c>
    </row>
    <row r="1784" spans="1:21">
      <c r="A1784" s="2">
        <v>46073</v>
      </c>
      <c r="B1784" t="s">
        <v>4</v>
      </c>
      <c r="C1784" t="s">
        <v>48</v>
      </c>
      <c r="D1784" t="s">
        <v>11</v>
      </c>
      <c r="E1784" t="s">
        <v>42</v>
      </c>
      <c r="F1784" t="s">
        <v>39</v>
      </c>
      <c r="G1784">
        <v>81</v>
      </c>
      <c r="H1784">
        <v>19</v>
      </c>
      <c r="I1784">
        <v>84</v>
      </c>
      <c r="J1784">
        <v>16</v>
      </c>
      <c r="K1784">
        <v>411</v>
      </c>
      <c r="L1784">
        <v>93.24</v>
      </c>
      <c r="M1784">
        <v>2162.8200000000002</v>
      </c>
      <c r="N1784">
        <v>74799</v>
      </c>
      <c r="O1784">
        <v>1514.23</v>
      </c>
      <c r="P1784" s="1">
        <v>-0.32400000000000001</v>
      </c>
      <c r="Q1784">
        <f t="shared" si="135"/>
        <v>100</v>
      </c>
      <c r="R1784">
        <f t="shared" si="136"/>
        <v>35</v>
      </c>
      <c r="S1784" s="1">
        <f t="shared" si="137"/>
        <v>0.16</v>
      </c>
      <c r="T1784">
        <f t="shared" si="138"/>
        <v>1</v>
      </c>
      <c r="U1784" t="str">
        <f t="shared" si="139"/>
        <v>Feb</v>
      </c>
    </row>
    <row r="1785" spans="1:21">
      <c r="A1785" s="2">
        <v>46122</v>
      </c>
      <c r="B1785" t="s">
        <v>6</v>
      </c>
      <c r="C1785" t="s">
        <v>50</v>
      </c>
      <c r="D1785" t="s">
        <v>5</v>
      </c>
      <c r="E1785" t="s">
        <v>32</v>
      </c>
      <c r="F1785" t="s">
        <v>39</v>
      </c>
      <c r="G1785">
        <v>102</v>
      </c>
      <c r="H1785">
        <v>48</v>
      </c>
      <c r="I1785">
        <v>40</v>
      </c>
      <c r="J1785">
        <v>97</v>
      </c>
      <c r="K1785">
        <v>198</v>
      </c>
      <c r="L1785">
        <v>80.19</v>
      </c>
      <c r="M1785">
        <v>2313.71</v>
      </c>
      <c r="N1785">
        <v>64440</v>
      </c>
      <c r="O1785">
        <v>1103.08</v>
      </c>
      <c r="P1785" s="1">
        <v>2E-3</v>
      </c>
      <c r="Q1785">
        <f t="shared" si="135"/>
        <v>150</v>
      </c>
      <c r="R1785">
        <f t="shared" si="136"/>
        <v>145</v>
      </c>
      <c r="S1785" s="1">
        <f t="shared" si="137"/>
        <v>0.73333333333333328</v>
      </c>
      <c r="T1785">
        <f t="shared" si="138"/>
        <v>1.5</v>
      </c>
      <c r="U1785" t="str">
        <f t="shared" si="139"/>
        <v>Apr</v>
      </c>
    </row>
    <row r="1786" spans="1:21">
      <c r="A1786" s="2">
        <v>46079</v>
      </c>
      <c r="B1786" t="s">
        <v>6</v>
      </c>
      <c r="C1786" t="s">
        <v>36</v>
      </c>
      <c r="D1786" t="s">
        <v>10</v>
      </c>
      <c r="E1786" t="s">
        <v>38</v>
      </c>
      <c r="F1786" t="s">
        <v>39</v>
      </c>
      <c r="G1786">
        <v>31</v>
      </c>
      <c r="H1786">
        <v>29</v>
      </c>
      <c r="I1786">
        <v>30</v>
      </c>
      <c r="J1786">
        <v>37</v>
      </c>
      <c r="K1786">
        <v>225</v>
      </c>
      <c r="L1786">
        <v>87.07</v>
      </c>
      <c r="M1786">
        <v>2095.13</v>
      </c>
      <c r="N1786">
        <v>70126</v>
      </c>
      <c r="O1786">
        <v>1211.04</v>
      </c>
      <c r="P1786" s="1">
        <v>-0.59799999999999998</v>
      </c>
      <c r="Q1786">
        <f t="shared" si="135"/>
        <v>60</v>
      </c>
      <c r="R1786">
        <f t="shared" si="136"/>
        <v>66</v>
      </c>
      <c r="S1786" s="1">
        <f t="shared" si="137"/>
        <v>0.5</v>
      </c>
      <c r="T1786">
        <f t="shared" si="138"/>
        <v>0.6</v>
      </c>
      <c r="U1786" t="str">
        <f t="shared" si="139"/>
        <v>Feb</v>
      </c>
    </row>
    <row r="1787" spans="1:21">
      <c r="A1787" s="2">
        <v>46115</v>
      </c>
      <c r="B1787" t="s">
        <v>6</v>
      </c>
      <c r="C1787" t="s">
        <v>43</v>
      </c>
      <c r="D1787" t="s">
        <v>5</v>
      </c>
      <c r="E1787" t="s">
        <v>41</v>
      </c>
      <c r="F1787" t="s">
        <v>39</v>
      </c>
      <c r="G1787">
        <v>60</v>
      </c>
      <c r="H1787">
        <v>33</v>
      </c>
      <c r="I1787">
        <v>29</v>
      </c>
      <c r="J1787">
        <v>134</v>
      </c>
      <c r="K1787">
        <v>365</v>
      </c>
      <c r="L1787">
        <v>118.24</v>
      </c>
      <c r="M1787">
        <v>1925.33</v>
      </c>
      <c r="N1787">
        <v>72440</v>
      </c>
      <c r="O1787">
        <v>1352.83</v>
      </c>
      <c r="P1787" s="1">
        <v>0.68899999999999995</v>
      </c>
      <c r="Q1787">
        <f t="shared" si="135"/>
        <v>93</v>
      </c>
      <c r="R1787">
        <f t="shared" si="136"/>
        <v>167</v>
      </c>
      <c r="S1787" s="1">
        <f t="shared" si="137"/>
        <v>0.68817204301075274</v>
      </c>
      <c r="T1787">
        <f t="shared" si="138"/>
        <v>0.93</v>
      </c>
      <c r="U1787" t="str">
        <f t="shared" si="139"/>
        <v>Apr</v>
      </c>
    </row>
    <row r="1788" spans="1:21">
      <c r="A1788" s="2">
        <v>46106</v>
      </c>
      <c r="B1788" t="s">
        <v>4</v>
      </c>
      <c r="C1788" t="s">
        <v>50</v>
      </c>
      <c r="D1788" t="s">
        <v>5</v>
      </c>
      <c r="E1788" t="s">
        <v>37</v>
      </c>
      <c r="F1788" t="s">
        <v>39</v>
      </c>
      <c r="G1788">
        <v>62</v>
      </c>
      <c r="H1788">
        <v>33</v>
      </c>
      <c r="I1788">
        <v>83</v>
      </c>
      <c r="J1788">
        <v>37</v>
      </c>
      <c r="K1788">
        <v>320</v>
      </c>
      <c r="L1788">
        <v>103.79</v>
      </c>
      <c r="M1788">
        <v>2222.35</v>
      </c>
      <c r="N1788">
        <v>69733</v>
      </c>
      <c r="O1788">
        <v>1249.72</v>
      </c>
      <c r="P1788" s="1">
        <v>-0.46600000000000003</v>
      </c>
      <c r="Q1788">
        <f t="shared" si="135"/>
        <v>95</v>
      </c>
      <c r="R1788">
        <f t="shared" si="136"/>
        <v>70</v>
      </c>
      <c r="S1788" s="1">
        <f t="shared" si="137"/>
        <v>0.12631578947368421</v>
      </c>
      <c r="T1788">
        <f t="shared" si="138"/>
        <v>0.95</v>
      </c>
      <c r="U1788" t="str">
        <f t="shared" si="139"/>
        <v>Mar</v>
      </c>
    </row>
    <row r="1789" spans="1:21">
      <c r="A1789" s="2">
        <v>46101</v>
      </c>
      <c r="B1789" t="s">
        <v>6</v>
      </c>
      <c r="C1789" t="s">
        <v>31</v>
      </c>
      <c r="D1789" t="s">
        <v>5</v>
      </c>
      <c r="E1789" t="s">
        <v>35</v>
      </c>
      <c r="F1789" t="s">
        <v>39</v>
      </c>
      <c r="G1789">
        <v>14</v>
      </c>
      <c r="H1789">
        <v>56</v>
      </c>
      <c r="I1789">
        <v>34</v>
      </c>
      <c r="J1789">
        <v>28</v>
      </c>
      <c r="K1789">
        <v>304</v>
      </c>
      <c r="L1789">
        <v>125.53</v>
      </c>
      <c r="M1789">
        <v>2498.3200000000002</v>
      </c>
      <c r="N1789">
        <v>65930</v>
      </c>
      <c r="O1789">
        <v>969.83</v>
      </c>
      <c r="P1789" s="1">
        <v>-0.45400000000000001</v>
      </c>
      <c r="Q1789">
        <f t="shared" si="135"/>
        <v>70</v>
      </c>
      <c r="R1789">
        <f t="shared" si="136"/>
        <v>84</v>
      </c>
      <c r="S1789" s="1">
        <f t="shared" si="137"/>
        <v>0.51428571428571423</v>
      </c>
      <c r="T1789">
        <f t="shared" si="138"/>
        <v>0.7</v>
      </c>
      <c r="U1789" t="str">
        <f t="shared" si="139"/>
        <v>Mar</v>
      </c>
    </row>
    <row r="1790" spans="1:21">
      <c r="A1790" s="2">
        <v>46114</v>
      </c>
      <c r="B1790" t="s">
        <v>6</v>
      </c>
      <c r="C1790" t="s">
        <v>43</v>
      </c>
      <c r="D1790" t="s">
        <v>11</v>
      </c>
      <c r="E1790" t="s">
        <v>37</v>
      </c>
      <c r="F1790" t="s">
        <v>39</v>
      </c>
      <c r="G1790">
        <v>11</v>
      </c>
      <c r="H1790">
        <v>34</v>
      </c>
      <c r="I1790">
        <v>87</v>
      </c>
      <c r="J1790">
        <v>70</v>
      </c>
      <c r="K1790">
        <v>219</v>
      </c>
      <c r="L1790">
        <v>103.39</v>
      </c>
      <c r="M1790">
        <v>2076.02</v>
      </c>
      <c r="N1790">
        <v>73091</v>
      </c>
      <c r="O1790">
        <v>993.61</v>
      </c>
      <c r="P1790" s="1">
        <v>0.23100000000000001</v>
      </c>
      <c r="Q1790">
        <f t="shared" si="135"/>
        <v>45</v>
      </c>
      <c r="R1790">
        <f t="shared" si="136"/>
        <v>104</v>
      </c>
      <c r="S1790" s="1">
        <f t="shared" si="137"/>
        <v>-0.93333333333333335</v>
      </c>
      <c r="T1790">
        <f t="shared" si="138"/>
        <v>0.45</v>
      </c>
      <c r="U1790" t="str">
        <f t="shared" si="139"/>
        <v>Apr</v>
      </c>
    </row>
    <row r="1791" spans="1:21">
      <c r="A1791" s="2">
        <v>46088</v>
      </c>
      <c r="B1791" t="s">
        <v>6</v>
      </c>
      <c r="C1791" t="s">
        <v>48</v>
      </c>
      <c r="D1791" t="s">
        <v>9</v>
      </c>
      <c r="E1791" t="s">
        <v>41</v>
      </c>
      <c r="F1791" t="s">
        <v>39</v>
      </c>
      <c r="G1791">
        <v>70</v>
      </c>
      <c r="H1791">
        <v>44</v>
      </c>
      <c r="I1791">
        <v>27</v>
      </c>
      <c r="J1791">
        <v>100</v>
      </c>
      <c r="K1791">
        <v>350</v>
      </c>
      <c r="L1791">
        <v>117.74</v>
      </c>
      <c r="M1791">
        <v>1902.18</v>
      </c>
      <c r="N1791">
        <v>68702</v>
      </c>
      <c r="O1791">
        <v>1129.0999999999999</v>
      </c>
      <c r="P1791" s="1">
        <v>-0.78900000000000003</v>
      </c>
      <c r="Q1791">
        <f t="shared" si="135"/>
        <v>114</v>
      </c>
      <c r="R1791">
        <f t="shared" si="136"/>
        <v>144</v>
      </c>
      <c r="S1791" s="1">
        <f t="shared" si="137"/>
        <v>0.76315789473684215</v>
      </c>
      <c r="T1791">
        <f t="shared" si="138"/>
        <v>1.1399999999999999</v>
      </c>
      <c r="U1791" t="str">
        <f t="shared" si="139"/>
        <v>Mar</v>
      </c>
    </row>
    <row r="1792" spans="1:21">
      <c r="A1792" s="2">
        <v>46071</v>
      </c>
      <c r="B1792" t="s">
        <v>4</v>
      </c>
      <c r="C1792" t="s">
        <v>31</v>
      </c>
      <c r="D1792" t="s">
        <v>11</v>
      </c>
      <c r="E1792" t="s">
        <v>32</v>
      </c>
      <c r="F1792" t="s">
        <v>33</v>
      </c>
      <c r="G1792">
        <v>95</v>
      </c>
      <c r="H1792">
        <v>77</v>
      </c>
      <c r="I1792">
        <v>27</v>
      </c>
      <c r="J1792">
        <v>42</v>
      </c>
      <c r="K1792">
        <v>34</v>
      </c>
      <c r="L1792">
        <v>114.45</v>
      </c>
      <c r="M1792">
        <v>1970.48</v>
      </c>
      <c r="N1792">
        <v>70844</v>
      </c>
      <c r="O1792">
        <v>1130.6099999999999</v>
      </c>
      <c r="P1792" s="1">
        <v>0.13900000000000001</v>
      </c>
      <c r="Q1792">
        <f t="shared" si="135"/>
        <v>172</v>
      </c>
      <c r="R1792">
        <f t="shared" si="136"/>
        <v>119</v>
      </c>
      <c r="S1792" s="1">
        <f t="shared" si="137"/>
        <v>0.84302325581395354</v>
      </c>
      <c r="T1792">
        <f t="shared" si="138"/>
        <v>1.72</v>
      </c>
      <c r="U1792" t="str">
        <f t="shared" si="139"/>
        <v>Feb</v>
      </c>
    </row>
    <row r="1793" spans="1:21">
      <c r="A1793" s="2">
        <v>46124</v>
      </c>
      <c r="B1793" t="s">
        <v>4</v>
      </c>
      <c r="C1793" t="s">
        <v>48</v>
      </c>
      <c r="D1793" t="s">
        <v>7</v>
      </c>
      <c r="E1793" t="s">
        <v>41</v>
      </c>
      <c r="F1793" t="s">
        <v>49</v>
      </c>
      <c r="G1793">
        <v>68</v>
      </c>
      <c r="H1793">
        <v>6</v>
      </c>
      <c r="I1793">
        <v>74</v>
      </c>
      <c r="J1793">
        <v>154</v>
      </c>
      <c r="K1793">
        <v>230</v>
      </c>
      <c r="L1793">
        <v>86.23</v>
      </c>
      <c r="M1793">
        <v>2252.25</v>
      </c>
      <c r="N1793">
        <v>67216</v>
      </c>
      <c r="O1793">
        <v>1787.68</v>
      </c>
      <c r="P1793" s="1">
        <v>0.88900000000000001</v>
      </c>
      <c r="Q1793">
        <f t="shared" si="135"/>
        <v>74</v>
      </c>
      <c r="R1793">
        <f t="shared" si="136"/>
        <v>160</v>
      </c>
      <c r="S1793" s="1">
        <f t="shared" si="137"/>
        <v>0</v>
      </c>
      <c r="T1793">
        <f t="shared" si="138"/>
        <v>0.74</v>
      </c>
      <c r="U1793" t="str">
        <f t="shared" si="139"/>
        <v>Apr</v>
      </c>
    </row>
    <row r="1794" spans="1:21">
      <c r="A1794" s="2">
        <v>46072</v>
      </c>
      <c r="B1794" t="s">
        <v>6</v>
      </c>
      <c r="C1794" t="s">
        <v>43</v>
      </c>
      <c r="D1794" t="s">
        <v>7</v>
      </c>
      <c r="E1794" t="s">
        <v>42</v>
      </c>
      <c r="F1794" t="s">
        <v>45</v>
      </c>
      <c r="G1794">
        <v>49</v>
      </c>
      <c r="H1794">
        <v>56</v>
      </c>
      <c r="I1794">
        <v>63</v>
      </c>
      <c r="J1794">
        <v>117</v>
      </c>
      <c r="K1794">
        <v>185</v>
      </c>
      <c r="L1794">
        <v>125.18</v>
      </c>
      <c r="M1794">
        <v>1985.86</v>
      </c>
      <c r="N1794">
        <v>64558</v>
      </c>
      <c r="O1794">
        <v>1338.76</v>
      </c>
      <c r="P1794" s="1">
        <v>0.85799999999999998</v>
      </c>
      <c r="Q1794">
        <f t="shared" si="135"/>
        <v>105</v>
      </c>
      <c r="R1794">
        <f t="shared" si="136"/>
        <v>173</v>
      </c>
      <c r="S1794" s="1">
        <f t="shared" si="137"/>
        <v>0.4</v>
      </c>
      <c r="T1794">
        <f t="shared" si="138"/>
        <v>1.05</v>
      </c>
      <c r="U1794" t="str">
        <f t="shared" si="139"/>
        <v>Feb</v>
      </c>
    </row>
    <row r="1795" spans="1:21">
      <c r="A1795" s="2">
        <v>46074</v>
      </c>
      <c r="B1795" t="s">
        <v>6</v>
      </c>
      <c r="C1795" t="s">
        <v>46</v>
      </c>
      <c r="D1795" t="s">
        <v>5</v>
      </c>
      <c r="E1795" t="s">
        <v>38</v>
      </c>
      <c r="F1795" t="s">
        <v>33</v>
      </c>
      <c r="G1795">
        <v>35</v>
      </c>
      <c r="H1795">
        <v>1</v>
      </c>
      <c r="I1795">
        <v>23</v>
      </c>
      <c r="J1795">
        <v>130</v>
      </c>
      <c r="K1795">
        <v>222</v>
      </c>
      <c r="L1795">
        <v>83.01</v>
      </c>
      <c r="M1795">
        <v>2444.0300000000002</v>
      </c>
      <c r="N1795">
        <v>66889</v>
      </c>
      <c r="O1795">
        <v>1396.01</v>
      </c>
      <c r="P1795" s="1">
        <v>-0.746</v>
      </c>
      <c r="Q1795">
        <f t="shared" ref="Q1795:Q1858" si="140">G1795+H1795</f>
        <v>36</v>
      </c>
      <c r="R1795">
        <f t="shared" ref="R1795:R1858" si="141">J1795+H1795</f>
        <v>131</v>
      </c>
      <c r="S1795" s="1">
        <f t="shared" ref="S1795:S1858" si="142">(Q1795-I1795)/(Q1795)</f>
        <v>0.3611111111111111</v>
      </c>
      <c r="T1795">
        <f t="shared" ref="T1795:T1858" si="143">Q1795/100</f>
        <v>0.36</v>
      </c>
      <c r="U1795" t="str">
        <f t="shared" ref="U1795:U1858" si="144">TEXT(A1795,"mmm")</f>
        <v>Feb</v>
      </c>
    </row>
    <row r="1796" spans="1:21">
      <c r="A1796" s="2">
        <v>46091</v>
      </c>
      <c r="B1796" t="s">
        <v>6</v>
      </c>
      <c r="C1796" t="s">
        <v>51</v>
      </c>
      <c r="D1796" t="s">
        <v>5</v>
      </c>
      <c r="E1796" t="s">
        <v>41</v>
      </c>
      <c r="F1796" t="s">
        <v>39</v>
      </c>
      <c r="G1796">
        <v>11</v>
      </c>
      <c r="H1796">
        <v>63</v>
      </c>
      <c r="I1796">
        <v>89</v>
      </c>
      <c r="J1796">
        <v>94</v>
      </c>
      <c r="K1796">
        <v>65</v>
      </c>
      <c r="L1796">
        <v>103.69</v>
      </c>
      <c r="M1796">
        <v>2063.09</v>
      </c>
      <c r="N1796">
        <v>67228</v>
      </c>
      <c r="O1796">
        <v>1665.66</v>
      </c>
      <c r="P1796" s="1">
        <v>0.52200000000000002</v>
      </c>
      <c r="Q1796">
        <f t="shared" si="140"/>
        <v>74</v>
      </c>
      <c r="R1796">
        <f t="shared" si="141"/>
        <v>157</v>
      </c>
      <c r="S1796" s="1">
        <f t="shared" si="142"/>
        <v>-0.20270270270270271</v>
      </c>
      <c r="T1796">
        <f t="shared" si="143"/>
        <v>0.74</v>
      </c>
      <c r="U1796" t="str">
        <f t="shared" si="144"/>
        <v>Mar</v>
      </c>
    </row>
    <row r="1797" spans="1:21">
      <c r="A1797" s="2">
        <v>46083</v>
      </c>
      <c r="B1797" t="s">
        <v>4</v>
      </c>
      <c r="C1797" t="s">
        <v>31</v>
      </c>
      <c r="D1797" t="s">
        <v>10</v>
      </c>
      <c r="E1797" t="s">
        <v>37</v>
      </c>
      <c r="F1797" t="s">
        <v>45</v>
      </c>
      <c r="G1797">
        <v>33</v>
      </c>
      <c r="H1797">
        <v>38</v>
      </c>
      <c r="I1797">
        <v>19</v>
      </c>
      <c r="J1797">
        <v>88</v>
      </c>
      <c r="K1797">
        <v>223</v>
      </c>
      <c r="L1797">
        <v>130.04</v>
      </c>
      <c r="M1797">
        <v>2385.88</v>
      </c>
      <c r="N1797">
        <v>71245</v>
      </c>
      <c r="O1797">
        <v>1434.62</v>
      </c>
      <c r="P1797" s="1">
        <v>-0.97799999999999998</v>
      </c>
      <c r="Q1797">
        <f t="shared" si="140"/>
        <v>71</v>
      </c>
      <c r="R1797">
        <f t="shared" si="141"/>
        <v>126</v>
      </c>
      <c r="S1797" s="1">
        <f t="shared" si="142"/>
        <v>0.73239436619718312</v>
      </c>
      <c r="T1797">
        <f t="shared" si="143"/>
        <v>0.71</v>
      </c>
      <c r="U1797" t="str">
        <f t="shared" si="144"/>
        <v>Mar</v>
      </c>
    </row>
    <row r="1798" spans="1:21">
      <c r="A1798" s="2">
        <v>46116</v>
      </c>
      <c r="B1798" t="s">
        <v>6</v>
      </c>
      <c r="C1798" t="s">
        <v>40</v>
      </c>
      <c r="D1798" t="s">
        <v>5</v>
      </c>
      <c r="E1798" t="s">
        <v>35</v>
      </c>
      <c r="F1798" t="s">
        <v>33</v>
      </c>
      <c r="G1798">
        <v>18</v>
      </c>
      <c r="H1798">
        <v>32</v>
      </c>
      <c r="I1798">
        <v>53</v>
      </c>
      <c r="J1798">
        <v>69</v>
      </c>
      <c r="K1798">
        <v>403</v>
      </c>
      <c r="L1798">
        <v>124.97</v>
      </c>
      <c r="M1798">
        <v>2468.16</v>
      </c>
      <c r="N1798">
        <v>68240</v>
      </c>
      <c r="O1798">
        <v>963.04</v>
      </c>
      <c r="P1798" s="1">
        <v>0.81499999999999995</v>
      </c>
      <c r="Q1798">
        <f t="shared" si="140"/>
        <v>50</v>
      </c>
      <c r="R1798">
        <f t="shared" si="141"/>
        <v>101</v>
      </c>
      <c r="S1798" s="1">
        <f t="shared" si="142"/>
        <v>-0.06</v>
      </c>
      <c r="T1798">
        <f t="shared" si="143"/>
        <v>0.5</v>
      </c>
      <c r="U1798" t="str">
        <f t="shared" si="144"/>
        <v>Apr</v>
      </c>
    </row>
    <row r="1799" spans="1:21">
      <c r="A1799" s="2">
        <v>46097</v>
      </c>
      <c r="B1799" t="s">
        <v>6</v>
      </c>
      <c r="C1799" t="s">
        <v>46</v>
      </c>
      <c r="D1799" t="s">
        <v>10</v>
      </c>
      <c r="E1799" t="s">
        <v>37</v>
      </c>
      <c r="F1799" t="s">
        <v>33</v>
      </c>
      <c r="G1799">
        <v>93</v>
      </c>
      <c r="H1799">
        <v>60</v>
      </c>
      <c r="I1799">
        <v>84</v>
      </c>
      <c r="J1799">
        <v>0</v>
      </c>
      <c r="K1799">
        <v>197</v>
      </c>
      <c r="L1799">
        <v>114.38</v>
      </c>
      <c r="M1799">
        <v>2112.37</v>
      </c>
      <c r="N1799">
        <v>71979</v>
      </c>
      <c r="O1799">
        <v>1613.79</v>
      </c>
      <c r="P1799" s="1">
        <v>0.59799999999999998</v>
      </c>
      <c r="Q1799">
        <f t="shared" si="140"/>
        <v>153</v>
      </c>
      <c r="R1799">
        <f t="shared" si="141"/>
        <v>60</v>
      </c>
      <c r="S1799" s="1">
        <f t="shared" si="142"/>
        <v>0.45098039215686275</v>
      </c>
      <c r="T1799">
        <f t="shared" si="143"/>
        <v>1.53</v>
      </c>
      <c r="U1799" t="str">
        <f t="shared" si="144"/>
        <v>Mar</v>
      </c>
    </row>
    <row r="1800" spans="1:21">
      <c r="A1800" s="2">
        <v>46104</v>
      </c>
      <c r="B1800" t="s">
        <v>4</v>
      </c>
      <c r="C1800" t="s">
        <v>43</v>
      </c>
      <c r="D1800" t="s">
        <v>5</v>
      </c>
      <c r="E1800" t="s">
        <v>37</v>
      </c>
      <c r="F1800" t="s">
        <v>45</v>
      </c>
      <c r="G1800">
        <v>96</v>
      </c>
      <c r="H1800">
        <v>10</v>
      </c>
      <c r="I1800">
        <v>49</v>
      </c>
      <c r="J1800">
        <v>87</v>
      </c>
      <c r="K1800">
        <v>430</v>
      </c>
      <c r="L1800">
        <v>103.53</v>
      </c>
      <c r="M1800">
        <v>2101.39</v>
      </c>
      <c r="N1800">
        <v>69817</v>
      </c>
      <c r="O1800">
        <v>1754.99</v>
      </c>
      <c r="P1800" s="1">
        <v>-0.94699999999999995</v>
      </c>
      <c r="Q1800">
        <f t="shared" si="140"/>
        <v>106</v>
      </c>
      <c r="R1800">
        <f t="shared" si="141"/>
        <v>97</v>
      </c>
      <c r="S1800" s="1">
        <f t="shared" si="142"/>
        <v>0.53773584905660377</v>
      </c>
      <c r="T1800">
        <f t="shared" si="143"/>
        <v>1.06</v>
      </c>
      <c r="U1800" t="str">
        <f t="shared" si="144"/>
        <v>Mar</v>
      </c>
    </row>
    <row r="1801" spans="1:21">
      <c r="A1801" s="2">
        <v>46075</v>
      </c>
      <c r="B1801" t="s">
        <v>6</v>
      </c>
      <c r="C1801" t="s">
        <v>31</v>
      </c>
      <c r="D1801" t="s">
        <v>7</v>
      </c>
      <c r="E1801" t="s">
        <v>38</v>
      </c>
      <c r="F1801" t="s">
        <v>33</v>
      </c>
      <c r="G1801">
        <v>24</v>
      </c>
      <c r="H1801">
        <v>18</v>
      </c>
      <c r="I1801">
        <v>24</v>
      </c>
      <c r="J1801">
        <v>97</v>
      </c>
      <c r="K1801">
        <v>269</v>
      </c>
      <c r="L1801">
        <v>99.19</v>
      </c>
      <c r="M1801">
        <v>1988.55</v>
      </c>
      <c r="N1801">
        <v>71310</v>
      </c>
      <c r="O1801">
        <v>1547.26</v>
      </c>
      <c r="P1801" s="1">
        <v>0.17599999999999999</v>
      </c>
      <c r="Q1801">
        <f t="shared" si="140"/>
        <v>42</v>
      </c>
      <c r="R1801">
        <f t="shared" si="141"/>
        <v>115</v>
      </c>
      <c r="S1801" s="1">
        <f t="shared" si="142"/>
        <v>0.42857142857142855</v>
      </c>
      <c r="T1801">
        <f t="shared" si="143"/>
        <v>0.42</v>
      </c>
      <c r="U1801" t="str">
        <f t="shared" si="144"/>
        <v>Feb</v>
      </c>
    </row>
    <row r="1802" spans="1:21">
      <c r="A1802" s="2">
        <v>46115</v>
      </c>
      <c r="B1802" t="s">
        <v>6</v>
      </c>
      <c r="C1802" t="s">
        <v>51</v>
      </c>
      <c r="D1802" t="s">
        <v>11</v>
      </c>
      <c r="E1802" t="s">
        <v>41</v>
      </c>
      <c r="F1802" t="s">
        <v>45</v>
      </c>
      <c r="G1802">
        <v>18</v>
      </c>
      <c r="H1802">
        <v>25</v>
      </c>
      <c r="I1802">
        <v>42</v>
      </c>
      <c r="J1802">
        <v>46</v>
      </c>
      <c r="K1802">
        <v>195</v>
      </c>
      <c r="L1802">
        <v>134.59</v>
      </c>
      <c r="M1802">
        <v>2110.17</v>
      </c>
      <c r="N1802">
        <v>70076</v>
      </c>
      <c r="O1802">
        <v>1323.03</v>
      </c>
      <c r="P1802" s="1">
        <v>1.2999999999999999E-2</v>
      </c>
      <c r="Q1802">
        <f t="shared" si="140"/>
        <v>43</v>
      </c>
      <c r="R1802">
        <f t="shared" si="141"/>
        <v>71</v>
      </c>
      <c r="S1802" s="1">
        <f t="shared" si="142"/>
        <v>2.3255813953488372E-2</v>
      </c>
      <c r="T1802">
        <f t="shared" si="143"/>
        <v>0.43</v>
      </c>
      <c r="U1802" t="str">
        <f t="shared" si="144"/>
        <v>Apr</v>
      </c>
    </row>
    <row r="1803" spans="1:21">
      <c r="A1803" s="2">
        <v>46106</v>
      </c>
      <c r="B1803" t="s">
        <v>6</v>
      </c>
      <c r="C1803" t="s">
        <v>43</v>
      </c>
      <c r="D1803" t="s">
        <v>7</v>
      </c>
      <c r="E1803" t="s">
        <v>38</v>
      </c>
      <c r="F1803" t="s">
        <v>45</v>
      </c>
      <c r="G1803">
        <v>46</v>
      </c>
      <c r="H1803">
        <v>19</v>
      </c>
      <c r="I1803">
        <v>75</v>
      </c>
      <c r="J1803">
        <v>108</v>
      </c>
      <c r="K1803">
        <v>425</v>
      </c>
      <c r="L1803">
        <v>125.03</v>
      </c>
      <c r="M1803">
        <v>2323.39</v>
      </c>
      <c r="N1803">
        <v>71521</v>
      </c>
      <c r="O1803">
        <v>942.72</v>
      </c>
      <c r="P1803" s="1">
        <v>-0.56399999999999995</v>
      </c>
      <c r="Q1803">
        <f t="shared" si="140"/>
        <v>65</v>
      </c>
      <c r="R1803">
        <f t="shared" si="141"/>
        <v>127</v>
      </c>
      <c r="S1803" s="1">
        <f t="shared" si="142"/>
        <v>-0.15384615384615385</v>
      </c>
      <c r="T1803">
        <f t="shared" si="143"/>
        <v>0.65</v>
      </c>
      <c r="U1803" t="str">
        <f t="shared" si="144"/>
        <v>Mar</v>
      </c>
    </row>
    <row r="1804" spans="1:21">
      <c r="A1804" s="2">
        <v>46113</v>
      </c>
      <c r="B1804" t="s">
        <v>6</v>
      </c>
      <c r="C1804" t="s">
        <v>31</v>
      </c>
      <c r="D1804" t="s">
        <v>10</v>
      </c>
      <c r="E1804" t="s">
        <v>42</v>
      </c>
      <c r="F1804" t="s">
        <v>49</v>
      </c>
      <c r="G1804">
        <v>113</v>
      </c>
      <c r="H1804">
        <v>64</v>
      </c>
      <c r="I1804">
        <v>48</v>
      </c>
      <c r="J1804">
        <v>31</v>
      </c>
      <c r="K1804">
        <v>196</v>
      </c>
      <c r="L1804">
        <v>94.18</v>
      </c>
      <c r="M1804">
        <v>1907.59</v>
      </c>
      <c r="N1804">
        <v>73934</v>
      </c>
      <c r="O1804">
        <v>1414.2</v>
      </c>
      <c r="P1804" s="1">
        <v>0.37</v>
      </c>
      <c r="Q1804">
        <f t="shared" si="140"/>
        <v>177</v>
      </c>
      <c r="R1804">
        <f t="shared" si="141"/>
        <v>95</v>
      </c>
      <c r="S1804" s="1">
        <f t="shared" si="142"/>
        <v>0.72881355932203384</v>
      </c>
      <c r="T1804">
        <f t="shared" si="143"/>
        <v>1.77</v>
      </c>
      <c r="U1804" t="str">
        <f t="shared" si="144"/>
        <v>Apr</v>
      </c>
    </row>
    <row r="1805" spans="1:21">
      <c r="A1805" s="2">
        <v>46111</v>
      </c>
      <c r="B1805" t="s">
        <v>6</v>
      </c>
      <c r="C1805" t="s">
        <v>51</v>
      </c>
      <c r="D1805" t="s">
        <v>5</v>
      </c>
      <c r="E1805" t="s">
        <v>41</v>
      </c>
      <c r="F1805" t="s">
        <v>49</v>
      </c>
      <c r="G1805">
        <v>43</v>
      </c>
      <c r="H1805">
        <v>66</v>
      </c>
      <c r="I1805">
        <v>71</v>
      </c>
      <c r="J1805">
        <v>67</v>
      </c>
      <c r="K1805">
        <v>262</v>
      </c>
      <c r="L1805">
        <v>95.72</v>
      </c>
      <c r="M1805">
        <v>2463.8000000000002</v>
      </c>
      <c r="N1805">
        <v>64278</v>
      </c>
      <c r="O1805">
        <v>1639.36</v>
      </c>
      <c r="P1805" s="1">
        <v>0</v>
      </c>
      <c r="Q1805">
        <f t="shared" si="140"/>
        <v>109</v>
      </c>
      <c r="R1805">
        <f t="shared" si="141"/>
        <v>133</v>
      </c>
      <c r="S1805" s="1">
        <f t="shared" si="142"/>
        <v>0.34862385321100919</v>
      </c>
      <c r="T1805">
        <f t="shared" si="143"/>
        <v>1.0900000000000001</v>
      </c>
      <c r="U1805" t="str">
        <f t="shared" si="144"/>
        <v>Mar</v>
      </c>
    </row>
    <row r="1806" spans="1:21">
      <c r="A1806" s="2">
        <v>46074</v>
      </c>
      <c r="B1806" t="s">
        <v>4</v>
      </c>
      <c r="C1806" t="s">
        <v>43</v>
      </c>
      <c r="D1806" t="s">
        <v>5</v>
      </c>
      <c r="E1806" t="s">
        <v>32</v>
      </c>
      <c r="F1806" t="s">
        <v>45</v>
      </c>
      <c r="G1806">
        <v>62</v>
      </c>
      <c r="H1806">
        <v>49</v>
      </c>
      <c r="I1806">
        <v>34</v>
      </c>
      <c r="J1806">
        <v>63</v>
      </c>
      <c r="K1806">
        <v>27</v>
      </c>
      <c r="L1806">
        <v>129.94</v>
      </c>
      <c r="M1806">
        <v>2008.04</v>
      </c>
      <c r="N1806">
        <v>65254</v>
      </c>
      <c r="O1806">
        <v>1486.68</v>
      </c>
      <c r="P1806" s="1">
        <v>-0.71299999999999997</v>
      </c>
      <c r="Q1806">
        <f t="shared" si="140"/>
        <v>111</v>
      </c>
      <c r="R1806">
        <f t="shared" si="141"/>
        <v>112</v>
      </c>
      <c r="S1806" s="1">
        <f t="shared" si="142"/>
        <v>0.69369369369369371</v>
      </c>
      <c r="T1806">
        <f t="shared" si="143"/>
        <v>1.1100000000000001</v>
      </c>
      <c r="U1806" t="str">
        <f t="shared" si="144"/>
        <v>Feb</v>
      </c>
    </row>
    <row r="1807" spans="1:21">
      <c r="A1807" s="2">
        <v>46079</v>
      </c>
      <c r="B1807" t="s">
        <v>6</v>
      </c>
      <c r="C1807" t="s">
        <v>50</v>
      </c>
      <c r="D1807" t="s">
        <v>9</v>
      </c>
      <c r="E1807" t="s">
        <v>38</v>
      </c>
      <c r="F1807" t="s">
        <v>45</v>
      </c>
      <c r="G1807">
        <v>20</v>
      </c>
      <c r="H1807">
        <v>18</v>
      </c>
      <c r="I1807">
        <v>60</v>
      </c>
      <c r="J1807">
        <v>86</v>
      </c>
      <c r="K1807">
        <v>305</v>
      </c>
      <c r="L1807">
        <v>130.29</v>
      </c>
      <c r="M1807">
        <v>1881.46</v>
      </c>
      <c r="N1807">
        <v>64692</v>
      </c>
      <c r="O1807">
        <v>1560.69</v>
      </c>
      <c r="P1807" s="1">
        <v>0.20899999999999999</v>
      </c>
      <c r="Q1807">
        <f t="shared" si="140"/>
        <v>38</v>
      </c>
      <c r="R1807">
        <f t="shared" si="141"/>
        <v>104</v>
      </c>
      <c r="S1807" s="1">
        <f t="shared" si="142"/>
        <v>-0.57894736842105265</v>
      </c>
      <c r="T1807">
        <f t="shared" si="143"/>
        <v>0.38</v>
      </c>
      <c r="U1807" t="str">
        <f t="shared" si="144"/>
        <v>Feb</v>
      </c>
    </row>
    <row r="1808" spans="1:21">
      <c r="A1808" s="2">
        <v>46073</v>
      </c>
      <c r="B1808" t="s">
        <v>6</v>
      </c>
      <c r="C1808" t="s">
        <v>50</v>
      </c>
      <c r="D1808" t="s">
        <v>5</v>
      </c>
      <c r="E1808" t="s">
        <v>32</v>
      </c>
      <c r="F1808" t="s">
        <v>49</v>
      </c>
      <c r="G1808">
        <v>12</v>
      </c>
      <c r="H1808">
        <v>74</v>
      </c>
      <c r="I1808">
        <v>61</v>
      </c>
      <c r="J1808">
        <v>76</v>
      </c>
      <c r="K1808">
        <v>10</v>
      </c>
      <c r="L1808">
        <v>138.91</v>
      </c>
      <c r="M1808">
        <v>2346.59</v>
      </c>
      <c r="N1808">
        <v>68408</v>
      </c>
      <c r="O1808">
        <v>1405.77</v>
      </c>
      <c r="P1808" s="1">
        <v>0.04</v>
      </c>
      <c r="Q1808">
        <f t="shared" si="140"/>
        <v>86</v>
      </c>
      <c r="R1808">
        <f t="shared" si="141"/>
        <v>150</v>
      </c>
      <c r="S1808" s="1">
        <f t="shared" si="142"/>
        <v>0.29069767441860467</v>
      </c>
      <c r="T1808">
        <f t="shared" si="143"/>
        <v>0.86</v>
      </c>
      <c r="U1808" t="str">
        <f t="shared" si="144"/>
        <v>Feb</v>
      </c>
    </row>
    <row r="1809" spans="1:21">
      <c r="A1809" s="2">
        <v>46116</v>
      </c>
      <c r="B1809" t="s">
        <v>4</v>
      </c>
      <c r="C1809" t="s">
        <v>46</v>
      </c>
      <c r="D1809" t="s">
        <v>5</v>
      </c>
      <c r="E1809" t="s">
        <v>35</v>
      </c>
      <c r="F1809" t="s">
        <v>49</v>
      </c>
      <c r="G1809">
        <v>27</v>
      </c>
      <c r="H1809">
        <v>13</v>
      </c>
      <c r="I1809">
        <v>57</v>
      </c>
      <c r="J1809">
        <v>147</v>
      </c>
      <c r="K1809">
        <v>346</v>
      </c>
      <c r="L1809">
        <v>115.29</v>
      </c>
      <c r="M1809">
        <v>1965.45</v>
      </c>
      <c r="N1809">
        <v>72941</v>
      </c>
      <c r="O1809">
        <v>1231.8399999999999</v>
      </c>
      <c r="P1809" s="1">
        <v>-0.33400000000000002</v>
      </c>
      <c r="Q1809">
        <f t="shared" si="140"/>
        <v>40</v>
      </c>
      <c r="R1809">
        <f t="shared" si="141"/>
        <v>160</v>
      </c>
      <c r="S1809" s="1">
        <f t="shared" si="142"/>
        <v>-0.42499999999999999</v>
      </c>
      <c r="T1809">
        <f t="shared" si="143"/>
        <v>0.4</v>
      </c>
      <c r="U1809" t="str">
        <f t="shared" si="144"/>
        <v>Apr</v>
      </c>
    </row>
    <row r="1810" spans="1:21">
      <c r="A1810" s="2">
        <v>46092</v>
      </c>
      <c r="B1810" t="s">
        <v>4</v>
      </c>
      <c r="C1810" t="s">
        <v>36</v>
      </c>
      <c r="D1810" t="s">
        <v>5</v>
      </c>
      <c r="E1810" t="s">
        <v>47</v>
      </c>
      <c r="F1810" t="s">
        <v>33</v>
      </c>
      <c r="G1810">
        <v>30</v>
      </c>
      <c r="H1810">
        <v>32</v>
      </c>
      <c r="I1810">
        <v>20</v>
      </c>
      <c r="J1810">
        <v>146</v>
      </c>
      <c r="K1810">
        <v>159</v>
      </c>
      <c r="L1810">
        <v>103.37</v>
      </c>
      <c r="M1810">
        <v>1908.4</v>
      </c>
      <c r="N1810">
        <v>65577</v>
      </c>
      <c r="O1810">
        <v>934.67</v>
      </c>
      <c r="P1810" s="1">
        <v>0.995</v>
      </c>
      <c r="Q1810">
        <f t="shared" si="140"/>
        <v>62</v>
      </c>
      <c r="R1810">
        <f t="shared" si="141"/>
        <v>178</v>
      </c>
      <c r="S1810" s="1">
        <f t="shared" si="142"/>
        <v>0.67741935483870963</v>
      </c>
      <c r="T1810">
        <f t="shared" si="143"/>
        <v>0.62</v>
      </c>
      <c r="U1810" t="str">
        <f t="shared" si="144"/>
        <v>Mar</v>
      </c>
    </row>
    <row r="1811" spans="1:21">
      <c r="A1811" s="2">
        <v>46097</v>
      </c>
      <c r="B1811" t="s">
        <v>4</v>
      </c>
      <c r="C1811" t="s">
        <v>50</v>
      </c>
      <c r="D1811" t="s">
        <v>11</v>
      </c>
      <c r="E1811" t="s">
        <v>32</v>
      </c>
      <c r="F1811" t="s">
        <v>39</v>
      </c>
      <c r="G1811">
        <v>99</v>
      </c>
      <c r="H1811">
        <v>30</v>
      </c>
      <c r="I1811">
        <v>61</v>
      </c>
      <c r="J1811">
        <v>37</v>
      </c>
      <c r="K1811">
        <v>445</v>
      </c>
      <c r="L1811">
        <v>111.12</v>
      </c>
      <c r="M1811">
        <v>1843.18</v>
      </c>
      <c r="N1811">
        <v>71572</v>
      </c>
      <c r="O1811">
        <v>915.86</v>
      </c>
      <c r="P1811" s="1">
        <v>-0.64</v>
      </c>
      <c r="Q1811">
        <f t="shared" si="140"/>
        <v>129</v>
      </c>
      <c r="R1811">
        <f t="shared" si="141"/>
        <v>67</v>
      </c>
      <c r="S1811" s="1">
        <f t="shared" si="142"/>
        <v>0.52713178294573648</v>
      </c>
      <c r="T1811">
        <f t="shared" si="143"/>
        <v>1.29</v>
      </c>
      <c r="U1811" t="str">
        <f t="shared" si="144"/>
        <v>Mar</v>
      </c>
    </row>
    <row r="1812" spans="1:21">
      <c r="A1812" s="2">
        <v>46078</v>
      </c>
      <c r="B1812" t="s">
        <v>4</v>
      </c>
      <c r="C1812" t="s">
        <v>34</v>
      </c>
      <c r="D1812" t="s">
        <v>11</v>
      </c>
      <c r="E1812" t="s">
        <v>47</v>
      </c>
      <c r="F1812" t="s">
        <v>33</v>
      </c>
      <c r="G1812">
        <v>42</v>
      </c>
      <c r="H1812">
        <v>7</v>
      </c>
      <c r="I1812">
        <v>28</v>
      </c>
      <c r="J1812">
        <v>12</v>
      </c>
      <c r="K1812">
        <v>297</v>
      </c>
      <c r="L1812">
        <v>97.97</v>
      </c>
      <c r="M1812">
        <v>1919.39</v>
      </c>
      <c r="N1812">
        <v>66690</v>
      </c>
      <c r="O1812">
        <v>1715.78</v>
      </c>
      <c r="P1812" s="1">
        <v>4.1000000000000002E-2</v>
      </c>
      <c r="Q1812">
        <f t="shared" si="140"/>
        <v>49</v>
      </c>
      <c r="R1812">
        <f t="shared" si="141"/>
        <v>19</v>
      </c>
      <c r="S1812" s="1">
        <f t="shared" si="142"/>
        <v>0.42857142857142855</v>
      </c>
      <c r="T1812">
        <f t="shared" si="143"/>
        <v>0.49</v>
      </c>
      <c r="U1812" t="str">
        <f t="shared" si="144"/>
        <v>Feb</v>
      </c>
    </row>
    <row r="1813" spans="1:21">
      <c r="A1813" s="2">
        <v>46097</v>
      </c>
      <c r="B1813" t="s">
        <v>6</v>
      </c>
      <c r="C1813" t="s">
        <v>40</v>
      </c>
      <c r="D1813" t="s">
        <v>5</v>
      </c>
      <c r="E1813" t="s">
        <v>35</v>
      </c>
      <c r="F1813" t="s">
        <v>33</v>
      </c>
      <c r="G1813">
        <v>26</v>
      </c>
      <c r="H1813">
        <v>36</v>
      </c>
      <c r="I1813">
        <v>80</v>
      </c>
      <c r="J1813">
        <v>11</v>
      </c>
      <c r="K1813">
        <v>448</v>
      </c>
      <c r="L1813">
        <v>107.01</v>
      </c>
      <c r="M1813">
        <v>2054.35</v>
      </c>
      <c r="N1813">
        <v>67696</v>
      </c>
      <c r="O1813">
        <v>1578.87</v>
      </c>
      <c r="P1813" s="1">
        <v>0.94699999999999995</v>
      </c>
      <c r="Q1813">
        <f t="shared" si="140"/>
        <v>62</v>
      </c>
      <c r="R1813">
        <f t="shared" si="141"/>
        <v>47</v>
      </c>
      <c r="S1813" s="1">
        <f t="shared" si="142"/>
        <v>-0.29032258064516131</v>
      </c>
      <c r="T1813">
        <f t="shared" si="143"/>
        <v>0.62</v>
      </c>
      <c r="U1813" t="str">
        <f t="shared" si="144"/>
        <v>Mar</v>
      </c>
    </row>
    <row r="1814" spans="1:21">
      <c r="A1814" s="2">
        <v>46119</v>
      </c>
      <c r="B1814" t="s">
        <v>6</v>
      </c>
      <c r="C1814" t="s">
        <v>51</v>
      </c>
      <c r="D1814" t="s">
        <v>11</v>
      </c>
      <c r="E1814" t="s">
        <v>35</v>
      </c>
      <c r="F1814" t="s">
        <v>39</v>
      </c>
      <c r="G1814">
        <v>61</v>
      </c>
      <c r="H1814">
        <v>62</v>
      </c>
      <c r="I1814">
        <v>51</v>
      </c>
      <c r="J1814">
        <v>51</v>
      </c>
      <c r="K1814">
        <v>410</v>
      </c>
      <c r="L1814">
        <v>119.81</v>
      </c>
      <c r="M1814">
        <v>1890.83</v>
      </c>
      <c r="N1814">
        <v>67380</v>
      </c>
      <c r="O1814">
        <v>932.7</v>
      </c>
      <c r="P1814" s="1">
        <v>0.86699999999999999</v>
      </c>
      <c r="Q1814">
        <f t="shared" si="140"/>
        <v>123</v>
      </c>
      <c r="R1814">
        <f t="shared" si="141"/>
        <v>113</v>
      </c>
      <c r="S1814" s="1">
        <f t="shared" si="142"/>
        <v>0.58536585365853655</v>
      </c>
      <c r="T1814">
        <f t="shared" si="143"/>
        <v>1.23</v>
      </c>
      <c r="U1814" t="str">
        <f t="shared" si="144"/>
        <v>Apr</v>
      </c>
    </row>
    <row r="1815" spans="1:21">
      <c r="A1815" s="2">
        <v>46118</v>
      </c>
      <c r="B1815" t="s">
        <v>4</v>
      </c>
      <c r="C1815" t="s">
        <v>50</v>
      </c>
      <c r="D1815" t="s">
        <v>5</v>
      </c>
      <c r="E1815" t="s">
        <v>47</v>
      </c>
      <c r="F1815" t="s">
        <v>33</v>
      </c>
      <c r="G1815">
        <v>26</v>
      </c>
      <c r="H1815">
        <v>12</v>
      </c>
      <c r="I1815">
        <v>31</v>
      </c>
      <c r="J1815">
        <v>17</v>
      </c>
      <c r="K1815">
        <v>314</v>
      </c>
      <c r="L1815">
        <v>83.25</v>
      </c>
      <c r="M1815">
        <v>2230.98</v>
      </c>
      <c r="N1815">
        <v>75623</v>
      </c>
      <c r="O1815">
        <v>1241.42</v>
      </c>
      <c r="P1815" s="1">
        <v>-0.79600000000000004</v>
      </c>
      <c r="Q1815">
        <f t="shared" si="140"/>
        <v>38</v>
      </c>
      <c r="R1815">
        <f t="shared" si="141"/>
        <v>29</v>
      </c>
      <c r="S1815" s="1">
        <f t="shared" si="142"/>
        <v>0.18421052631578946</v>
      </c>
      <c r="T1815">
        <f t="shared" si="143"/>
        <v>0.38</v>
      </c>
      <c r="U1815" t="str">
        <f t="shared" si="144"/>
        <v>Apr</v>
      </c>
    </row>
    <row r="1816" spans="1:21">
      <c r="A1816" s="2">
        <v>46110</v>
      </c>
      <c r="B1816" t="s">
        <v>4</v>
      </c>
      <c r="C1816" t="s">
        <v>31</v>
      </c>
      <c r="D1816" t="s">
        <v>10</v>
      </c>
      <c r="E1816" t="s">
        <v>32</v>
      </c>
      <c r="F1816" t="s">
        <v>45</v>
      </c>
      <c r="G1816">
        <v>57</v>
      </c>
      <c r="H1816">
        <v>56</v>
      </c>
      <c r="I1816">
        <v>86</v>
      </c>
      <c r="J1816">
        <v>56</v>
      </c>
      <c r="K1816">
        <v>395</v>
      </c>
      <c r="L1816">
        <v>137.38999999999999</v>
      </c>
      <c r="M1816">
        <v>2160.38</v>
      </c>
      <c r="N1816">
        <v>66857</v>
      </c>
      <c r="O1816">
        <v>1355.5</v>
      </c>
      <c r="P1816" s="1">
        <v>0.253</v>
      </c>
      <c r="Q1816">
        <f t="shared" si="140"/>
        <v>113</v>
      </c>
      <c r="R1816">
        <f t="shared" si="141"/>
        <v>112</v>
      </c>
      <c r="S1816" s="1">
        <f t="shared" si="142"/>
        <v>0.23893805309734514</v>
      </c>
      <c r="T1816">
        <f t="shared" si="143"/>
        <v>1.1299999999999999</v>
      </c>
      <c r="U1816" t="str">
        <f t="shared" si="144"/>
        <v>Mar</v>
      </c>
    </row>
    <row r="1817" spans="1:21">
      <c r="A1817" s="2">
        <v>46104</v>
      </c>
      <c r="B1817" t="s">
        <v>6</v>
      </c>
      <c r="C1817" t="s">
        <v>50</v>
      </c>
      <c r="D1817" t="s">
        <v>7</v>
      </c>
      <c r="E1817" t="s">
        <v>35</v>
      </c>
      <c r="F1817" t="s">
        <v>49</v>
      </c>
      <c r="G1817">
        <v>8</v>
      </c>
      <c r="H1817">
        <v>31</v>
      </c>
      <c r="I1817">
        <v>53</v>
      </c>
      <c r="J1817">
        <v>14</v>
      </c>
      <c r="K1817">
        <v>135</v>
      </c>
      <c r="L1817">
        <v>83.43</v>
      </c>
      <c r="M1817">
        <v>2301.73</v>
      </c>
      <c r="N1817">
        <v>72875</v>
      </c>
      <c r="O1817">
        <v>1307.0899999999999</v>
      </c>
      <c r="P1817" s="1">
        <v>0.36499999999999999</v>
      </c>
      <c r="Q1817">
        <f t="shared" si="140"/>
        <v>39</v>
      </c>
      <c r="R1817">
        <f t="shared" si="141"/>
        <v>45</v>
      </c>
      <c r="S1817" s="1">
        <f t="shared" si="142"/>
        <v>-0.35897435897435898</v>
      </c>
      <c r="T1817">
        <f t="shared" si="143"/>
        <v>0.39</v>
      </c>
      <c r="U1817" t="str">
        <f t="shared" si="144"/>
        <v>Mar</v>
      </c>
    </row>
    <row r="1818" spans="1:21">
      <c r="A1818" s="2">
        <v>46117</v>
      </c>
      <c r="B1818" t="s">
        <v>4</v>
      </c>
      <c r="C1818" t="s">
        <v>36</v>
      </c>
      <c r="D1818" t="s">
        <v>9</v>
      </c>
      <c r="E1818" t="s">
        <v>42</v>
      </c>
      <c r="F1818" t="s">
        <v>45</v>
      </c>
      <c r="G1818">
        <v>89</v>
      </c>
      <c r="H1818">
        <v>63</v>
      </c>
      <c r="I1818">
        <v>25</v>
      </c>
      <c r="J1818">
        <v>92</v>
      </c>
      <c r="K1818">
        <v>153</v>
      </c>
      <c r="L1818">
        <v>87.96</v>
      </c>
      <c r="M1818">
        <v>2090.88</v>
      </c>
      <c r="N1818">
        <v>64906</v>
      </c>
      <c r="O1818">
        <v>1400.26</v>
      </c>
      <c r="P1818" s="1">
        <v>-0.252</v>
      </c>
      <c r="Q1818">
        <f t="shared" si="140"/>
        <v>152</v>
      </c>
      <c r="R1818">
        <f t="shared" si="141"/>
        <v>155</v>
      </c>
      <c r="S1818" s="1">
        <f t="shared" si="142"/>
        <v>0.83552631578947367</v>
      </c>
      <c r="T1818">
        <f t="shared" si="143"/>
        <v>1.52</v>
      </c>
      <c r="U1818" t="str">
        <f t="shared" si="144"/>
        <v>Apr</v>
      </c>
    </row>
    <row r="1819" spans="1:21">
      <c r="A1819" s="2">
        <v>46120</v>
      </c>
      <c r="B1819" t="s">
        <v>6</v>
      </c>
      <c r="C1819" t="s">
        <v>43</v>
      </c>
      <c r="D1819" t="s">
        <v>7</v>
      </c>
      <c r="E1819" t="s">
        <v>35</v>
      </c>
      <c r="F1819" t="s">
        <v>33</v>
      </c>
      <c r="G1819">
        <v>9</v>
      </c>
      <c r="H1819">
        <v>55</v>
      </c>
      <c r="I1819">
        <v>2</v>
      </c>
      <c r="J1819">
        <v>54</v>
      </c>
      <c r="K1819">
        <v>92</v>
      </c>
      <c r="L1819">
        <v>87.65</v>
      </c>
      <c r="M1819">
        <v>1828.81</v>
      </c>
      <c r="N1819">
        <v>71308</v>
      </c>
      <c r="O1819">
        <v>930.9</v>
      </c>
      <c r="P1819" s="1">
        <v>0.432</v>
      </c>
      <c r="Q1819">
        <f t="shared" si="140"/>
        <v>64</v>
      </c>
      <c r="R1819">
        <f t="shared" si="141"/>
        <v>109</v>
      </c>
      <c r="S1819" s="1">
        <f t="shared" si="142"/>
        <v>0.96875</v>
      </c>
      <c r="T1819">
        <f t="shared" si="143"/>
        <v>0.64</v>
      </c>
      <c r="U1819" t="str">
        <f t="shared" si="144"/>
        <v>Apr</v>
      </c>
    </row>
    <row r="1820" spans="1:21">
      <c r="A1820" s="2">
        <v>46122</v>
      </c>
      <c r="B1820" t="s">
        <v>6</v>
      </c>
      <c r="C1820" t="s">
        <v>43</v>
      </c>
      <c r="D1820" t="s">
        <v>10</v>
      </c>
      <c r="E1820" t="s">
        <v>41</v>
      </c>
      <c r="F1820" t="s">
        <v>33</v>
      </c>
      <c r="G1820">
        <v>26</v>
      </c>
      <c r="H1820">
        <v>17</v>
      </c>
      <c r="I1820">
        <v>22</v>
      </c>
      <c r="J1820">
        <v>7</v>
      </c>
      <c r="K1820">
        <v>139</v>
      </c>
      <c r="L1820">
        <v>125.65</v>
      </c>
      <c r="M1820">
        <v>1946.04</v>
      </c>
      <c r="N1820">
        <v>70753</v>
      </c>
      <c r="O1820">
        <v>1047.76</v>
      </c>
      <c r="P1820" s="1">
        <v>0.74199999999999999</v>
      </c>
      <c r="Q1820">
        <f t="shared" si="140"/>
        <v>43</v>
      </c>
      <c r="R1820">
        <f t="shared" si="141"/>
        <v>24</v>
      </c>
      <c r="S1820" s="1">
        <f t="shared" si="142"/>
        <v>0.48837209302325579</v>
      </c>
      <c r="T1820">
        <f t="shared" si="143"/>
        <v>0.43</v>
      </c>
      <c r="U1820" t="str">
        <f t="shared" si="144"/>
        <v>Apr</v>
      </c>
    </row>
    <row r="1821" spans="1:21">
      <c r="A1821" s="2">
        <v>46093</v>
      </c>
      <c r="B1821" t="s">
        <v>4</v>
      </c>
      <c r="C1821" t="s">
        <v>50</v>
      </c>
      <c r="D1821" t="s">
        <v>10</v>
      </c>
      <c r="E1821" t="s">
        <v>38</v>
      </c>
      <c r="F1821" t="s">
        <v>45</v>
      </c>
      <c r="G1821">
        <v>5</v>
      </c>
      <c r="H1821">
        <v>41</v>
      </c>
      <c r="I1821">
        <v>19</v>
      </c>
      <c r="J1821">
        <v>118</v>
      </c>
      <c r="K1821">
        <v>34</v>
      </c>
      <c r="L1821">
        <v>135.76</v>
      </c>
      <c r="M1821">
        <v>2307.63</v>
      </c>
      <c r="N1821">
        <v>73490</v>
      </c>
      <c r="O1821">
        <v>1193.92</v>
      </c>
      <c r="P1821" s="1">
        <v>0.43</v>
      </c>
      <c r="Q1821">
        <f t="shared" si="140"/>
        <v>46</v>
      </c>
      <c r="R1821">
        <f t="shared" si="141"/>
        <v>159</v>
      </c>
      <c r="S1821" s="1">
        <f t="shared" si="142"/>
        <v>0.58695652173913049</v>
      </c>
      <c r="T1821">
        <f t="shared" si="143"/>
        <v>0.46</v>
      </c>
      <c r="U1821" t="str">
        <f t="shared" si="144"/>
        <v>Mar</v>
      </c>
    </row>
    <row r="1822" spans="1:21">
      <c r="A1822" s="2">
        <v>46124</v>
      </c>
      <c r="B1822" t="s">
        <v>6</v>
      </c>
      <c r="C1822" t="s">
        <v>50</v>
      </c>
      <c r="D1822" t="s">
        <v>9</v>
      </c>
      <c r="E1822" t="s">
        <v>41</v>
      </c>
      <c r="F1822" t="s">
        <v>39</v>
      </c>
      <c r="G1822">
        <v>28</v>
      </c>
      <c r="H1822">
        <v>55</v>
      </c>
      <c r="I1822">
        <v>64</v>
      </c>
      <c r="J1822">
        <v>16</v>
      </c>
      <c r="K1822">
        <v>343</v>
      </c>
      <c r="L1822">
        <v>114.72</v>
      </c>
      <c r="M1822">
        <v>1817.58</v>
      </c>
      <c r="N1822">
        <v>74910</v>
      </c>
      <c r="O1822">
        <v>1747.14</v>
      </c>
      <c r="P1822" s="1">
        <v>-0.45700000000000002</v>
      </c>
      <c r="Q1822">
        <f t="shared" si="140"/>
        <v>83</v>
      </c>
      <c r="R1822">
        <f t="shared" si="141"/>
        <v>71</v>
      </c>
      <c r="S1822" s="1">
        <f t="shared" si="142"/>
        <v>0.2289156626506024</v>
      </c>
      <c r="T1822">
        <f t="shared" si="143"/>
        <v>0.83</v>
      </c>
      <c r="U1822" t="str">
        <f t="shared" si="144"/>
        <v>Apr</v>
      </c>
    </row>
    <row r="1823" spans="1:21">
      <c r="A1823" s="2">
        <v>46078</v>
      </c>
      <c r="B1823" t="s">
        <v>6</v>
      </c>
      <c r="C1823" t="s">
        <v>48</v>
      </c>
      <c r="D1823" t="s">
        <v>11</v>
      </c>
      <c r="E1823" t="s">
        <v>37</v>
      </c>
      <c r="F1823" t="s">
        <v>33</v>
      </c>
      <c r="G1823">
        <v>113</v>
      </c>
      <c r="H1823">
        <v>16</v>
      </c>
      <c r="I1823">
        <v>3</v>
      </c>
      <c r="J1823">
        <v>158</v>
      </c>
      <c r="K1823">
        <v>306</v>
      </c>
      <c r="L1823">
        <v>106.99</v>
      </c>
      <c r="M1823">
        <v>1919.28</v>
      </c>
      <c r="N1823">
        <v>73885</v>
      </c>
      <c r="O1823">
        <v>1240.08</v>
      </c>
      <c r="P1823" s="1">
        <v>-0.33200000000000002</v>
      </c>
      <c r="Q1823">
        <f t="shared" si="140"/>
        <v>129</v>
      </c>
      <c r="R1823">
        <f t="shared" si="141"/>
        <v>174</v>
      </c>
      <c r="S1823" s="1">
        <f t="shared" si="142"/>
        <v>0.97674418604651159</v>
      </c>
      <c r="T1823">
        <f t="shared" si="143"/>
        <v>1.29</v>
      </c>
      <c r="U1823" t="str">
        <f t="shared" si="144"/>
        <v>Feb</v>
      </c>
    </row>
    <row r="1824" spans="1:21">
      <c r="A1824" s="2">
        <v>46090</v>
      </c>
      <c r="B1824" t="s">
        <v>4</v>
      </c>
      <c r="C1824" t="s">
        <v>46</v>
      </c>
      <c r="D1824" t="s">
        <v>5</v>
      </c>
      <c r="E1824" t="s">
        <v>42</v>
      </c>
      <c r="F1824" t="s">
        <v>45</v>
      </c>
      <c r="G1824">
        <v>77</v>
      </c>
      <c r="H1824">
        <v>48</v>
      </c>
      <c r="I1824">
        <v>57</v>
      </c>
      <c r="J1824">
        <v>69</v>
      </c>
      <c r="K1824">
        <v>255</v>
      </c>
      <c r="L1824">
        <v>114.31</v>
      </c>
      <c r="M1824">
        <v>1886.44</v>
      </c>
      <c r="N1824">
        <v>72765</v>
      </c>
      <c r="O1824">
        <v>1135.23</v>
      </c>
      <c r="P1824" s="1">
        <v>-0.79300000000000004</v>
      </c>
      <c r="Q1824">
        <f t="shared" si="140"/>
        <v>125</v>
      </c>
      <c r="R1824">
        <f t="shared" si="141"/>
        <v>117</v>
      </c>
      <c r="S1824" s="1">
        <f t="shared" si="142"/>
        <v>0.54400000000000004</v>
      </c>
      <c r="T1824">
        <f t="shared" si="143"/>
        <v>1.25</v>
      </c>
      <c r="U1824" t="str">
        <f t="shared" si="144"/>
        <v>Mar</v>
      </c>
    </row>
    <row r="1825" spans="1:21">
      <c r="A1825" s="2">
        <v>46084</v>
      </c>
      <c r="B1825" t="s">
        <v>4</v>
      </c>
      <c r="C1825" t="s">
        <v>46</v>
      </c>
      <c r="D1825" t="s">
        <v>11</v>
      </c>
      <c r="E1825" t="s">
        <v>38</v>
      </c>
      <c r="F1825" t="s">
        <v>39</v>
      </c>
      <c r="G1825">
        <v>56</v>
      </c>
      <c r="H1825">
        <v>39</v>
      </c>
      <c r="I1825">
        <v>2</v>
      </c>
      <c r="J1825">
        <v>37</v>
      </c>
      <c r="K1825">
        <v>82</v>
      </c>
      <c r="L1825">
        <v>86.45</v>
      </c>
      <c r="M1825">
        <v>2311.7399999999998</v>
      </c>
      <c r="N1825">
        <v>68950</v>
      </c>
      <c r="O1825">
        <v>1235.8499999999999</v>
      </c>
      <c r="P1825" s="1">
        <v>3.2000000000000001E-2</v>
      </c>
      <c r="Q1825">
        <f t="shared" si="140"/>
        <v>95</v>
      </c>
      <c r="R1825">
        <f t="shared" si="141"/>
        <v>76</v>
      </c>
      <c r="S1825" s="1">
        <f t="shared" si="142"/>
        <v>0.97894736842105268</v>
      </c>
      <c r="T1825">
        <f t="shared" si="143"/>
        <v>0.95</v>
      </c>
      <c r="U1825" t="str">
        <f t="shared" si="144"/>
        <v>Mar</v>
      </c>
    </row>
    <row r="1826" spans="1:21">
      <c r="A1826" s="2">
        <v>46084</v>
      </c>
      <c r="B1826" t="s">
        <v>6</v>
      </c>
      <c r="C1826" t="s">
        <v>34</v>
      </c>
      <c r="D1826" t="s">
        <v>5</v>
      </c>
      <c r="E1826" t="s">
        <v>35</v>
      </c>
      <c r="F1826" t="s">
        <v>39</v>
      </c>
      <c r="G1826">
        <v>8</v>
      </c>
      <c r="H1826">
        <v>12</v>
      </c>
      <c r="I1826">
        <v>19</v>
      </c>
      <c r="J1826">
        <v>152</v>
      </c>
      <c r="K1826">
        <v>192</v>
      </c>
      <c r="L1826">
        <v>134.49</v>
      </c>
      <c r="M1826">
        <v>1916.17</v>
      </c>
      <c r="N1826">
        <v>75262</v>
      </c>
      <c r="O1826">
        <v>1248.25</v>
      </c>
      <c r="P1826" s="1">
        <v>0.82</v>
      </c>
      <c r="Q1826">
        <f t="shared" si="140"/>
        <v>20</v>
      </c>
      <c r="R1826">
        <f t="shared" si="141"/>
        <v>164</v>
      </c>
      <c r="S1826" s="1">
        <f t="shared" si="142"/>
        <v>0.05</v>
      </c>
      <c r="T1826">
        <f t="shared" si="143"/>
        <v>0.2</v>
      </c>
      <c r="U1826" t="str">
        <f t="shared" si="144"/>
        <v>Mar</v>
      </c>
    </row>
    <row r="1827" spans="1:21">
      <c r="A1827" s="2">
        <v>46102</v>
      </c>
      <c r="B1827" t="s">
        <v>6</v>
      </c>
      <c r="C1827" t="s">
        <v>44</v>
      </c>
      <c r="D1827" t="s">
        <v>5</v>
      </c>
      <c r="E1827" t="s">
        <v>32</v>
      </c>
      <c r="F1827" t="s">
        <v>45</v>
      </c>
      <c r="G1827">
        <v>93</v>
      </c>
      <c r="H1827">
        <v>15</v>
      </c>
      <c r="I1827">
        <v>74</v>
      </c>
      <c r="J1827">
        <v>67</v>
      </c>
      <c r="K1827">
        <v>168</v>
      </c>
      <c r="L1827">
        <v>85.05</v>
      </c>
      <c r="M1827">
        <v>1885.35</v>
      </c>
      <c r="N1827">
        <v>65624</v>
      </c>
      <c r="O1827">
        <v>1366.39</v>
      </c>
      <c r="P1827" s="1">
        <v>-0.318</v>
      </c>
      <c r="Q1827">
        <f t="shared" si="140"/>
        <v>108</v>
      </c>
      <c r="R1827">
        <f t="shared" si="141"/>
        <v>82</v>
      </c>
      <c r="S1827" s="1">
        <f t="shared" si="142"/>
        <v>0.31481481481481483</v>
      </c>
      <c r="T1827">
        <f t="shared" si="143"/>
        <v>1.08</v>
      </c>
      <c r="U1827" t="str">
        <f t="shared" si="144"/>
        <v>Mar</v>
      </c>
    </row>
    <row r="1828" spans="1:21">
      <c r="A1828" s="2">
        <v>46084</v>
      </c>
      <c r="B1828" t="s">
        <v>6</v>
      </c>
      <c r="C1828" t="s">
        <v>48</v>
      </c>
      <c r="D1828" t="s">
        <v>9</v>
      </c>
      <c r="E1828" t="s">
        <v>37</v>
      </c>
      <c r="F1828" t="s">
        <v>39</v>
      </c>
      <c r="G1828">
        <v>97</v>
      </c>
      <c r="H1828">
        <v>50</v>
      </c>
      <c r="I1828">
        <v>57</v>
      </c>
      <c r="J1828">
        <v>48</v>
      </c>
      <c r="K1828">
        <v>180</v>
      </c>
      <c r="L1828">
        <v>101.19</v>
      </c>
      <c r="M1828">
        <v>2333</v>
      </c>
      <c r="N1828">
        <v>75450</v>
      </c>
      <c r="O1828">
        <v>1133.03</v>
      </c>
      <c r="P1828" s="1">
        <v>0.17899999999999999</v>
      </c>
      <c r="Q1828">
        <f t="shared" si="140"/>
        <v>147</v>
      </c>
      <c r="R1828">
        <f t="shared" si="141"/>
        <v>98</v>
      </c>
      <c r="S1828" s="1">
        <f t="shared" si="142"/>
        <v>0.61224489795918369</v>
      </c>
      <c r="T1828">
        <f t="shared" si="143"/>
        <v>1.47</v>
      </c>
      <c r="U1828" t="str">
        <f t="shared" si="144"/>
        <v>Mar</v>
      </c>
    </row>
    <row r="1829" spans="1:21">
      <c r="A1829" s="2">
        <v>46080</v>
      </c>
      <c r="B1829" t="s">
        <v>4</v>
      </c>
      <c r="C1829" t="s">
        <v>46</v>
      </c>
      <c r="D1829" t="s">
        <v>11</v>
      </c>
      <c r="E1829" t="s">
        <v>35</v>
      </c>
      <c r="F1829" t="s">
        <v>39</v>
      </c>
      <c r="G1829">
        <v>78</v>
      </c>
      <c r="H1829">
        <v>19</v>
      </c>
      <c r="I1829">
        <v>74</v>
      </c>
      <c r="J1829">
        <v>112</v>
      </c>
      <c r="K1829">
        <v>130</v>
      </c>
      <c r="L1829">
        <v>116.02</v>
      </c>
      <c r="M1829">
        <v>2036.45</v>
      </c>
      <c r="N1829">
        <v>66881</v>
      </c>
      <c r="O1829">
        <v>1533.95</v>
      </c>
      <c r="P1829" s="1">
        <v>-0.94599999999999995</v>
      </c>
      <c r="Q1829">
        <f t="shared" si="140"/>
        <v>97</v>
      </c>
      <c r="R1829">
        <f t="shared" si="141"/>
        <v>131</v>
      </c>
      <c r="S1829" s="1">
        <f t="shared" si="142"/>
        <v>0.23711340206185566</v>
      </c>
      <c r="T1829">
        <f t="shared" si="143"/>
        <v>0.97</v>
      </c>
      <c r="U1829" t="str">
        <f t="shared" si="144"/>
        <v>Feb</v>
      </c>
    </row>
    <row r="1830" spans="1:21">
      <c r="A1830" s="2">
        <v>46071</v>
      </c>
      <c r="B1830" t="s">
        <v>6</v>
      </c>
      <c r="C1830" t="s">
        <v>48</v>
      </c>
      <c r="D1830" t="s">
        <v>10</v>
      </c>
      <c r="E1830" t="s">
        <v>41</v>
      </c>
      <c r="F1830" t="s">
        <v>39</v>
      </c>
      <c r="G1830">
        <v>87</v>
      </c>
      <c r="H1830">
        <v>44</v>
      </c>
      <c r="I1830">
        <v>56</v>
      </c>
      <c r="J1830">
        <v>107</v>
      </c>
      <c r="K1830">
        <v>246</v>
      </c>
      <c r="L1830">
        <v>115.28</v>
      </c>
      <c r="M1830">
        <v>2470.73</v>
      </c>
      <c r="N1830">
        <v>68809</v>
      </c>
      <c r="O1830">
        <v>1183.46</v>
      </c>
      <c r="P1830" s="1">
        <v>0.75900000000000001</v>
      </c>
      <c r="Q1830">
        <f t="shared" si="140"/>
        <v>131</v>
      </c>
      <c r="R1830">
        <f t="shared" si="141"/>
        <v>151</v>
      </c>
      <c r="S1830" s="1">
        <f t="shared" si="142"/>
        <v>0.5725190839694656</v>
      </c>
      <c r="T1830">
        <f t="shared" si="143"/>
        <v>1.31</v>
      </c>
      <c r="U1830" t="str">
        <f t="shared" si="144"/>
        <v>Feb</v>
      </c>
    </row>
    <row r="1831" spans="1:21">
      <c r="A1831" s="2">
        <v>46118</v>
      </c>
      <c r="B1831" t="s">
        <v>4</v>
      </c>
      <c r="C1831" t="s">
        <v>51</v>
      </c>
      <c r="D1831" t="s">
        <v>10</v>
      </c>
      <c r="E1831" t="s">
        <v>37</v>
      </c>
      <c r="F1831" t="s">
        <v>33</v>
      </c>
      <c r="G1831">
        <v>9</v>
      </c>
      <c r="H1831">
        <v>75</v>
      </c>
      <c r="I1831">
        <v>89</v>
      </c>
      <c r="J1831">
        <v>48</v>
      </c>
      <c r="K1831">
        <v>14</v>
      </c>
      <c r="L1831">
        <v>81.69</v>
      </c>
      <c r="M1831">
        <v>2064.0500000000002</v>
      </c>
      <c r="N1831">
        <v>75477</v>
      </c>
      <c r="O1831">
        <v>1677.54</v>
      </c>
      <c r="P1831" s="1">
        <v>0.56200000000000006</v>
      </c>
      <c r="Q1831">
        <f t="shared" si="140"/>
        <v>84</v>
      </c>
      <c r="R1831">
        <f t="shared" si="141"/>
        <v>123</v>
      </c>
      <c r="S1831" s="1">
        <f t="shared" si="142"/>
        <v>-5.9523809523809521E-2</v>
      </c>
      <c r="T1831">
        <f t="shared" si="143"/>
        <v>0.84</v>
      </c>
      <c r="U1831" t="str">
        <f t="shared" si="144"/>
        <v>Apr</v>
      </c>
    </row>
    <row r="1832" spans="1:21">
      <c r="A1832" s="2">
        <v>46094</v>
      </c>
      <c r="B1832" t="s">
        <v>4</v>
      </c>
      <c r="C1832" t="s">
        <v>36</v>
      </c>
      <c r="D1832" t="s">
        <v>9</v>
      </c>
      <c r="E1832" t="s">
        <v>37</v>
      </c>
      <c r="F1832" t="s">
        <v>45</v>
      </c>
      <c r="G1832">
        <v>11</v>
      </c>
      <c r="H1832">
        <v>15</v>
      </c>
      <c r="I1832">
        <v>19</v>
      </c>
      <c r="J1832">
        <v>139</v>
      </c>
      <c r="K1832">
        <v>133</v>
      </c>
      <c r="L1832">
        <v>85.16</v>
      </c>
      <c r="M1832">
        <v>2111.14</v>
      </c>
      <c r="N1832">
        <v>73920</v>
      </c>
      <c r="O1832">
        <v>1550.67</v>
      </c>
      <c r="P1832" s="1">
        <v>0.76500000000000001</v>
      </c>
      <c r="Q1832">
        <f t="shared" si="140"/>
        <v>26</v>
      </c>
      <c r="R1832">
        <f t="shared" si="141"/>
        <v>154</v>
      </c>
      <c r="S1832" s="1">
        <f t="shared" si="142"/>
        <v>0.26923076923076922</v>
      </c>
      <c r="T1832">
        <f t="shared" si="143"/>
        <v>0.26</v>
      </c>
      <c r="U1832" t="str">
        <f t="shared" si="144"/>
        <v>Mar</v>
      </c>
    </row>
    <row r="1833" spans="1:21">
      <c r="A1833" s="2">
        <v>46096</v>
      </c>
      <c r="B1833" t="s">
        <v>6</v>
      </c>
      <c r="C1833" t="s">
        <v>50</v>
      </c>
      <c r="D1833" t="s">
        <v>11</v>
      </c>
      <c r="E1833" t="s">
        <v>37</v>
      </c>
      <c r="F1833" t="s">
        <v>49</v>
      </c>
      <c r="G1833">
        <v>28</v>
      </c>
      <c r="H1833">
        <v>58</v>
      </c>
      <c r="I1833">
        <v>3</v>
      </c>
      <c r="J1833">
        <v>114</v>
      </c>
      <c r="K1833">
        <v>0</v>
      </c>
      <c r="L1833">
        <v>80.02</v>
      </c>
      <c r="M1833">
        <v>2187.86</v>
      </c>
      <c r="N1833">
        <v>64254</v>
      </c>
      <c r="O1833">
        <v>1570.8</v>
      </c>
      <c r="P1833" s="1">
        <v>-0.22</v>
      </c>
      <c r="Q1833">
        <f t="shared" si="140"/>
        <v>86</v>
      </c>
      <c r="R1833">
        <f t="shared" si="141"/>
        <v>172</v>
      </c>
      <c r="S1833" s="1">
        <f t="shared" si="142"/>
        <v>0.96511627906976749</v>
      </c>
      <c r="T1833">
        <f t="shared" si="143"/>
        <v>0.86</v>
      </c>
      <c r="U1833" t="str">
        <f t="shared" si="144"/>
        <v>Mar</v>
      </c>
    </row>
    <row r="1834" spans="1:21">
      <c r="A1834" s="2">
        <v>46120</v>
      </c>
      <c r="B1834" t="s">
        <v>6</v>
      </c>
      <c r="C1834" t="s">
        <v>40</v>
      </c>
      <c r="D1834" t="s">
        <v>7</v>
      </c>
      <c r="E1834" t="s">
        <v>35</v>
      </c>
      <c r="F1834" t="s">
        <v>39</v>
      </c>
      <c r="G1834">
        <v>23</v>
      </c>
      <c r="H1834">
        <v>40</v>
      </c>
      <c r="I1834">
        <v>70</v>
      </c>
      <c r="J1834">
        <v>82</v>
      </c>
      <c r="K1834">
        <v>284</v>
      </c>
      <c r="L1834">
        <v>94.06</v>
      </c>
      <c r="M1834">
        <v>2313.79</v>
      </c>
      <c r="N1834">
        <v>75444</v>
      </c>
      <c r="O1834">
        <v>1629.99</v>
      </c>
      <c r="P1834" s="1">
        <v>-6.2E-2</v>
      </c>
      <c r="Q1834">
        <f t="shared" si="140"/>
        <v>63</v>
      </c>
      <c r="R1834">
        <f t="shared" si="141"/>
        <v>122</v>
      </c>
      <c r="S1834" s="1">
        <f t="shared" si="142"/>
        <v>-0.1111111111111111</v>
      </c>
      <c r="T1834">
        <f t="shared" si="143"/>
        <v>0.63</v>
      </c>
      <c r="U1834" t="str">
        <f t="shared" si="144"/>
        <v>Apr</v>
      </c>
    </row>
    <row r="1835" spans="1:21">
      <c r="A1835" s="2">
        <v>46105</v>
      </c>
      <c r="B1835" t="s">
        <v>4</v>
      </c>
      <c r="C1835" t="s">
        <v>36</v>
      </c>
      <c r="D1835" t="s">
        <v>7</v>
      </c>
      <c r="E1835" t="s">
        <v>42</v>
      </c>
      <c r="F1835" t="s">
        <v>45</v>
      </c>
      <c r="G1835">
        <v>39</v>
      </c>
      <c r="H1835">
        <v>41</v>
      </c>
      <c r="I1835">
        <v>73</v>
      </c>
      <c r="J1835">
        <v>149</v>
      </c>
      <c r="K1835">
        <v>284</v>
      </c>
      <c r="L1835">
        <v>110.7</v>
      </c>
      <c r="M1835">
        <v>1896.13</v>
      </c>
      <c r="N1835">
        <v>74123</v>
      </c>
      <c r="O1835">
        <v>1797.73</v>
      </c>
      <c r="P1835" s="1">
        <v>0.90900000000000003</v>
      </c>
      <c r="Q1835">
        <f t="shared" si="140"/>
        <v>80</v>
      </c>
      <c r="R1835">
        <f t="shared" si="141"/>
        <v>190</v>
      </c>
      <c r="S1835" s="1">
        <f t="shared" si="142"/>
        <v>8.7499999999999994E-2</v>
      </c>
      <c r="T1835">
        <f t="shared" si="143"/>
        <v>0.8</v>
      </c>
      <c r="U1835" t="str">
        <f t="shared" si="144"/>
        <v>Mar</v>
      </c>
    </row>
    <row r="1836" spans="1:21">
      <c r="A1836" s="2">
        <v>46093</v>
      </c>
      <c r="B1836" t="s">
        <v>6</v>
      </c>
      <c r="C1836" t="s">
        <v>44</v>
      </c>
      <c r="D1836" t="s">
        <v>10</v>
      </c>
      <c r="E1836" t="s">
        <v>42</v>
      </c>
      <c r="F1836" t="s">
        <v>33</v>
      </c>
      <c r="G1836">
        <v>59</v>
      </c>
      <c r="H1836">
        <v>44</v>
      </c>
      <c r="I1836">
        <v>57</v>
      </c>
      <c r="J1836">
        <v>42</v>
      </c>
      <c r="K1836">
        <v>212</v>
      </c>
      <c r="L1836">
        <v>85.52</v>
      </c>
      <c r="M1836">
        <v>2292.66</v>
      </c>
      <c r="N1836">
        <v>66152</v>
      </c>
      <c r="O1836">
        <v>1247.97</v>
      </c>
      <c r="P1836" s="1">
        <v>-0.69199999999999995</v>
      </c>
      <c r="Q1836">
        <f t="shared" si="140"/>
        <v>103</v>
      </c>
      <c r="R1836">
        <f t="shared" si="141"/>
        <v>86</v>
      </c>
      <c r="S1836" s="1">
        <f t="shared" si="142"/>
        <v>0.44660194174757284</v>
      </c>
      <c r="T1836">
        <f t="shared" si="143"/>
        <v>1.03</v>
      </c>
      <c r="U1836" t="str">
        <f t="shared" si="144"/>
        <v>Mar</v>
      </c>
    </row>
    <row r="1837" spans="1:21">
      <c r="A1837" s="2">
        <v>46103</v>
      </c>
      <c r="B1837" t="s">
        <v>4</v>
      </c>
      <c r="C1837" t="s">
        <v>43</v>
      </c>
      <c r="D1837" t="s">
        <v>9</v>
      </c>
      <c r="E1837" t="s">
        <v>35</v>
      </c>
      <c r="F1837" t="s">
        <v>49</v>
      </c>
      <c r="G1837">
        <v>6</v>
      </c>
      <c r="H1837">
        <v>41</v>
      </c>
      <c r="I1837">
        <v>14</v>
      </c>
      <c r="J1837">
        <v>57</v>
      </c>
      <c r="K1837">
        <v>32</v>
      </c>
      <c r="L1837">
        <v>104.38</v>
      </c>
      <c r="M1837">
        <v>2384.0500000000002</v>
      </c>
      <c r="N1837">
        <v>74763</v>
      </c>
      <c r="O1837">
        <v>1545.35</v>
      </c>
      <c r="P1837" s="1">
        <v>-0.13100000000000001</v>
      </c>
      <c r="Q1837">
        <f t="shared" si="140"/>
        <v>47</v>
      </c>
      <c r="R1837">
        <f t="shared" si="141"/>
        <v>98</v>
      </c>
      <c r="S1837" s="1">
        <f t="shared" si="142"/>
        <v>0.7021276595744681</v>
      </c>
      <c r="T1837">
        <f t="shared" si="143"/>
        <v>0.47</v>
      </c>
      <c r="U1837" t="str">
        <f t="shared" si="144"/>
        <v>Mar</v>
      </c>
    </row>
    <row r="1838" spans="1:21">
      <c r="A1838" s="2">
        <v>46090</v>
      </c>
      <c r="B1838" t="s">
        <v>6</v>
      </c>
      <c r="C1838" t="s">
        <v>44</v>
      </c>
      <c r="D1838" t="s">
        <v>7</v>
      </c>
      <c r="E1838" t="s">
        <v>42</v>
      </c>
      <c r="F1838" t="s">
        <v>39</v>
      </c>
      <c r="G1838">
        <v>49</v>
      </c>
      <c r="H1838">
        <v>5</v>
      </c>
      <c r="I1838">
        <v>89</v>
      </c>
      <c r="J1838">
        <v>152</v>
      </c>
      <c r="K1838">
        <v>227</v>
      </c>
      <c r="L1838">
        <v>138.43</v>
      </c>
      <c r="M1838">
        <v>2418.5300000000002</v>
      </c>
      <c r="N1838">
        <v>73252</v>
      </c>
      <c r="O1838">
        <v>1246.93</v>
      </c>
      <c r="P1838" s="1">
        <v>-0.13500000000000001</v>
      </c>
      <c r="Q1838">
        <f t="shared" si="140"/>
        <v>54</v>
      </c>
      <c r="R1838">
        <f t="shared" si="141"/>
        <v>157</v>
      </c>
      <c r="S1838" s="1">
        <f t="shared" si="142"/>
        <v>-0.64814814814814814</v>
      </c>
      <c r="T1838">
        <f t="shared" si="143"/>
        <v>0.54</v>
      </c>
      <c r="U1838" t="str">
        <f t="shared" si="144"/>
        <v>Mar</v>
      </c>
    </row>
    <row r="1839" spans="1:21">
      <c r="A1839" s="2">
        <v>46076</v>
      </c>
      <c r="B1839" t="s">
        <v>6</v>
      </c>
      <c r="C1839" t="s">
        <v>51</v>
      </c>
      <c r="D1839" t="s">
        <v>11</v>
      </c>
      <c r="E1839" t="s">
        <v>37</v>
      </c>
      <c r="F1839" t="s">
        <v>49</v>
      </c>
      <c r="G1839">
        <v>98</v>
      </c>
      <c r="H1839">
        <v>70</v>
      </c>
      <c r="I1839">
        <v>55</v>
      </c>
      <c r="J1839">
        <v>111</v>
      </c>
      <c r="K1839">
        <v>84</v>
      </c>
      <c r="L1839">
        <v>86.22</v>
      </c>
      <c r="M1839">
        <v>2242.71</v>
      </c>
      <c r="N1839">
        <v>73636</v>
      </c>
      <c r="O1839">
        <v>1731.46</v>
      </c>
      <c r="P1839" s="1">
        <v>0.316</v>
      </c>
      <c r="Q1839">
        <f t="shared" si="140"/>
        <v>168</v>
      </c>
      <c r="R1839">
        <f t="shared" si="141"/>
        <v>181</v>
      </c>
      <c r="S1839" s="1">
        <f t="shared" si="142"/>
        <v>0.67261904761904767</v>
      </c>
      <c r="T1839">
        <f t="shared" si="143"/>
        <v>1.68</v>
      </c>
      <c r="U1839" t="str">
        <f t="shared" si="144"/>
        <v>Feb</v>
      </c>
    </row>
    <row r="1840" spans="1:21">
      <c r="A1840" s="2">
        <v>46069</v>
      </c>
      <c r="B1840" t="s">
        <v>6</v>
      </c>
      <c r="C1840" t="s">
        <v>40</v>
      </c>
      <c r="D1840" t="s">
        <v>10</v>
      </c>
      <c r="E1840" t="s">
        <v>38</v>
      </c>
      <c r="F1840" t="s">
        <v>49</v>
      </c>
      <c r="G1840">
        <v>38</v>
      </c>
      <c r="H1840">
        <v>21</v>
      </c>
      <c r="I1840">
        <v>57</v>
      </c>
      <c r="J1840">
        <v>151</v>
      </c>
      <c r="K1840">
        <v>98</v>
      </c>
      <c r="L1840">
        <v>138.26</v>
      </c>
      <c r="M1840">
        <v>2327.7399999999998</v>
      </c>
      <c r="N1840">
        <v>64701</v>
      </c>
      <c r="O1840">
        <v>1118.79</v>
      </c>
      <c r="P1840" s="1">
        <v>0.77100000000000002</v>
      </c>
      <c r="Q1840">
        <f t="shared" si="140"/>
        <v>59</v>
      </c>
      <c r="R1840">
        <f t="shared" si="141"/>
        <v>172</v>
      </c>
      <c r="S1840" s="1">
        <f t="shared" si="142"/>
        <v>3.3898305084745763E-2</v>
      </c>
      <c r="T1840">
        <f t="shared" si="143"/>
        <v>0.59</v>
      </c>
      <c r="U1840" t="str">
        <f t="shared" si="144"/>
        <v>Feb</v>
      </c>
    </row>
    <row r="1841" spans="1:21">
      <c r="A1841" s="2">
        <v>46099</v>
      </c>
      <c r="B1841" t="s">
        <v>6</v>
      </c>
      <c r="C1841" t="s">
        <v>50</v>
      </c>
      <c r="D1841" t="s">
        <v>7</v>
      </c>
      <c r="E1841" t="s">
        <v>35</v>
      </c>
      <c r="F1841" t="s">
        <v>39</v>
      </c>
      <c r="G1841">
        <v>49</v>
      </c>
      <c r="H1841">
        <v>16</v>
      </c>
      <c r="I1841">
        <v>75</v>
      </c>
      <c r="J1841">
        <v>157</v>
      </c>
      <c r="K1841">
        <v>319</v>
      </c>
      <c r="L1841">
        <v>84.72</v>
      </c>
      <c r="M1841">
        <v>2284.91</v>
      </c>
      <c r="N1841">
        <v>72795</v>
      </c>
      <c r="O1841">
        <v>1242.79</v>
      </c>
      <c r="P1841" s="1">
        <v>4.0000000000000001E-3</v>
      </c>
      <c r="Q1841">
        <f t="shared" si="140"/>
        <v>65</v>
      </c>
      <c r="R1841">
        <f t="shared" si="141"/>
        <v>173</v>
      </c>
      <c r="S1841" s="1">
        <f t="shared" si="142"/>
        <v>-0.15384615384615385</v>
      </c>
      <c r="T1841">
        <f t="shared" si="143"/>
        <v>0.65</v>
      </c>
      <c r="U1841" t="str">
        <f t="shared" si="144"/>
        <v>Mar</v>
      </c>
    </row>
    <row r="1842" spans="1:21">
      <c r="A1842" s="2">
        <v>46109</v>
      </c>
      <c r="B1842" t="s">
        <v>6</v>
      </c>
      <c r="C1842" t="s">
        <v>40</v>
      </c>
      <c r="D1842" t="s">
        <v>11</v>
      </c>
      <c r="E1842" t="s">
        <v>47</v>
      </c>
      <c r="F1842" t="s">
        <v>39</v>
      </c>
      <c r="G1842">
        <v>75</v>
      </c>
      <c r="H1842">
        <v>15</v>
      </c>
      <c r="I1842">
        <v>80</v>
      </c>
      <c r="J1842">
        <v>106</v>
      </c>
      <c r="K1842">
        <v>84</v>
      </c>
      <c r="L1842">
        <v>111.13</v>
      </c>
      <c r="M1842">
        <v>2222.19</v>
      </c>
      <c r="N1842">
        <v>68428</v>
      </c>
      <c r="O1842">
        <v>1724.63</v>
      </c>
      <c r="P1842" s="1">
        <v>0.63800000000000001</v>
      </c>
      <c r="Q1842">
        <f t="shared" si="140"/>
        <v>90</v>
      </c>
      <c r="R1842">
        <f t="shared" si="141"/>
        <v>121</v>
      </c>
      <c r="S1842" s="1">
        <f t="shared" si="142"/>
        <v>0.1111111111111111</v>
      </c>
      <c r="T1842">
        <f t="shared" si="143"/>
        <v>0.9</v>
      </c>
      <c r="U1842" t="str">
        <f t="shared" si="144"/>
        <v>Mar</v>
      </c>
    </row>
    <row r="1843" spans="1:21">
      <c r="A1843" s="2">
        <v>46114</v>
      </c>
      <c r="B1843" t="s">
        <v>4</v>
      </c>
      <c r="C1843" t="s">
        <v>46</v>
      </c>
      <c r="D1843" t="s">
        <v>7</v>
      </c>
      <c r="E1843" t="s">
        <v>37</v>
      </c>
      <c r="F1843" t="s">
        <v>33</v>
      </c>
      <c r="G1843">
        <v>114</v>
      </c>
      <c r="H1843">
        <v>5</v>
      </c>
      <c r="I1843">
        <v>71</v>
      </c>
      <c r="J1843">
        <v>19</v>
      </c>
      <c r="K1843">
        <v>437</v>
      </c>
      <c r="L1843">
        <v>119.19</v>
      </c>
      <c r="M1843">
        <v>2061.9699999999998</v>
      </c>
      <c r="N1843">
        <v>72927</v>
      </c>
      <c r="O1843">
        <v>1402.94</v>
      </c>
      <c r="P1843" s="1">
        <v>0.58799999999999997</v>
      </c>
      <c r="Q1843">
        <f t="shared" si="140"/>
        <v>119</v>
      </c>
      <c r="R1843">
        <f t="shared" si="141"/>
        <v>24</v>
      </c>
      <c r="S1843" s="1">
        <f t="shared" si="142"/>
        <v>0.40336134453781514</v>
      </c>
      <c r="T1843">
        <f t="shared" si="143"/>
        <v>1.19</v>
      </c>
      <c r="U1843" t="str">
        <f t="shared" si="144"/>
        <v>Apr</v>
      </c>
    </row>
    <row r="1844" spans="1:21">
      <c r="A1844" s="2">
        <v>46098</v>
      </c>
      <c r="B1844" t="s">
        <v>4</v>
      </c>
      <c r="C1844" t="s">
        <v>34</v>
      </c>
      <c r="D1844" t="s">
        <v>7</v>
      </c>
      <c r="E1844" t="s">
        <v>38</v>
      </c>
      <c r="F1844" t="s">
        <v>39</v>
      </c>
      <c r="G1844">
        <v>113</v>
      </c>
      <c r="H1844">
        <v>9</v>
      </c>
      <c r="I1844">
        <v>38</v>
      </c>
      <c r="J1844">
        <v>65</v>
      </c>
      <c r="K1844">
        <v>445</v>
      </c>
      <c r="L1844">
        <v>121.15</v>
      </c>
      <c r="M1844">
        <v>2315.7600000000002</v>
      </c>
      <c r="N1844">
        <v>67350</v>
      </c>
      <c r="O1844">
        <v>1251.95</v>
      </c>
      <c r="P1844" s="1">
        <v>0.86299999999999999</v>
      </c>
      <c r="Q1844">
        <f t="shared" si="140"/>
        <v>122</v>
      </c>
      <c r="R1844">
        <f t="shared" si="141"/>
        <v>74</v>
      </c>
      <c r="S1844" s="1">
        <f t="shared" si="142"/>
        <v>0.68852459016393441</v>
      </c>
      <c r="T1844">
        <f t="shared" si="143"/>
        <v>1.22</v>
      </c>
      <c r="U1844" t="str">
        <f t="shared" si="144"/>
        <v>Mar</v>
      </c>
    </row>
    <row r="1845" spans="1:21">
      <c r="A1845" s="2">
        <v>46096</v>
      </c>
      <c r="B1845" t="s">
        <v>4</v>
      </c>
      <c r="C1845" t="s">
        <v>31</v>
      </c>
      <c r="D1845" t="s">
        <v>10</v>
      </c>
      <c r="E1845" t="s">
        <v>42</v>
      </c>
      <c r="F1845" t="s">
        <v>39</v>
      </c>
      <c r="G1845">
        <v>53</v>
      </c>
      <c r="H1845">
        <v>41</v>
      </c>
      <c r="I1845">
        <v>61</v>
      </c>
      <c r="J1845">
        <v>6</v>
      </c>
      <c r="K1845">
        <v>228</v>
      </c>
      <c r="L1845">
        <v>101.06</v>
      </c>
      <c r="M1845">
        <v>2270.59</v>
      </c>
      <c r="N1845">
        <v>64339</v>
      </c>
      <c r="O1845">
        <v>1447.37</v>
      </c>
      <c r="P1845" s="1">
        <v>4.3999999999999997E-2</v>
      </c>
      <c r="Q1845">
        <f t="shared" si="140"/>
        <v>94</v>
      </c>
      <c r="R1845">
        <f t="shared" si="141"/>
        <v>47</v>
      </c>
      <c r="S1845" s="1">
        <f t="shared" si="142"/>
        <v>0.35106382978723405</v>
      </c>
      <c r="T1845">
        <f t="shared" si="143"/>
        <v>0.94</v>
      </c>
      <c r="U1845" t="str">
        <f t="shared" si="144"/>
        <v>Mar</v>
      </c>
    </row>
    <row r="1846" spans="1:21">
      <c r="A1846" s="2">
        <v>46072</v>
      </c>
      <c r="B1846" t="s">
        <v>6</v>
      </c>
      <c r="C1846" t="s">
        <v>31</v>
      </c>
      <c r="D1846" t="s">
        <v>10</v>
      </c>
      <c r="E1846" t="s">
        <v>32</v>
      </c>
      <c r="F1846" t="s">
        <v>39</v>
      </c>
      <c r="G1846">
        <v>47</v>
      </c>
      <c r="H1846">
        <v>36</v>
      </c>
      <c r="I1846">
        <v>47</v>
      </c>
      <c r="J1846">
        <v>153</v>
      </c>
      <c r="K1846">
        <v>289</v>
      </c>
      <c r="L1846">
        <v>88.78</v>
      </c>
      <c r="M1846">
        <v>2108.5</v>
      </c>
      <c r="N1846">
        <v>67612</v>
      </c>
      <c r="O1846">
        <v>1540.33</v>
      </c>
      <c r="P1846" s="1">
        <v>0.108</v>
      </c>
      <c r="Q1846">
        <f t="shared" si="140"/>
        <v>83</v>
      </c>
      <c r="R1846">
        <f t="shared" si="141"/>
        <v>189</v>
      </c>
      <c r="S1846" s="1">
        <f t="shared" si="142"/>
        <v>0.43373493975903615</v>
      </c>
      <c r="T1846">
        <f t="shared" si="143"/>
        <v>0.83</v>
      </c>
      <c r="U1846" t="str">
        <f t="shared" si="144"/>
        <v>Feb</v>
      </c>
    </row>
    <row r="1847" spans="1:21">
      <c r="A1847" s="2">
        <v>46103</v>
      </c>
      <c r="B1847" t="s">
        <v>6</v>
      </c>
      <c r="C1847" t="s">
        <v>46</v>
      </c>
      <c r="D1847" t="s">
        <v>9</v>
      </c>
      <c r="E1847" t="s">
        <v>32</v>
      </c>
      <c r="F1847" t="s">
        <v>49</v>
      </c>
      <c r="G1847">
        <v>77</v>
      </c>
      <c r="H1847">
        <v>34</v>
      </c>
      <c r="I1847">
        <v>15</v>
      </c>
      <c r="J1847">
        <v>89</v>
      </c>
      <c r="K1847">
        <v>78</v>
      </c>
      <c r="L1847">
        <v>129.61000000000001</v>
      </c>
      <c r="M1847">
        <v>2471.98</v>
      </c>
      <c r="N1847">
        <v>74650</v>
      </c>
      <c r="O1847">
        <v>1092.56</v>
      </c>
      <c r="P1847" s="1">
        <v>-0.54900000000000004</v>
      </c>
      <c r="Q1847">
        <f t="shared" si="140"/>
        <v>111</v>
      </c>
      <c r="R1847">
        <f t="shared" si="141"/>
        <v>123</v>
      </c>
      <c r="S1847" s="1">
        <f t="shared" si="142"/>
        <v>0.86486486486486491</v>
      </c>
      <c r="T1847">
        <f t="shared" si="143"/>
        <v>1.1100000000000001</v>
      </c>
      <c r="U1847" t="str">
        <f t="shared" si="144"/>
        <v>Mar</v>
      </c>
    </row>
    <row r="1848" spans="1:21">
      <c r="A1848" s="2">
        <v>46124</v>
      </c>
      <c r="B1848" t="s">
        <v>6</v>
      </c>
      <c r="C1848" t="s">
        <v>44</v>
      </c>
      <c r="D1848" t="s">
        <v>11</v>
      </c>
      <c r="E1848" t="s">
        <v>42</v>
      </c>
      <c r="F1848" t="s">
        <v>33</v>
      </c>
      <c r="G1848">
        <v>114</v>
      </c>
      <c r="H1848">
        <v>79</v>
      </c>
      <c r="I1848">
        <v>60</v>
      </c>
      <c r="J1848">
        <v>31</v>
      </c>
      <c r="K1848">
        <v>92</v>
      </c>
      <c r="L1848">
        <v>102.84</v>
      </c>
      <c r="M1848">
        <v>1868.39</v>
      </c>
      <c r="N1848">
        <v>67539</v>
      </c>
      <c r="O1848">
        <v>1517.02</v>
      </c>
      <c r="P1848" s="1">
        <v>0.22700000000000001</v>
      </c>
      <c r="Q1848">
        <f t="shared" si="140"/>
        <v>193</v>
      </c>
      <c r="R1848">
        <f t="shared" si="141"/>
        <v>110</v>
      </c>
      <c r="S1848" s="1">
        <f t="shared" si="142"/>
        <v>0.68911917098445596</v>
      </c>
      <c r="T1848">
        <f t="shared" si="143"/>
        <v>1.93</v>
      </c>
      <c r="U1848" t="str">
        <f t="shared" si="144"/>
        <v>Apr</v>
      </c>
    </row>
    <row r="1849" spans="1:21">
      <c r="A1849" s="2">
        <v>46116</v>
      </c>
      <c r="B1849" t="s">
        <v>4</v>
      </c>
      <c r="C1849" t="s">
        <v>43</v>
      </c>
      <c r="D1849" t="s">
        <v>7</v>
      </c>
      <c r="E1849" t="s">
        <v>37</v>
      </c>
      <c r="F1849" t="s">
        <v>45</v>
      </c>
      <c r="G1849">
        <v>118</v>
      </c>
      <c r="H1849">
        <v>5</v>
      </c>
      <c r="I1849">
        <v>34</v>
      </c>
      <c r="J1849">
        <v>64</v>
      </c>
      <c r="K1849">
        <v>295</v>
      </c>
      <c r="L1849">
        <v>83.77</v>
      </c>
      <c r="M1849">
        <v>2246.36</v>
      </c>
      <c r="N1849">
        <v>69250</v>
      </c>
      <c r="O1849">
        <v>1035.3399999999999</v>
      </c>
      <c r="P1849" s="1">
        <v>0.46400000000000002</v>
      </c>
      <c r="Q1849">
        <f t="shared" si="140"/>
        <v>123</v>
      </c>
      <c r="R1849">
        <f t="shared" si="141"/>
        <v>69</v>
      </c>
      <c r="S1849" s="1">
        <f t="shared" si="142"/>
        <v>0.72357723577235777</v>
      </c>
      <c r="T1849">
        <f t="shared" si="143"/>
        <v>1.23</v>
      </c>
      <c r="U1849" t="str">
        <f t="shared" si="144"/>
        <v>Apr</v>
      </c>
    </row>
    <row r="1850" spans="1:21">
      <c r="A1850" s="2">
        <v>46095</v>
      </c>
      <c r="B1850" t="s">
        <v>6</v>
      </c>
      <c r="C1850" t="s">
        <v>46</v>
      </c>
      <c r="D1850" t="s">
        <v>11</v>
      </c>
      <c r="E1850" t="s">
        <v>47</v>
      </c>
      <c r="F1850" t="s">
        <v>33</v>
      </c>
      <c r="G1850">
        <v>72</v>
      </c>
      <c r="H1850">
        <v>78</v>
      </c>
      <c r="I1850">
        <v>63</v>
      </c>
      <c r="J1850">
        <v>44</v>
      </c>
      <c r="K1850">
        <v>193</v>
      </c>
      <c r="L1850">
        <v>88.74</v>
      </c>
      <c r="M1850">
        <v>2293.4499999999998</v>
      </c>
      <c r="N1850">
        <v>66827</v>
      </c>
      <c r="O1850">
        <v>1530.12</v>
      </c>
      <c r="P1850" s="1">
        <v>-0.153</v>
      </c>
      <c r="Q1850">
        <f t="shared" si="140"/>
        <v>150</v>
      </c>
      <c r="R1850">
        <f t="shared" si="141"/>
        <v>122</v>
      </c>
      <c r="S1850" s="1">
        <f t="shared" si="142"/>
        <v>0.57999999999999996</v>
      </c>
      <c r="T1850">
        <f t="shared" si="143"/>
        <v>1.5</v>
      </c>
      <c r="U1850" t="str">
        <f t="shared" si="144"/>
        <v>Mar</v>
      </c>
    </row>
    <row r="1851" spans="1:21">
      <c r="A1851" s="2">
        <v>46104</v>
      </c>
      <c r="B1851" t="s">
        <v>4</v>
      </c>
      <c r="C1851" t="s">
        <v>51</v>
      </c>
      <c r="D1851" t="s">
        <v>7</v>
      </c>
      <c r="E1851" t="s">
        <v>42</v>
      </c>
      <c r="F1851" t="s">
        <v>45</v>
      </c>
      <c r="G1851">
        <v>80</v>
      </c>
      <c r="H1851">
        <v>47</v>
      </c>
      <c r="I1851">
        <v>9</v>
      </c>
      <c r="J1851">
        <v>10</v>
      </c>
      <c r="K1851">
        <v>374</v>
      </c>
      <c r="L1851">
        <v>91.39</v>
      </c>
      <c r="M1851">
        <v>1879.01</v>
      </c>
      <c r="N1851">
        <v>74306</v>
      </c>
      <c r="O1851">
        <v>1677.68</v>
      </c>
      <c r="P1851" s="1">
        <v>-0.64400000000000002</v>
      </c>
      <c r="Q1851">
        <f t="shared" si="140"/>
        <v>127</v>
      </c>
      <c r="R1851">
        <f t="shared" si="141"/>
        <v>57</v>
      </c>
      <c r="S1851" s="1">
        <f t="shared" si="142"/>
        <v>0.92913385826771655</v>
      </c>
      <c r="T1851">
        <f t="shared" si="143"/>
        <v>1.27</v>
      </c>
      <c r="U1851" t="str">
        <f t="shared" si="144"/>
        <v>Mar</v>
      </c>
    </row>
    <row r="1852" spans="1:21">
      <c r="A1852" s="2">
        <v>46125</v>
      </c>
      <c r="B1852" t="s">
        <v>6</v>
      </c>
      <c r="C1852" t="s">
        <v>43</v>
      </c>
      <c r="D1852" t="s">
        <v>10</v>
      </c>
      <c r="E1852" t="s">
        <v>35</v>
      </c>
      <c r="F1852" t="s">
        <v>49</v>
      </c>
      <c r="G1852">
        <v>69</v>
      </c>
      <c r="H1852">
        <v>67</v>
      </c>
      <c r="I1852">
        <v>67</v>
      </c>
      <c r="J1852">
        <v>85</v>
      </c>
      <c r="K1852">
        <v>179</v>
      </c>
      <c r="L1852">
        <v>128.4</v>
      </c>
      <c r="M1852">
        <v>2086.58</v>
      </c>
      <c r="N1852">
        <v>71462</v>
      </c>
      <c r="O1852">
        <v>1724.64</v>
      </c>
      <c r="P1852" s="1">
        <v>0.23200000000000001</v>
      </c>
      <c r="Q1852">
        <f t="shared" si="140"/>
        <v>136</v>
      </c>
      <c r="R1852">
        <f t="shared" si="141"/>
        <v>152</v>
      </c>
      <c r="S1852" s="1">
        <f t="shared" si="142"/>
        <v>0.50735294117647056</v>
      </c>
      <c r="T1852">
        <f t="shared" si="143"/>
        <v>1.36</v>
      </c>
      <c r="U1852" t="str">
        <f t="shared" si="144"/>
        <v>Apr</v>
      </c>
    </row>
    <row r="1853" spans="1:21">
      <c r="A1853" s="2">
        <v>46117</v>
      </c>
      <c r="B1853" t="s">
        <v>4</v>
      </c>
      <c r="C1853" t="s">
        <v>36</v>
      </c>
      <c r="D1853" t="s">
        <v>10</v>
      </c>
      <c r="E1853" t="s">
        <v>38</v>
      </c>
      <c r="F1853" t="s">
        <v>39</v>
      </c>
      <c r="G1853">
        <v>2</v>
      </c>
      <c r="H1853">
        <v>57</v>
      </c>
      <c r="I1853">
        <v>88</v>
      </c>
      <c r="J1853">
        <v>25</v>
      </c>
      <c r="K1853">
        <v>423</v>
      </c>
      <c r="L1853">
        <v>80.510000000000005</v>
      </c>
      <c r="M1853">
        <v>1835.89</v>
      </c>
      <c r="N1853">
        <v>69433</v>
      </c>
      <c r="O1853">
        <v>1102.33</v>
      </c>
      <c r="P1853" s="1">
        <v>0.71499999999999997</v>
      </c>
      <c r="Q1853">
        <f t="shared" si="140"/>
        <v>59</v>
      </c>
      <c r="R1853">
        <f t="shared" si="141"/>
        <v>82</v>
      </c>
      <c r="S1853" s="1">
        <f t="shared" si="142"/>
        <v>-0.49152542372881358</v>
      </c>
      <c r="T1853">
        <f t="shared" si="143"/>
        <v>0.59</v>
      </c>
      <c r="U1853" t="str">
        <f t="shared" si="144"/>
        <v>Apr</v>
      </c>
    </row>
    <row r="1854" spans="1:21">
      <c r="A1854" s="2">
        <v>46107</v>
      </c>
      <c r="B1854" t="s">
        <v>6</v>
      </c>
      <c r="C1854" t="s">
        <v>50</v>
      </c>
      <c r="D1854" t="s">
        <v>5</v>
      </c>
      <c r="E1854" t="s">
        <v>35</v>
      </c>
      <c r="F1854" t="s">
        <v>39</v>
      </c>
      <c r="G1854">
        <v>34</v>
      </c>
      <c r="H1854">
        <v>2</v>
      </c>
      <c r="I1854">
        <v>42</v>
      </c>
      <c r="J1854">
        <v>73</v>
      </c>
      <c r="K1854">
        <v>401</v>
      </c>
      <c r="L1854">
        <v>84.79</v>
      </c>
      <c r="M1854">
        <v>2028.74</v>
      </c>
      <c r="N1854">
        <v>69502</v>
      </c>
      <c r="O1854">
        <v>923.32</v>
      </c>
      <c r="P1854" s="1">
        <v>-0.27500000000000002</v>
      </c>
      <c r="Q1854">
        <f t="shared" si="140"/>
        <v>36</v>
      </c>
      <c r="R1854">
        <f t="shared" si="141"/>
        <v>75</v>
      </c>
      <c r="S1854" s="1">
        <f t="shared" si="142"/>
        <v>-0.16666666666666666</v>
      </c>
      <c r="T1854">
        <f t="shared" si="143"/>
        <v>0.36</v>
      </c>
      <c r="U1854" t="str">
        <f t="shared" si="144"/>
        <v>Mar</v>
      </c>
    </row>
    <row r="1855" spans="1:21">
      <c r="A1855" s="2">
        <v>46094</v>
      </c>
      <c r="B1855" t="s">
        <v>4</v>
      </c>
      <c r="C1855" t="s">
        <v>46</v>
      </c>
      <c r="D1855" t="s">
        <v>5</v>
      </c>
      <c r="E1855" t="s">
        <v>47</v>
      </c>
      <c r="F1855" t="s">
        <v>49</v>
      </c>
      <c r="G1855">
        <v>40</v>
      </c>
      <c r="H1855">
        <v>58</v>
      </c>
      <c r="I1855">
        <v>50</v>
      </c>
      <c r="J1855">
        <v>87</v>
      </c>
      <c r="K1855">
        <v>66</v>
      </c>
      <c r="L1855">
        <v>100.66</v>
      </c>
      <c r="M1855">
        <v>2135.67</v>
      </c>
      <c r="N1855">
        <v>70181</v>
      </c>
      <c r="O1855">
        <v>1706.44</v>
      </c>
      <c r="P1855" s="1">
        <v>-0.51600000000000001</v>
      </c>
      <c r="Q1855">
        <f t="shared" si="140"/>
        <v>98</v>
      </c>
      <c r="R1855">
        <f t="shared" si="141"/>
        <v>145</v>
      </c>
      <c r="S1855" s="1">
        <f t="shared" si="142"/>
        <v>0.48979591836734693</v>
      </c>
      <c r="T1855">
        <f t="shared" si="143"/>
        <v>0.98</v>
      </c>
      <c r="U1855" t="str">
        <f t="shared" si="144"/>
        <v>Mar</v>
      </c>
    </row>
    <row r="1856" spans="1:21">
      <c r="A1856" s="2">
        <v>46077</v>
      </c>
      <c r="B1856" t="s">
        <v>6</v>
      </c>
      <c r="C1856" t="s">
        <v>31</v>
      </c>
      <c r="D1856" t="s">
        <v>7</v>
      </c>
      <c r="E1856" t="s">
        <v>47</v>
      </c>
      <c r="F1856" t="s">
        <v>33</v>
      </c>
      <c r="G1856">
        <v>113</v>
      </c>
      <c r="H1856">
        <v>53</v>
      </c>
      <c r="I1856">
        <v>23</v>
      </c>
      <c r="J1856">
        <v>91</v>
      </c>
      <c r="K1856">
        <v>194</v>
      </c>
      <c r="L1856">
        <v>92.73</v>
      </c>
      <c r="M1856">
        <v>1972.13</v>
      </c>
      <c r="N1856">
        <v>68699</v>
      </c>
      <c r="O1856">
        <v>1266.76</v>
      </c>
      <c r="P1856" s="1">
        <v>0.629</v>
      </c>
      <c r="Q1856">
        <f t="shared" si="140"/>
        <v>166</v>
      </c>
      <c r="R1856">
        <f t="shared" si="141"/>
        <v>144</v>
      </c>
      <c r="S1856" s="1">
        <f t="shared" si="142"/>
        <v>0.86144578313253017</v>
      </c>
      <c r="T1856">
        <f t="shared" si="143"/>
        <v>1.66</v>
      </c>
      <c r="U1856" t="str">
        <f t="shared" si="144"/>
        <v>Feb</v>
      </c>
    </row>
    <row r="1857" spans="1:21">
      <c r="A1857" s="2">
        <v>46094</v>
      </c>
      <c r="B1857" t="s">
        <v>6</v>
      </c>
      <c r="C1857" t="s">
        <v>48</v>
      </c>
      <c r="D1857" t="s">
        <v>9</v>
      </c>
      <c r="E1857" t="s">
        <v>32</v>
      </c>
      <c r="F1857" t="s">
        <v>45</v>
      </c>
      <c r="G1857">
        <v>4</v>
      </c>
      <c r="H1857">
        <v>78</v>
      </c>
      <c r="I1857">
        <v>3</v>
      </c>
      <c r="J1857">
        <v>146</v>
      </c>
      <c r="K1857">
        <v>414</v>
      </c>
      <c r="L1857">
        <v>95.27</v>
      </c>
      <c r="M1857">
        <v>2113.4499999999998</v>
      </c>
      <c r="N1857">
        <v>74690</v>
      </c>
      <c r="O1857">
        <v>1778.62</v>
      </c>
      <c r="P1857" s="1">
        <v>0.63500000000000001</v>
      </c>
      <c r="Q1857">
        <f t="shared" si="140"/>
        <v>82</v>
      </c>
      <c r="R1857">
        <f t="shared" si="141"/>
        <v>224</v>
      </c>
      <c r="S1857" s="1">
        <f t="shared" si="142"/>
        <v>0.96341463414634143</v>
      </c>
      <c r="T1857">
        <f t="shared" si="143"/>
        <v>0.82</v>
      </c>
      <c r="U1857" t="str">
        <f t="shared" si="144"/>
        <v>Mar</v>
      </c>
    </row>
    <row r="1858" spans="1:21">
      <c r="A1858" s="2">
        <v>46097</v>
      </c>
      <c r="B1858" t="s">
        <v>4</v>
      </c>
      <c r="C1858" t="s">
        <v>40</v>
      </c>
      <c r="D1858" t="s">
        <v>11</v>
      </c>
      <c r="E1858" t="s">
        <v>35</v>
      </c>
      <c r="F1858" t="s">
        <v>45</v>
      </c>
      <c r="G1858">
        <v>105</v>
      </c>
      <c r="H1858">
        <v>32</v>
      </c>
      <c r="I1858">
        <v>47</v>
      </c>
      <c r="J1858">
        <v>5</v>
      </c>
      <c r="K1858">
        <v>422</v>
      </c>
      <c r="L1858">
        <v>101.61</v>
      </c>
      <c r="M1858">
        <v>1839.36</v>
      </c>
      <c r="N1858">
        <v>64986</v>
      </c>
      <c r="O1858">
        <v>1105.06</v>
      </c>
      <c r="P1858" s="1">
        <v>0.1</v>
      </c>
      <c r="Q1858">
        <f t="shared" si="140"/>
        <v>137</v>
      </c>
      <c r="R1858">
        <f t="shared" si="141"/>
        <v>37</v>
      </c>
      <c r="S1858" s="1">
        <f t="shared" si="142"/>
        <v>0.65693430656934304</v>
      </c>
      <c r="T1858">
        <f t="shared" si="143"/>
        <v>1.37</v>
      </c>
      <c r="U1858" t="str">
        <f t="shared" si="144"/>
        <v>Mar</v>
      </c>
    </row>
    <row r="1859" spans="1:21">
      <c r="A1859" s="2">
        <v>46118</v>
      </c>
      <c r="B1859" t="s">
        <v>6</v>
      </c>
      <c r="C1859" t="s">
        <v>48</v>
      </c>
      <c r="D1859" t="s">
        <v>5</v>
      </c>
      <c r="E1859" t="s">
        <v>38</v>
      </c>
      <c r="F1859" t="s">
        <v>49</v>
      </c>
      <c r="G1859">
        <v>19</v>
      </c>
      <c r="H1859">
        <v>73</v>
      </c>
      <c r="I1859">
        <v>82</v>
      </c>
      <c r="J1859">
        <v>52</v>
      </c>
      <c r="K1859">
        <v>115</v>
      </c>
      <c r="L1859">
        <v>81.92</v>
      </c>
      <c r="M1859">
        <v>2156.11</v>
      </c>
      <c r="N1859">
        <v>66162</v>
      </c>
      <c r="O1859">
        <v>1371.14</v>
      </c>
      <c r="P1859" s="1">
        <v>0.27300000000000002</v>
      </c>
      <c r="Q1859">
        <f t="shared" ref="Q1859:Q1922" si="145">G1859+H1859</f>
        <v>92</v>
      </c>
      <c r="R1859">
        <f t="shared" ref="R1859:R1922" si="146">J1859+H1859</f>
        <v>125</v>
      </c>
      <c r="S1859" s="1">
        <f t="shared" ref="S1859:S1922" si="147">(Q1859-I1859)/(Q1859)</f>
        <v>0.10869565217391304</v>
      </c>
      <c r="T1859">
        <f t="shared" ref="T1859:T1922" si="148">Q1859/100</f>
        <v>0.92</v>
      </c>
      <c r="U1859" t="str">
        <f t="shared" ref="U1859:U1922" si="149">TEXT(A1859,"mmm")</f>
        <v>Apr</v>
      </c>
    </row>
    <row r="1860" spans="1:21">
      <c r="A1860" s="2">
        <v>46110</v>
      </c>
      <c r="B1860" t="s">
        <v>4</v>
      </c>
      <c r="C1860" t="s">
        <v>44</v>
      </c>
      <c r="D1860" t="s">
        <v>10</v>
      </c>
      <c r="E1860" t="s">
        <v>42</v>
      </c>
      <c r="F1860" t="s">
        <v>39</v>
      </c>
      <c r="G1860">
        <v>91</v>
      </c>
      <c r="H1860">
        <v>59</v>
      </c>
      <c r="I1860">
        <v>3</v>
      </c>
      <c r="J1860">
        <v>32</v>
      </c>
      <c r="K1860">
        <v>356</v>
      </c>
      <c r="L1860">
        <v>137.9</v>
      </c>
      <c r="M1860">
        <v>1944.22</v>
      </c>
      <c r="N1860">
        <v>66978</v>
      </c>
      <c r="O1860">
        <v>1090.3599999999999</v>
      </c>
      <c r="P1860" s="1">
        <v>-0.97299999999999998</v>
      </c>
      <c r="Q1860">
        <f t="shared" si="145"/>
        <v>150</v>
      </c>
      <c r="R1860">
        <f t="shared" si="146"/>
        <v>91</v>
      </c>
      <c r="S1860" s="1">
        <f t="shared" si="147"/>
        <v>0.98</v>
      </c>
      <c r="T1860">
        <f t="shared" si="148"/>
        <v>1.5</v>
      </c>
      <c r="U1860" t="str">
        <f t="shared" si="149"/>
        <v>Mar</v>
      </c>
    </row>
    <row r="1861" spans="1:21">
      <c r="A1861" s="2">
        <v>46120</v>
      </c>
      <c r="B1861" t="s">
        <v>4</v>
      </c>
      <c r="C1861" t="s">
        <v>36</v>
      </c>
      <c r="D1861" t="s">
        <v>11</v>
      </c>
      <c r="E1861" t="s">
        <v>37</v>
      </c>
      <c r="F1861" t="s">
        <v>49</v>
      </c>
      <c r="G1861">
        <v>62</v>
      </c>
      <c r="H1861">
        <v>28</v>
      </c>
      <c r="I1861">
        <v>19</v>
      </c>
      <c r="J1861">
        <v>151</v>
      </c>
      <c r="K1861">
        <v>156</v>
      </c>
      <c r="L1861">
        <v>126.82</v>
      </c>
      <c r="M1861">
        <v>1823.36</v>
      </c>
      <c r="N1861">
        <v>73209</v>
      </c>
      <c r="O1861">
        <v>1518.96</v>
      </c>
      <c r="P1861" s="1">
        <v>-4.1000000000000002E-2</v>
      </c>
      <c r="Q1861">
        <f t="shared" si="145"/>
        <v>90</v>
      </c>
      <c r="R1861">
        <f t="shared" si="146"/>
        <v>179</v>
      </c>
      <c r="S1861" s="1">
        <f t="shared" si="147"/>
        <v>0.78888888888888886</v>
      </c>
      <c r="T1861">
        <f t="shared" si="148"/>
        <v>0.9</v>
      </c>
      <c r="U1861" t="str">
        <f t="shared" si="149"/>
        <v>Apr</v>
      </c>
    </row>
    <row r="1862" spans="1:21">
      <c r="A1862" s="2">
        <v>46087</v>
      </c>
      <c r="B1862" t="s">
        <v>6</v>
      </c>
      <c r="C1862" t="s">
        <v>34</v>
      </c>
      <c r="D1862" t="s">
        <v>9</v>
      </c>
      <c r="E1862" t="s">
        <v>37</v>
      </c>
      <c r="F1862" t="s">
        <v>45</v>
      </c>
      <c r="G1862">
        <v>90</v>
      </c>
      <c r="H1862">
        <v>22</v>
      </c>
      <c r="I1862">
        <v>43</v>
      </c>
      <c r="J1862">
        <v>90</v>
      </c>
      <c r="K1862">
        <v>407</v>
      </c>
      <c r="L1862">
        <v>119.59</v>
      </c>
      <c r="M1862">
        <v>2304.66</v>
      </c>
      <c r="N1862">
        <v>72344</v>
      </c>
      <c r="O1862">
        <v>1211.1099999999999</v>
      </c>
      <c r="P1862" s="1">
        <v>-0.54300000000000004</v>
      </c>
      <c r="Q1862">
        <f t="shared" si="145"/>
        <v>112</v>
      </c>
      <c r="R1862">
        <f t="shared" si="146"/>
        <v>112</v>
      </c>
      <c r="S1862" s="1">
        <f t="shared" si="147"/>
        <v>0.6160714285714286</v>
      </c>
      <c r="T1862">
        <f t="shared" si="148"/>
        <v>1.1200000000000001</v>
      </c>
      <c r="U1862" t="str">
        <f t="shared" si="149"/>
        <v>Mar</v>
      </c>
    </row>
    <row r="1863" spans="1:21">
      <c r="A1863" s="2">
        <v>46072</v>
      </c>
      <c r="B1863" t="s">
        <v>6</v>
      </c>
      <c r="C1863" t="s">
        <v>36</v>
      </c>
      <c r="D1863" t="s">
        <v>5</v>
      </c>
      <c r="E1863" t="s">
        <v>47</v>
      </c>
      <c r="F1863" t="s">
        <v>49</v>
      </c>
      <c r="G1863">
        <v>50</v>
      </c>
      <c r="H1863">
        <v>46</v>
      </c>
      <c r="I1863">
        <v>88</v>
      </c>
      <c r="J1863">
        <v>30</v>
      </c>
      <c r="K1863">
        <v>81</v>
      </c>
      <c r="L1863">
        <v>133.31</v>
      </c>
      <c r="M1863">
        <v>2354.9499999999998</v>
      </c>
      <c r="N1863">
        <v>75636</v>
      </c>
      <c r="O1863">
        <v>988.17</v>
      </c>
      <c r="P1863" s="1">
        <v>0.40400000000000003</v>
      </c>
      <c r="Q1863">
        <f t="shared" si="145"/>
        <v>96</v>
      </c>
      <c r="R1863">
        <f t="shared" si="146"/>
        <v>76</v>
      </c>
      <c r="S1863" s="1">
        <f t="shared" si="147"/>
        <v>8.3333333333333329E-2</v>
      </c>
      <c r="T1863">
        <f t="shared" si="148"/>
        <v>0.96</v>
      </c>
      <c r="U1863" t="str">
        <f t="shared" si="149"/>
        <v>Feb</v>
      </c>
    </row>
    <row r="1864" spans="1:21">
      <c r="A1864" s="2">
        <v>46105</v>
      </c>
      <c r="B1864" t="s">
        <v>4</v>
      </c>
      <c r="C1864" t="s">
        <v>36</v>
      </c>
      <c r="D1864" t="s">
        <v>10</v>
      </c>
      <c r="E1864" t="s">
        <v>32</v>
      </c>
      <c r="F1864" t="s">
        <v>33</v>
      </c>
      <c r="G1864">
        <v>99</v>
      </c>
      <c r="H1864">
        <v>25</v>
      </c>
      <c r="I1864">
        <v>65</v>
      </c>
      <c r="J1864">
        <v>5</v>
      </c>
      <c r="K1864">
        <v>99</v>
      </c>
      <c r="L1864">
        <v>117.09</v>
      </c>
      <c r="M1864">
        <v>1845.75</v>
      </c>
      <c r="N1864">
        <v>69921</v>
      </c>
      <c r="O1864">
        <v>1651.3</v>
      </c>
      <c r="P1864" s="1">
        <v>0.60099999999999998</v>
      </c>
      <c r="Q1864">
        <f t="shared" si="145"/>
        <v>124</v>
      </c>
      <c r="R1864">
        <f t="shared" si="146"/>
        <v>30</v>
      </c>
      <c r="S1864" s="1">
        <f t="shared" si="147"/>
        <v>0.47580645161290325</v>
      </c>
      <c r="T1864">
        <f t="shared" si="148"/>
        <v>1.24</v>
      </c>
      <c r="U1864" t="str">
        <f t="shared" si="149"/>
        <v>Mar</v>
      </c>
    </row>
    <row r="1865" spans="1:21">
      <c r="A1865" s="2">
        <v>46096</v>
      </c>
      <c r="B1865" t="s">
        <v>4</v>
      </c>
      <c r="C1865" t="s">
        <v>50</v>
      </c>
      <c r="D1865" t="s">
        <v>5</v>
      </c>
      <c r="E1865" t="s">
        <v>47</v>
      </c>
      <c r="F1865" t="s">
        <v>49</v>
      </c>
      <c r="G1865">
        <v>71</v>
      </c>
      <c r="H1865">
        <v>34</v>
      </c>
      <c r="I1865">
        <v>41</v>
      </c>
      <c r="J1865">
        <v>4</v>
      </c>
      <c r="K1865">
        <v>110</v>
      </c>
      <c r="L1865">
        <v>96.25</v>
      </c>
      <c r="M1865">
        <v>2013.52</v>
      </c>
      <c r="N1865">
        <v>64291</v>
      </c>
      <c r="O1865">
        <v>1004.4</v>
      </c>
      <c r="P1865" s="1">
        <v>-0.998</v>
      </c>
      <c r="Q1865">
        <f t="shared" si="145"/>
        <v>105</v>
      </c>
      <c r="R1865">
        <f t="shared" si="146"/>
        <v>38</v>
      </c>
      <c r="S1865" s="1">
        <f t="shared" si="147"/>
        <v>0.60952380952380958</v>
      </c>
      <c r="T1865">
        <f t="shared" si="148"/>
        <v>1.05</v>
      </c>
      <c r="U1865" t="str">
        <f t="shared" si="149"/>
        <v>Mar</v>
      </c>
    </row>
    <row r="1866" spans="1:21">
      <c r="A1866" s="2">
        <v>46109</v>
      </c>
      <c r="B1866" t="s">
        <v>6</v>
      </c>
      <c r="C1866" t="s">
        <v>36</v>
      </c>
      <c r="D1866" t="s">
        <v>5</v>
      </c>
      <c r="E1866" t="s">
        <v>41</v>
      </c>
      <c r="F1866" t="s">
        <v>49</v>
      </c>
      <c r="G1866">
        <v>108</v>
      </c>
      <c r="H1866">
        <v>14</v>
      </c>
      <c r="I1866">
        <v>79</v>
      </c>
      <c r="J1866">
        <v>133</v>
      </c>
      <c r="K1866">
        <v>89</v>
      </c>
      <c r="L1866">
        <v>98.23</v>
      </c>
      <c r="M1866">
        <v>2046.57</v>
      </c>
      <c r="N1866">
        <v>70401</v>
      </c>
      <c r="O1866">
        <v>1037.3</v>
      </c>
      <c r="P1866" s="1">
        <v>-0.71499999999999997</v>
      </c>
      <c r="Q1866">
        <f t="shared" si="145"/>
        <v>122</v>
      </c>
      <c r="R1866">
        <f t="shared" si="146"/>
        <v>147</v>
      </c>
      <c r="S1866" s="1">
        <f t="shared" si="147"/>
        <v>0.35245901639344263</v>
      </c>
      <c r="T1866">
        <f t="shared" si="148"/>
        <v>1.22</v>
      </c>
      <c r="U1866" t="str">
        <f t="shared" si="149"/>
        <v>Mar</v>
      </c>
    </row>
    <row r="1867" spans="1:21">
      <c r="A1867" s="2">
        <v>46083</v>
      </c>
      <c r="B1867" t="s">
        <v>4</v>
      </c>
      <c r="C1867" t="s">
        <v>44</v>
      </c>
      <c r="D1867" t="s">
        <v>11</v>
      </c>
      <c r="E1867" t="s">
        <v>47</v>
      </c>
      <c r="F1867" t="s">
        <v>33</v>
      </c>
      <c r="G1867">
        <v>68</v>
      </c>
      <c r="H1867">
        <v>52</v>
      </c>
      <c r="I1867">
        <v>71</v>
      </c>
      <c r="J1867">
        <v>140</v>
      </c>
      <c r="K1867">
        <v>161</v>
      </c>
      <c r="L1867">
        <v>127.97</v>
      </c>
      <c r="M1867">
        <v>2123.91</v>
      </c>
      <c r="N1867">
        <v>68463</v>
      </c>
      <c r="O1867">
        <v>913.96</v>
      </c>
      <c r="P1867" s="1">
        <v>-0.79900000000000004</v>
      </c>
      <c r="Q1867">
        <f t="shared" si="145"/>
        <v>120</v>
      </c>
      <c r="R1867">
        <f t="shared" si="146"/>
        <v>192</v>
      </c>
      <c r="S1867" s="1">
        <f t="shared" si="147"/>
        <v>0.40833333333333333</v>
      </c>
      <c r="T1867">
        <f t="shared" si="148"/>
        <v>1.2</v>
      </c>
      <c r="U1867" t="str">
        <f t="shared" si="149"/>
        <v>Mar</v>
      </c>
    </row>
    <row r="1868" spans="1:21">
      <c r="A1868" s="2">
        <v>46096</v>
      </c>
      <c r="B1868" t="s">
        <v>6</v>
      </c>
      <c r="C1868" t="s">
        <v>43</v>
      </c>
      <c r="D1868" t="s">
        <v>10</v>
      </c>
      <c r="E1868" t="s">
        <v>38</v>
      </c>
      <c r="F1868" t="s">
        <v>39</v>
      </c>
      <c r="G1868">
        <v>40</v>
      </c>
      <c r="H1868">
        <v>61</v>
      </c>
      <c r="I1868">
        <v>7</v>
      </c>
      <c r="J1868">
        <v>43</v>
      </c>
      <c r="K1868">
        <v>195</v>
      </c>
      <c r="L1868">
        <v>130.03</v>
      </c>
      <c r="M1868">
        <v>2400.0700000000002</v>
      </c>
      <c r="N1868">
        <v>74222</v>
      </c>
      <c r="O1868">
        <v>968.45</v>
      </c>
      <c r="P1868" s="1">
        <v>-0.876</v>
      </c>
      <c r="Q1868">
        <f t="shared" si="145"/>
        <v>101</v>
      </c>
      <c r="R1868">
        <f t="shared" si="146"/>
        <v>104</v>
      </c>
      <c r="S1868" s="1">
        <f t="shared" si="147"/>
        <v>0.93069306930693074</v>
      </c>
      <c r="T1868">
        <f t="shared" si="148"/>
        <v>1.01</v>
      </c>
      <c r="U1868" t="str">
        <f t="shared" si="149"/>
        <v>Mar</v>
      </c>
    </row>
    <row r="1869" spans="1:21">
      <c r="A1869" s="2">
        <v>46083</v>
      </c>
      <c r="B1869" t="s">
        <v>4</v>
      </c>
      <c r="C1869" t="s">
        <v>44</v>
      </c>
      <c r="D1869" t="s">
        <v>9</v>
      </c>
      <c r="E1869" t="s">
        <v>42</v>
      </c>
      <c r="F1869" t="s">
        <v>49</v>
      </c>
      <c r="G1869">
        <v>22</v>
      </c>
      <c r="H1869">
        <v>77</v>
      </c>
      <c r="I1869">
        <v>46</v>
      </c>
      <c r="J1869">
        <v>103</v>
      </c>
      <c r="K1869">
        <v>182</v>
      </c>
      <c r="L1869">
        <v>80.28</v>
      </c>
      <c r="M1869">
        <v>1857.98</v>
      </c>
      <c r="N1869">
        <v>72736</v>
      </c>
      <c r="O1869">
        <v>1607.26</v>
      </c>
      <c r="P1869" s="1">
        <v>0.621</v>
      </c>
      <c r="Q1869">
        <f t="shared" si="145"/>
        <v>99</v>
      </c>
      <c r="R1869">
        <f t="shared" si="146"/>
        <v>180</v>
      </c>
      <c r="S1869" s="1">
        <f t="shared" si="147"/>
        <v>0.53535353535353536</v>
      </c>
      <c r="T1869">
        <f t="shared" si="148"/>
        <v>0.99</v>
      </c>
      <c r="U1869" t="str">
        <f t="shared" si="149"/>
        <v>Mar</v>
      </c>
    </row>
    <row r="1870" spans="1:21">
      <c r="A1870" s="2">
        <v>46114</v>
      </c>
      <c r="B1870" t="s">
        <v>6</v>
      </c>
      <c r="C1870" t="s">
        <v>36</v>
      </c>
      <c r="D1870" t="s">
        <v>11</v>
      </c>
      <c r="E1870" t="s">
        <v>41</v>
      </c>
      <c r="F1870" t="s">
        <v>39</v>
      </c>
      <c r="G1870">
        <v>92</v>
      </c>
      <c r="H1870">
        <v>1</v>
      </c>
      <c r="I1870">
        <v>67</v>
      </c>
      <c r="J1870">
        <v>32</v>
      </c>
      <c r="K1870">
        <v>317</v>
      </c>
      <c r="L1870">
        <v>113.11</v>
      </c>
      <c r="M1870">
        <v>2007.66</v>
      </c>
      <c r="N1870">
        <v>70161</v>
      </c>
      <c r="O1870">
        <v>1596.19</v>
      </c>
      <c r="P1870" s="1">
        <v>-0.56799999999999995</v>
      </c>
      <c r="Q1870">
        <f t="shared" si="145"/>
        <v>93</v>
      </c>
      <c r="R1870">
        <f t="shared" si="146"/>
        <v>33</v>
      </c>
      <c r="S1870" s="1">
        <f t="shared" si="147"/>
        <v>0.27956989247311825</v>
      </c>
      <c r="T1870">
        <f t="shared" si="148"/>
        <v>0.93</v>
      </c>
      <c r="U1870" t="str">
        <f t="shared" si="149"/>
        <v>Apr</v>
      </c>
    </row>
    <row r="1871" spans="1:21">
      <c r="A1871" s="2">
        <v>46092</v>
      </c>
      <c r="B1871" t="s">
        <v>6</v>
      </c>
      <c r="C1871" t="s">
        <v>40</v>
      </c>
      <c r="D1871" t="s">
        <v>7</v>
      </c>
      <c r="E1871" t="s">
        <v>38</v>
      </c>
      <c r="F1871" t="s">
        <v>49</v>
      </c>
      <c r="G1871">
        <v>13</v>
      </c>
      <c r="H1871">
        <v>50</v>
      </c>
      <c r="I1871">
        <v>11</v>
      </c>
      <c r="J1871">
        <v>78</v>
      </c>
      <c r="K1871">
        <v>426</v>
      </c>
      <c r="L1871">
        <v>96.83</v>
      </c>
      <c r="M1871">
        <v>1901.42</v>
      </c>
      <c r="N1871">
        <v>70452</v>
      </c>
      <c r="O1871">
        <v>1774.4</v>
      </c>
      <c r="P1871" s="1">
        <v>0.85899999999999999</v>
      </c>
      <c r="Q1871">
        <f t="shared" si="145"/>
        <v>63</v>
      </c>
      <c r="R1871">
        <f t="shared" si="146"/>
        <v>128</v>
      </c>
      <c r="S1871" s="1">
        <f t="shared" si="147"/>
        <v>0.82539682539682535</v>
      </c>
      <c r="T1871">
        <f t="shared" si="148"/>
        <v>0.63</v>
      </c>
      <c r="U1871" t="str">
        <f t="shared" si="149"/>
        <v>Mar</v>
      </c>
    </row>
    <row r="1872" spans="1:21">
      <c r="A1872" s="2">
        <v>46097</v>
      </c>
      <c r="B1872" t="s">
        <v>6</v>
      </c>
      <c r="C1872" t="s">
        <v>48</v>
      </c>
      <c r="D1872" t="s">
        <v>9</v>
      </c>
      <c r="E1872" t="s">
        <v>35</v>
      </c>
      <c r="F1872" t="s">
        <v>39</v>
      </c>
      <c r="G1872">
        <v>100</v>
      </c>
      <c r="H1872">
        <v>24</v>
      </c>
      <c r="I1872">
        <v>8</v>
      </c>
      <c r="J1872">
        <v>9</v>
      </c>
      <c r="K1872">
        <v>443</v>
      </c>
      <c r="L1872">
        <v>127.13</v>
      </c>
      <c r="M1872">
        <v>2338.2199999999998</v>
      </c>
      <c r="N1872">
        <v>73262</v>
      </c>
      <c r="O1872">
        <v>1070.52</v>
      </c>
      <c r="P1872" s="1">
        <v>-0.40100000000000002</v>
      </c>
      <c r="Q1872">
        <f t="shared" si="145"/>
        <v>124</v>
      </c>
      <c r="R1872">
        <f t="shared" si="146"/>
        <v>33</v>
      </c>
      <c r="S1872" s="1">
        <f t="shared" si="147"/>
        <v>0.93548387096774188</v>
      </c>
      <c r="T1872">
        <f t="shared" si="148"/>
        <v>1.24</v>
      </c>
      <c r="U1872" t="str">
        <f t="shared" si="149"/>
        <v>Mar</v>
      </c>
    </row>
    <row r="1873" spans="1:21">
      <c r="A1873" s="2">
        <v>46125</v>
      </c>
      <c r="B1873" t="s">
        <v>6</v>
      </c>
      <c r="C1873" t="s">
        <v>50</v>
      </c>
      <c r="D1873" t="s">
        <v>10</v>
      </c>
      <c r="E1873" t="s">
        <v>32</v>
      </c>
      <c r="F1873" t="s">
        <v>45</v>
      </c>
      <c r="G1873">
        <v>118</v>
      </c>
      <c r="H1873">
        <v>30</v>
      </c>
      <c r="I1873">
        <v>84</v>
      </c>
      <c r="J1873">
        <v>54</v>
      </c>
      <c r="K1873">
        <v>417</v>
      </c>
      <c r="L1873">
        <v>113.96</v>
      </c>
      <c r="M1873">
        <v>2038.95</v>
      </c>
      <c r="N1873">
        <v>68628</v>
      </c>
      <c r="O1873">
        <v>1053.49</v>
      </c>
      <c r="P1873" s="1">
        <v>0.188</v>
      </c>
      <c r="Q1873">
        <f t="shared" si="145"/>
        <v>148</v>
      </c>
      <c r="R1873">
        <f t="shared" si="146"/>
        <v>84</v>
      </c>
      <c r="S1873" s="1">
        <f t="shared" si="147"/>
        <v>0.43243243243243246</v>
      </c>
      <c r="T1873">
        <f t="shared" si="148"/>
        <v>1.48</v>
      </c>
      <c r="U1873" t="str">
        <f t="shared" si="149"/>
        <v>Apr</v>
      </c>
    </row>
    <row r="1874" spans="1:21">
      <c r="A1874" s="2">
        <v>46069</v>
      </c>
      <c r="B1874" t="s">
        <v>6</v>
      </c>
      <c r="C1874" t="s">
        <v>40</v>
      </c>
      <c r="D1874" t="s">
        <v>5</v>
      </c>
      <c r="E1874" t="s">
        <v>47</v>
      </c>
      <c r="F1874" t="s">
        <v>49</v>
      </c>
      <c r="G1874">
        <v>113</v>
      </c>
      <c r="H1874">
        <v>32</v>
      </c>
      <c r="I1874">
        <v>55</v>
      </c>
      <c r="J1874">
        <v>17</v>
      </c>
      <c r="K1874">
        <v>270</v>
      </c>
      <c r="L1874">
        <v>114.4</v>
      </c>
      <c r="M1874">
        <v>1977.59</v>
      </c>
      <c r="N1874">
        <v>64856</v>
      </c>
      <c r="O1874">
        <v>1698.96</v>
      </c>
      <c r="P1874" s="1">
        <v>0.47199999999999998</v>
      </c>
      <c r="Q1874">
        <f t="shared" si="145"/>
        <v>145</v>
      </c>
      <c r="R1874">
        <f t="shared" si="146"/>
        <v>49</v>
      </c>
      <c r="S1874" s="1">
        <f t="shared" si="147"/>
        <v>0.62068965517241381</v>
      </c>
      <c r="T1874">
        <f t="shared" si="148"/>
        <v>1.45</v>
      </c>
      <c r="U1874" t="str">
        <f t="shared" si="149"/>
        <v>Feb</v>
      </c>
    </row>
    <row r="1875" spans="1:21">
      <c r="A1875" s="2">
        <v>46126</v>
      </c>
      <c r="B1875" t="s">
        <v>6</v>
      </c>
      <c r="C1875" t="s">
        <v>50</v>
      </c>
      <c r="D1875" t="s">
        <v>10</v>
      </c>
      <c r="E1875" t="s">
        <v>37</v>
      </c>
      <c r="F1875" t="s">
        <v>49</v>
      </c>
      <c r="G1875">
        <v>73</v>
      </c>
      <c r="H1875">
        <v>43</v>
      </c>
      <c r="I1875">
        <v>19</v>
      </c>
      <c r="J1875">
        <v>93</v>
      </c>
      <c r="K1875">
        <v>75</v>
      </c>
      <c r="L1875">
        <v>100.52</v>
      </c>
      <c r="M1875">
        <v>2221.25</v>
      </c>
      <c r="N1875">
        <v>73532</v>
      </c>
      <c r="O1875">
        <v>1189.52</v>
      </c>
      <c r="P1875" s="1">
        <v>0.68899999999999995</v>
      </c>
      <c r="Q1875">
        <f t="shared" si="145"/>
        <v>116</v>
      </c>
      <c r="R1875">
        <f t="shared" si="146"/>
        <v>136</v>
      </c>
      <c r="S1875" s="1">
        <f t="shared" si="147"/>
        <v>0.83620689655172409</v>
      </c>
      <c r="T1875">
        <f t="shared" si="148"/>
        <v>1.1599999999999999</v>
      </c>
      <c r="U1875" t="str">
        <f t="shared" si="149"/>
        <v>Apr</v>
      </c>
    </row>
    <row r="1876" spans="1:21">
      <c r="A1876" s="2">
        <v>46087</v>
      </c>
      <c r="B1876" t="s">
        <v>4</v>
      </c>
      <c r="C1876" t="s">
        <v>46</v>
      </c>
      <c r="D1876" t="s">
        <v>10</v>
      </c>
      <c r="E1876" t="s">
        <v>35</v>
      </c>
      <c r="F1876" t="s">
        <v>49</v>
      </c>
      <c r="G1876">
        <v>103</v>
      </c>
      <c r="H1876">
        <v>31</v>
      </c>
      <c r="I1876">
        <v>60</v>
      </c>
      <c r="J1876">
        <v>40</v>
      </c>
      <c r="K1876">
        <v>281</v>
      </c>
      <c r="L1876">
        <v>83.66</v>
      </c>
      <c r="M1876">
        <v>2421.89</v>
      </c>
      <c r="N1876">
        <v>72314</v>
      </c>
      <c r="O1876">
        <v>1561.37</v>
      </c>
      <c r="P1876" s="1">
        <v>-0.26600000000000001</v>
      </c>
      <c r="Q1876">
        <f t="shared" si="145"/>
        <v>134</v>
      </c>
      <c r="R1876">
        <f t="shared" si="146"/>
        <v>71</v>
      </c>
      <c r="S1876" s="1">
        <f t="shared" si="147"/>
        <v>0.55223880597014929</v>
      </c>
      <c r="T1876">
        <f t="shared" si="148"/>
        <v>1.34</v>
      </c>
      <c r="U1876" t="str">
        <f t="shared" si="149"/>
        <v>Mar</v>
      </c>
    </row>
    <row r="1877" spans="1:21">
      <c r="A1877" s="2">
        <v>46109</v>
      </c>
      <c r="B1877" t="s">
        <v>4</v>
      </c>
      <c r="C1877" t="s">
        <v>44</v>
      </c>
      <c r="D1877" t="s">
        <v>10</v>
      </c>
      <c r="E1877" t="s">
        <v>32</v>
      </c>
      <c r="F1877" t="s">
        <v>49</v>
      </c>
      <c r="G1877">
        <v>23</v>
      </c>
      <c r="H1877">
        <v>50</v>
      </c>
      <c r="I1877">
        <v>86</v>
      </c>
      <c r="J1877">
        <v>77</v>
      </c>
      <c r="K1877">
        <v>341</v>
      </c>
      <c r="L1877">
        <v>124.84</v>
      </c>
      <c r="M1877">
        <v>1942.32</v>
      </c>
      <c r="N1877">
        <v>73292</v>
      </c>
      <c r="O1877">
        <v>1078.26</v>
      </c>
      <c r="P1877" s="1">
        <v>-0.55900000000000005</v>
      </c>
      <c r="Q1877">
        <f t="shared" si="145"/>
        <v>73</v>
      </c>
      <c r="R1877">
        <f t="shared" si="146"/>
        <v>127</v>
      </c>
      <c r="S1877" s="1">
        <f t="shared" si="147"/>
        <v>-0.17808219178082191</v>
      </c>
      <c r="T1877">
        <f t="shared" si="148"/>
        <v>0.73</v>
      </c>
      <c r="U1877" t="str">
        <f t="shared" si="149"/>
        <v>Mar</v>
      </c>
    </row>
    <row r="1878" spans="1:21">
      <c r="A1878" s="2">
        <v>46114</v>
      </c>
      <c r="B1878" t="s">
        <v>4</v>
      </c>
      <c r="C1878" t="s">
        <v>44</v>
      </c>
      <c r="D1878" t="s">
        <v>9</v>
      </c>
      <c r="E1878" t="s">
        <v>35</v>
      </c>
      <c r="F1878" t="s">
        <v>33</v>
      </c>
      <c r="G1878">
        <v>65</v>
      </c>
      <c r="H1878">
        <v>25</v>
      </c>
      <c r="I1878">
        <v>14</v>
      </c>
      <c r="J1878">
        <v>54</v>
      </c>
      <c r="K1878">
        <v>364</v>
      </c>
      <c r="L1878">
        <v>132.26</v>
      </c>
      <c r="M1878">
        <v>1943.99</v>
      </c>
      <c r="N1878">
        <v>65116</v>
      </c>
      <c r="O1878">
        <v>914.45</v>
      </c>
      <c r="P1878" s="1">
        <v>0.628</v>
      </c>
      <c r="Q1878">
        <f t="shared" si="145"/>
        <v>90</v>
      </c>
      <c r="R1878">
        <f t="shared" si="146"/>
        <v>79</v>
      </c>
      <c r="S1878" s="1">
        <f t="shared" si="147"/>
        <v>0.84444444444444444</v>
      </c>
      <c r="T1878">
        <f t="shared" si="148"/>
        <v>0.9</v>
      </c>
      <c r="U1878" t="str">
        <f t="shared" si="149"/>
        <v>Apr</v>
      </c>
    </row>
    <row r="1879" spans="1:21">
      <c r="A1879" s="2">
        <v>46100</v>
      </c>
      <c r="B1879" t="s">
        <v>4</v>
      </c>
      <c r="C1879" t="s">
        <v>46</v>
      </c>
      <c r="D1879" t="s">
        <v>5</v>
      </c>
      <c r="E1879" t="s">
        <v>37</v>
      </c>
      <c r="F1879" t="s">
        <v>49</v>
      </c>
      <c r="G1879">
        <v>101</v>
      </c>
      <c r="H1879">
        <v>5</v>
      </c>
      <c r="I1879">
        <v>33</v>
      </c>
      <c r="J1879">
        <v>25</v>
      </c>
      <c r="K1879">
        <v>356</v>
      </c>
      <c r="L1879">
        <v>115.78</v>
      </c>
      <c r="M1879">
        <v>2295.13</v>
      </c>
      <c r="N1879">
        <v>66221</v>
      </c>
      <c r="O1879">
        <v>1195.02</v>
      </c>
      <c r="P1879" s="1">
        <v>0.56399999999999995</v>
      </c>
      <c r="Q1879">
        <f t="shared" si="145"/>
        <v>106</v>
      </c>
      <c r="R1879">
        <f t="shared" si="146"/>
        <v>30</v>
      </c>
      <c r="S1879" s="1">
        <f t="shared" si="147"/>
        <v>0.68867924528301883</v>
      </c>
      <c r="T1879">
        <f t="shared" si="148"/>
        <v>1.06</v>
      </c>
      <c r="U1879" t="str">
        <f t="shared" si="149"/>
        <v>Mar</v>
      </c>
    </row>
    <row r="1880" spans="1:21">
      <c r="A1880" s="2">
        <v>46117</v>
      </c>
      <c r="B1880" t="s">
        <v>4</v>
      </c>
      <c r="C1880" t="s">
        <v>36</v>
      </c>
      <c r="D1880" t="s">
        <v>5</v>
      </c>
      <c r="E1880" t="s">
        <v>35</v>
      </c>
      <c r="F1880" t="s">
        <v>39</v>
      </c>
      <c r="G1880">
        <v>88</v>
      </c>
      <c r="H1880">
        <v>64</v>
      </c>
      <c r="I1880">
        <v>75</v>
      </c>
      <c r="J1880">
        <v>155</v>
      </c>
      <c r="K1880">
        <v>121</v>
      </c>
      <c r="L1880">
        <v>124.09</v>
      </c>
      <c r="M1880">
        <v>2172.19</v>
      </c>
      <c r="N1880">
        <v>75354</v>
      </c>
      <c r="O1880">
        <v>1076.8800000000001</v>
      </c>
      <c r="P1880" s="1">
        <v>0.43</v>
      </c>
      <c r="Q1880">
        <f t="shared" si="145"/>
        <v>152</v>
      </c>
      <c r="R1880">
        <f t="shared" si="146"/>
        <v>219</v>
      </c>
      <c r="S1880" s="1">
        <f t="shared" si="147"/>
        <v>0.50657894736842102</v>
      </c>
      <c r="T1880">
        <f t="shared" si="148"/>
        <v>1.52</v>
      </c>
      <c r="U1880" t="str">
        <f t="shared" si="149"/>
        <v>Apr</v>
      </c>
    </row>
    <row r="1881" spans="1:21">
      <c r="A1881" s="2">
        <v>46086</v>
      </c>
      <c r="B1881" t="s">
        <v>4</v>
      </c>
      <c r="C1881" t="s">
        <v>51</v>
      </c>
      <c r="D1881" t="s">
        <v>10</v>
      </c>
      <c r="E1881" t="s">
        <v>47</v>
      </c>
      <c r="F1881" t="s">
        <v>49</v>
      </c>
      <c r="G1881">
        <v>14</v>
      </c>
      <c r="H1881">
        <v>74</v>
      </c>
      <c r="I1881">
        <v>33</v>
      </c>
      <c r="J1881">
        <v>94</v>
      </c>
      <c r="K1881">
        <v>281</v>
      </c>
      <c r="L1881">
        <v>132.25</v>
      </c>
      <c r="M1881">
        <v>1893</v>
      </c>
      <c r="N1881">
        <v>71602</v>
      </c>
      <c r="O1881">
        <v>931.09</v>
      </c>
      <c r="P1881" s="1">
        <v>0.6</v>
      </c>
      <c r="Q1881">
        <f t="shared" si="145"/>
        <v>88</v>
      </c>
      <c r="R1881">
        <f t="shared" si="146"/>
        <v>168</v>
      </c>
      <c r="S1881" s="1">
        <f t="shared" si="147"/>
        <v>0.625</v>
      </c>
      <c r="T1881">
        <f t="shared" si="148"/>
        <v>0.88</v>
      </c>
      <c r="U1881" t="str">
        <f t="shared" si="149"/>
        <v>Mar</v>
      </c>
    </row>
    <row r="1882" spans="1:21">
      <c r="A1882" s="2">
        <v>46071</v>
      </c>
      <c r="B1882" t="s">
        <v>6</v>
      </c>
      <c r="C1882" t="s">
        <v>44</v>
      </c>
      <c r="D1882" t="s">
        <v>7</v>
      </c>
      <c r="E1882" t="s">
        <v>38</v>
      </c>
      <c r="F1882" t="s">
        <v>39</v>
      </c>
      <c r="G1882">
        <v>111</v>
      </c>
      <c r="H1882">
        <v>11</v>
      </c>
      <c r="I1882">
        <v>22</v>
      </c>
      <c r="J1882">
        <v>114</v>
      </c>
      <c r="K1882">
        <v>443</v>
      </c>
      <c r="L1882">
        <v>100.42</v>
      </c>
      <c r="M1882">
        <v>2140.9699999999998</v>
      </c>
      <c r="N1882">
        <v>69901</v>
      </c>
      <c r="O1882">
        <v>1703.9</v>
      </c>
      <c r="P1882" s="1">
        <v>-6.2E-2</v>
      </c>
      <c r="Q1882">
        <f t="shared" si="145"/>
        <v>122</v>
      </c>
      <c r="R1882">
        <f t="shared" si="146"/>
        <v>125</v>
      </c>
      <c r="S1882" s="1">
        <f t="shared" si="147"/>
        <v>0.81967213114754101</v>
      </c>
      <c r="T1882">
        <f t="shared" si="148"/>
        <v>1.22</v>
      </c>
      <c r="U1882" t="str">
        <f t="shared" si="149"/>
        <v>Feb</v>
      </c>
    </row>
    <row r="1883" spans="1:21">
      <c r="A1883" s="2">
        <v>46100</v>
      </c>
      <c r="B1883" t="s">
        <v>6</v>
      </c>
      <c r="C1883" t="s">
        <v>40</v>
      </c>
      <c r="D1883" t="s">
        <v>7</v>
      </c>
      <c r="E1883" t="s">
        <v>42</v>
      </c>
      <c r="F1883" t="s">
        <v>39</v>
      </c>
      <c r="G1883">
        <v>52</v>
      </c>
      <c r="H1883">
        <v>19</v>
      </c>
      <c r="I1883">
        <v>45</v>
      </c>
      <c r="J1883">
        <v>70</v>
      </c>
      <c r="K1883">
        <v>235</v>
      </c>
      <c r="L1883">
        <v>110.25</v>
      </c>
      <c r="M1883">
        <v>2364.0500000000002</v>
      </c>
      <c r="N1883">
        <v>68305</v>
      </c>
      <c r="O1883">
        <v>1685.12</v>
      </c>
      <c r="P1883" s="1">
        <v>-0.26</v>
      </c>
      <c r="Q1883">
        <f t="shared" si="145"/>
        <v>71</v>
      </c>
      <c r="R1883">
        <f t="shared" si="146"/>
        <v>89</v>
      </c>
      <c r="S1883" s="1">
        <f t="shared" si="147"/>
        <v>0.36619718309859156</v>
      </c>
      <c r="T1883">
        <f t="shared" si="148"/>
        <v>0.71</v>
      </c>
      <c r="U1883" t="str">
        <f t="shared" si="149"/>
        <v>Mar</v>
      </c>
    </row>
    <row r="1884" spans="1:21">
      <c r="A1884" s="2">
        <v>46092</v>
      </c>
      <c r="B1884" t="s">
        <v>4</v>
      </c>
      <c r="C1884" t="s">
        <v>50</v>
      </c>
      <c r="D1884" t="s">
        <v>9</v>
      </c>
      <c r="E1884" t="s">
        <v>37</v>
      </c>
      <c r="F1884" t="s">
        <v>49</v>
      </c>
      <c r="G1884">
        <v>26</v>
      </c>
      <c r="H1884">
        <v>64</v>
      </c>
      <c r="I1884">
        <v>84</v>
      </c>
      <c r="J1884">
        <v>44</v>
      </c>
      <c r="K1884">
        <v>190</v>
      </c>
      <c r="L1884">
        <v>128.32</v>
      </c>
      <c r="M1884">
        <v>2441.04</v>
      </c>
      <c r="N1884">
        <v>75742</v>
      </c>
      <c r="O1884">
        <v>1098.6099999999999</v>
      </c>
      <c r="P1884" s="1">
        <v>0.309</v>
      </c>
      <c r="Q1884">
        <f t="shared" si="145"/>
        <v>90</v>
      </c>
      <c r="R1884">
        <f t="shared" si="146"/>
        <v>108</v>
      </c>
      <c r="S1884" s="1">
        <f t="shared" si="147"/>
        <v>6.6666666666666666E-2</v>
      </c>
      <c r="T1884">
        <f t="shared" si="148"/>
        <v>0.9</v>
      </c>
      <c r="U1884" t="str">
        <f t="shared" si="149"/>
        <v>Mar</v>
      </c>
    </row>
    <row r="1885" spans="1:21">
      <c r="A1885" s="2">
        <v>46121</v>
      </c>
      <c r="B1885" t="s">
        <v>4</v>
      </c>
      <c r="C1885" t="s">
        <v>40</v>
      </c>
      <c r="D1885" t="s">
        <v>7</v>
      </c>
      <c r="E1885" t="s">
        <v>37</v>
      </c>
      <c r="F1885" t="s">
        <v>33</v>
      </c>
      <c r="G1885">
        <v>108</v>
      </c>
      <c r="H1885">
        <v>71</v>
      </c>
      <c r="I1885">
        <v>44</v>
      </c>
      <c r="J1885">
        <v>61</v>
      </c>
      <c r="K1885">
        <v>388</v>
      </c>
      <c r="L1885">
        <v>118.88</v>
      </c>
      <c r="M1885">
        <v>2250.71</v>
      </c>
      <c r="N1885">
        <v>66096</v>
      </c>
      <c r="O1885">
        <v>1577.39</v>
      </c>
      <c r="P1885" s="1">
        <v>0.82499999999999996</v>
      </c>
      <c r="Q1885">
        <f t="shared" si="145"/>
        <v>179</v>
      </c>
      <c r="R1885">
        <f t="shared" si="146"/>
        <v>132</v>
      </c>
      <c r="S1885" s="1">
        <f t="shared" si="147"/>
        <v>0.75418994413407825</v>
      </c>
      <c r="T1885">
        <f t="shared" si="148"/>
        <v>1.79</v>
      </c>
      <c r="U1885" t="str">
        <f t="shared" si="149"/>
        <v>Apr</v>
      </c>
    </row>
    <row r="1886" spans="1:21">
      <c r="A1886" s="2">
        <v>46103</v>
      </c>
      <c r="B1886" t="s">
        <v>4</v>
      </c>
      <c r="C1886" t="s">
        <v>36</v>
      </c>
      <c r="D1886" t="s">
        <v>7</v>
      </c>
      <c r="E1886" t="s">
        <v>35</v>
      </c>
      <c r="F1886" t="s">
        <v>45</v>
      </c>
      <c r="G1886">
        <v>81</v>
      </c>
      <c r="H1886">
        <v>19</v>
      </c>
      <c r="I1886">
        <v>23</v>
      </c>
      <c r="J1886">
        <v>0</v>
      </c>
      <c r="K1886">
        <v>263</v>
      </c>
      <c r="L1886">
        <v>85.85</v>
      </c>
      <c r="M1886">
        <v>2443.5500000000002</v>
      </c>
      <c r="N1886">
        <v>69765</v>
      </c>
      <c r="O1886">
        <v>1627.58</v>
      </c>
      <c r="P1886" s="1">
        <v>-0.69</v>
      </c>
      <c r="Q1886">
        <f t="shared" si="145"/>
        <v>100</v>
      </c>
      <c r="R1886">
        <f t="shared" si="146"/>
        <v>19</v>
      </c>
      <c r="S1886" s="1">
        <f t="shared" si="147"/>
        <v>0.77</v>
      </c>
      <c r="T1886">
        <f t="shared" si="148"/>
        <v>1</v>
      </c>
      <c r="U1886" t="str">
        <f t="shared" si="149"/>
        <v>Mar</v>
      </c>
    </row>
    <row r="1887" spans="1:21">
      <c r="A1887" s="2">
        <v>46117</v>
      </c>
      <c r="B1887" t="s">
        <v>6</v>
      </c>
      <c r="C1887" t="s">
        <v>50</v>
      </c>
      <c r="D1887" t="s">
        <v>5</v>
      </c>
      <c r="E1887" t="s">
        <v>35</v>
      </c>
      <c r="F1887" t="s">
        <v>39</v>
      </c>
      <c r="G1887">
        <v>52</v>
      </c>
      <c r="H1887">
        <v>45</v>
      </c>
      <c r="I1887">
        <v>78</v>
      </c>
      <c r="J1887">
        <v>88</v>
      </c>
      <c r="K1887">
        <v>116</v>
      </c>
      <c r="L1887">
        <v>82.33</v>
      </c>
      <c r="M1887">
        <v>2172.06</v>
      </c>
      <c r="N1887">
        <v>72179</v>
      </c>
      <c r="O1887">
        <v>1157.47</v>
      </c>
      <c r="P1887" s="1">
        <v>0.79400000000000004</v>
      </c>
      <c r="Q1887">
        <f t="shared" si="145"/>
        <v>97</v>
      </c>
      <c r="R1887">
        <f t="shared" si="146"/>
        <v>133</v>
      </c>
      <c r="S1887" s="1">
        <f t="shared" si="147"/>
        <v>0.19587628865979381</v>
      </c>
      <c r="T1887">
        <f t="shared" si="148"/>
        <v>0.97</v>
      </c>
      <c r="U1887" t="str">
        <f t="shared" si="149"/>
        <v>Apr</v>
      </c>
    </row>
    <row r="1888" spans="1:21">
      <c r="A1888" s="2">
        <v>46068</v>
      </c>
      <c r="B1888" t="s">
        <v>6</v>
      </c>
      <c r="C1888" t="s">
        <v>34</v>
      </c>
      <c r="D1888" t="s">
        <v>10</v>
      </c>
      <c r="E1888" t="s">
        <v>42</v>
      </c>
      <c r="F1888" t="s">
        <v>39</v>
      </c>
      <c r="G1888">
        <v>51</v>
      </c>
      <c r="H1888">
        <v>15</v>
      </c>
      <c r="I1888">
        <v>73</v>
      </c>
      <c r="J1888">
        <v>126</v>
      </c>
      <c r="K1888">
        <v>306</v>
      </c>
      <c r="L1888">
        <v>136.94999999999999</v>
      </c>
      <c r="M1888">
        <v>2132.08</v>
      </c>
      <c r="N1888">
        <v>65545</v>
      </c>
      <c r="O1888">
        <v>1464.53</v>
      </c>
      <c r="P1888" s="1">
        <v>-0.79200000000000004</v>
      </c>
      <c r="Q1888">
        <f t="shared" si="145"/>
        <v>66</v>
      </c>
      <c r="R1888">
        <f t="shared" si="146"/>
        <v>141</v>
      </c>
      <c r="S1888" s="1">
        <f t="shared" si="147"/>
        <v>-0.10606060606060606</v>
      </c>
      <c r="T1888">
        <f t="shared" si="148"/>
        <v>0.66</v>
      </c>
      <c r="U1888" t="str">
        <f t="shared" si="149"/>
        <v>Feb</v>
      </c>
    </row>
    <row r="1889" spans="1:21">
      <c r="A1889" s="2">
        <v>46125</v>
      </c>
      <c r="B1889" t="s">
        <v>6</v>
      </c>
      <c r="C1889" t="s">
        <v>36</v>
      </c>
      <c r="D1889" t="s">
        <v>7</v>
      </c>
      <c r="E1889" t="s">
        <v>38</v>
      </c>
      <c r="F1889" t="s">
        <v>45</v>
      </c>
      <c r="G1889">
        <v>94</v>
      </c>
      <c r="H1889">
        <v>58</v>
      </c>
      <c r="I1889">
        <v>11</v>
      </c>
      <c r="J1889">
        <v>133</v>
      </c>
      <c r="K1889">
        <v>339</v>
      </c>
      <c r="L1889">
        <v>119.85</v>
      </c>
      <c r="M1889">
        <v>1971.09</v>
      </c>
      <c r="N1889">
        <v>64998</v>
      </c>
      <c r="O1889">
        <v>1506.41</v>
      </c>
      <c r="P1889" s="1">
        <v>-0.90600000000000003</v>
      </c>
      <c r="Q1889">
        <f t="shared" si="145"/>
        <v>152</v>
      </c>
      <c r="R1889">
        <f t="shared" si="146"/>
        <v>191</v>
      </c>
      <c r="S1889" s="1">
        <f t="shared" si="147"/>
        <v>0.92763157894736847</v>
      </c>
      <c r="T1889">
        <f t="shared" si="148"/>
        <v>1.52</v>
      </c>
      <c r="U1889" t="str">
        <f t="shared" si="149"/>
        <v>Apr</v>
      </c>
    </row>
    <row r="1890" spans="1:21">
      <c r="A1890" s="2">
        <v>46124</v>
      </c>
      <c r="B1890" t="s">
        <v>6</v>
      </c>
      <c r="C1890" t="s">
        <v>44</v>
      </c>
      <c r="D1890" t="s">
        <v>5</v>
      </c>
      <c r="E1890" t="s">
        <v>35</v>
      </c>
      <c r="F1890" t="s">
        <v>39</v>
      </c>
      <c r="G1890">
        <v>117</v>
      </c>
      <c r="H1890">
        <v>11</v>
      </c>
      <c r="I1890">
        <v>63</v>
      </c>
      <c r="J1890">
        <v>8</v>
      </c>
      <c r="K1890">
        <v>160</v>
      </c>
      <c r="L1890">
        <v>134.93</v>
      </c>
      <c r="M1890">
        <v>1844.99</v>
      </c>
      <c r="N1890">
        <v>72680</v>
      </c>
      <c r="O1890">
        <v>985.37</v>
      </c>
      <c r="P1890" s="1">
        <v>-0.66300000000000003</v>
      </c>
      <c r="Q1890">
        <f t="shared" si="145"/>
        <v>128</v>
      </c>
      <c r="R1890">
        <f t="shared" si="146"/>
        <v>19</v>
      </c>
      <c r="S1890" s="1">
        <f t="shared" si="147"/>
        <v>0.5078125</v>
      </c>
      <c r="T1890">
        <f t="shared" si="148"/>
        <v>1.28</v>
      </c>
      <c r="U1890" t="str">
        <f t="shared" si="149"/>
        <v>Apr</v>
      </c>
    </row>
    <row r="1891" spans="1:21">
      <c r="A1891" s="2">
        <v>46083</v>
      </c>
      <c r="B1891" t="s">
        <v>6</v>
      </c>
      <c r="C1891" t="s">
        <v>46</v>
      </c>
      <c r="D1891" t="s">
        <v>9</v>
      </c>
      <c r="E1891" t="s">
        <v>37</v>
      </c>
      <c r="F1891" t="s">
        <v>39</v>
      </c>
      <c r="G1891">
        <v>74</v>
      </c>
      <c r="H1891">
        <v>44</v>
      </c>
      <c r="I1891">
        <v>11</v>
      </c>
      <c r="J1891">
        <v>27</v>
      </c>
      <c r="K1891">
        <v>267</v>
      </c>
      <c r="L1891">
        <v>125.96</v>
      </c>
      <c r="M1891">
        <v>1874.38</v>
      </c>
      <c r="N1891">
        <v>73548</v>
      </c>
      <c r="O1891">
        <v>1015.04</v>
      </c>
      <c r="P1891" s="1">
        <v>0.41599999999999998</v>
      </c>
      <c r="Q1891">
        <f t="shared" si="145"/>
        <v>118</v>
      </c>
      <c r="R1891">
        <f t="shared" si="146"/>
        <v>71</v>
      </c>
      <c r="S1891" s="1">
        <f t="shared" si="147"/>
        <v>0.90677966101694918</v>
      </c>
      <c r="T1891">
        <f t="shared" si="148"/>
        <v>1.18</v>
      </c>
      <c r="U1891" t="str">
        <f t="shared" si="149"/>
        <v>Mar</v>
      </c>
    </row>
    <row r="1892" spans="1:21">
      <c r="A1892" s="2">
        <v>46092</v>
      </c>
      <c r="B1892" t="s">
        <v>6</v>
      </c>
      <c r="C1892" t="s">
        <v>51</v>
      </c>
      <c r="D1892" t="s">
        <v>9</v>
      </c>
      <c r="E1892" t="s">
        <v>38</v>
      </c>
      <c r="F1892" t="s">
        <v>39</v>
      </c>
      <c r="G1892">
        <v>23</v>
      </c>
      <c r="H1892">
        <v>2</v>
      </c>
      <c r="I1892">
        <v>70</v>
      </c>
      <c r="J1892">
        <v>95</v>
      </c>
      <c r="K1892">
        <v>404</v>
      </c>
      <c r="L1892">
        <v>80.97</v>
      </c>
      <c r="M1892">
        <v>1967.19</v>
      </c>
      <c r="N1892">
        <v>71262</v>
      </c>
      <c r="O1892">
        <v>962.3</v>
      </c>
      <c r="P1892" s="1">
        <v>-0.61899999999999999</v>
      </c>
      <c r="Q1892">
        <f t="shared" si="145"/>
        <v>25</v>
      </c>
      <c r="R1892">
        <f t="shared" si="146"/>
        <v>97</v>
      </c>
      <c r="S1892" s="1">
        <f t="shared" si="147"/>
        <v>-1.8</v>
      </c>
      <c r="T1892">
        <f t="shared" si="148"/>
        <v>0.25</v>
      </c>
      <c r="U1892" t="str">
        <f t="shared" si="149"/>
        <v>Mar</v>
      </c>
    </row>
    <row r="1893" spans="1:21">
      <c r="A1893" s="2">
        <v>46102</v>
      </c>
      <c r="B1893" t="s">
        <v>6</v>
      </c>
      <c r="C1893" t="s">
        <v>31</v>
      </c>
      <c r="D1893" t="s">
        <v>9</v>
      </c>
      <c r="E1893" t="s">
        <v>47</v>
      </c>
      <c r="F1893" t="s">
        <v>33</v>
      </c>
      <c r="G1893">
        <v>37</v>
      </c>
      <c r="H1893">
        <v>18</v>
      </c>
      <c r="I1893">
        <v>79</v>
      </c>
      <c r="J1893">
        <v>125</v>
      </c>
      <c r="K1893">
        <v>73</v>
      </c>
      <c r="L1893">
        <v>130.43</v>
      </c>
      <c r="M1893">
        <v>1985.34</v>
      </c>
      <c r="N1893">
        <v>75780</v>
      </c>
      <c r="O1893">
        <v>1681.37</v>
      </c>
      <c r="P1893" s="1">
        <v>0.32800000000000001</v>
      </c>
      <c r="Q1893">
        <f t="shared" si="145"/>
        <v>55</v>
      </c>
      <c r="R1893">
        <f t="shared" si="146"/>
        <v>143</v>
      </c>
      <c r="S1893" s="1">
        <f t="shared" si="147"/>
        <v>-0.43636363636363634</v>
      </c>
      <c r="T1893">
        <f t="shared" si="148"/>
        <v>0.55000000000000004</v>
      </c>
      <c r="U1893" t="str">
        <f t="shared" si="149"/>
        <v>Mar</v>
      </c>
    </row>
    <row r="1894" spans="1:21">
      <c r="A1894" s="2">
        <v>46078</v>
      </c>
      <c r="B1894" t="s">
        <v>6</v>
      </c>
      <c r="C1894" t="s">
        <v>46</v>
      </c>
      <c r="D1894" t="s">
        <v>7</v>
      </c>
      <c r="E1894" t="s">
        <v>32</v>
      </c>
      <c r="F1894" t="s">
        <v>39</v>
      </c>
      <c r="G1894">
        <v>56</v>
      </c>
      <c r="H1894">
        <v>44</v>
      </c>
      <c r="I1894">
        <v>64</v>
      </c>
      <c r="J1894">
        <v>101</v>
      </c>
      <c r="K1894">
        <v>292</v>
      </c>
      <c r="L1894">
        <v>122.58</v>
      </c>
      <c r="M1894">
        <v>2120.87</v>
      </c>
      <c r="N1894">
        <v>73789</v>
      </c>
      <c r="O1894">
        <v>1023.82</v>
      </c>
      <c r="P1894" s="1">
        <v>-0.91600000000000004</v>
      </c>
      <c r="Q1894">
        <f t="shared" si="145"/>
        <v>100</v>
      </c>
      <c r="R1894">
        <f t="shared" si="146"/>
        <v>145</v>
      </c>
      <c r="S1894" s="1">
        <f t="shared" si="147"/>
        <v>0.36</v>
      </c>
      <c r="T1894">
        <f t="shared" si="148"/>
        <v>1</v>
      </c>
      <c r="U1894" t="str">
        <f t="shared" si="149"/>
        <v>Feb</v>
      </c>
    </row>
    <row r="1895" spans="1:21">
      <c r="A1895" s="2">
        <v>46091</v>
      </c>
      <c r="B1895" t="s">
        <v>6</v>
      </c>
      <c r="C1895" t="s">
        <v>43</v>
      </c>
      <c r="D1895" t="s">
        <v>10</v>
      </c>
      <c r="E1895" t="s">
        <v>42</v>
      </c>
      <c r="F1895" t="s">
        <v>39</v>
      </c>
      <c r="G1895">
        <v>105</v>
      </c>
      <c r="H1895">
        <v>76</v>
      </c>
      <c r="I1895">
        <v>87</v>
      </c>
      <c r="J1895">
        <v>93</v>
      </c>
      <c r="K1895">
        <v>311</v>
      </c>
      <c r="L1895">
        <v>132.6</v>
      </c>
      <c r="M1895">
        <v>1961.82</v>
      </c>
      <c r="N1895">
        <v>64795</v>
      </c>
      <c r="O1895">
        <v>962.85</v>
      </c>
      <c r="P1895" s="1">
        <v>0.247</v>
      </c>
      <c r="Q1895">
        <f t="shared" si="145"/>
        <v>181</v>
      </c>
      <c r="R1895">
        <f t="shared" si="146"/>
        <v>169</v>
      </c>
      <c r="S1895" s="1">
        <f t="shared" si="147"/>
        <v>0.51933701657458564</v>
      </c>
      <c r="T1895">
        <f t="shared" si="148"/>
        <v>1.81</v>
      </c>
      <c r="U1895" t="str">
        <f t="shared" si="149"/>
        <v>Mar</v>
      </c>
    </row>
    <row r="1896" spans="1:21">
      <c r="A1896" s="2">
        <v>46102</v>
      </c>
      <c r="B1896" t="s">
        <v>4</v>
      </c>
      <c r="C1896" t="s">
        <v>50</v>
      </c>
      <c r="D1896" t="s">
        <v>5</v>
      </c>
      <c r="E1896" t="s">
        <v>37</v>
      </c>
      <c r="F1896" t="s">
        <v>49</v>
      </c>
      <c r="G1896">
        <v>12</v>
      </c>
      <c r="H1896">
        <v>46</v>
      </c>
      <c r="I1896">
        <v>45</v>
      </c>
      <c r="J1896">
        <v>142</v>
      </c>
      <c r="K1896">
        <v>275</v>
      </c>
      <c r="L1896">
        <v>120.21</v>
      </c>
      <c r="M1896">
        <v>2418.0100000000002</v>
      </c>
      <c r="N1896">
        <v>74694</v>
      </c>
      <c r="O1896">
        <v>1196.19</v>
      </c>
      <c r="P1896" s="1">
        <v>-0.61499999999999999</v>
      </c>
      <c r="Q1896">
        <f t="shared" si="145"/>
        <v>58</v>
      </c>
      <c r="R1896">
        <f t="shared" si="146"/>
        <v>188</v>
      </c>
      <c r="S1896" s="1">
        <f t="shared" si="147"/>
        <v>0.22413793103448276</v>
      </c>
      <c r="T1896">
        <f t="shared" si="148"/>
        <v>0.57999999999999996</v>
      </c>
      <c r="U1896" t="str">
        <f t="shared" si="149"/>
        <v>Mar</v>
      </c>
    </row>
    <row r="1897" spans="1:21">
      <c r="A1897" s="2">
        <v>46088</v>
      </c>
      <c r="B1897" t="s">
        <v>6</v>
      </c>
      <c r="C1897" t="s">
        <v>51</v>
      </c>
      <c r="D1897" t="s">
        <v>7</v>
      </c>
      <c r="E1897" t="s">
        <v>32</v>
      </c>
      <c r="F1897" t="s">
        <v>39</v>
      </c>
      <c r="G1897">
        <v>14</v>
      </c>
      <c r="H1897">
        <v>37</v>
      </c>
      <c r="I1897">
        <v>78</v>
      </c>
      <c r="J1897">
        <v>32</v>
      </c>
      <c r="K1897">
        <v>441</v>
      </c>
      <c r="L1897">
        <v>103.06</v>
      </c>
      <c r="M1897">
        <v>2178.5300000000002</v>
      </c>
      <c r="N1897">
        <v>70581</v>
      </c>
      <c r="O1897">
        <v>1786.36</v>
      </c>
      <c r="P1897" s="1">
        <v>-0.66800000000000004</v>
      </c>
      <c r="Q1897">
        <f t="shared" si="145"/>
        <v>51</v>
      </c>
      <c r="R1897">
        <f t="shared" si="146"/>
        <v>69</v>
      </c>
      <c r="S1897" s="1">
        <f t="shared" si="147"/>
        <v>-0.52941176470588236</v>
      </c>
      <c r="T1897">
        <f t="shared" si="148"/>
        <v>0.51</v>
      </c>
      <c r="U1897" t="str">
        <f t="shared" si="149"/>
        <v>Mar</v>
      </c>
    </row>
    <row r="1898" spans="1:21">
      <c r="A1898" s="2">
        <v>46123</v>
      </c>
      <c r="B1898" t="s">
        <v>6</v>
      </c>
      <c r="C1898" t="s">
        <v>40</v>
      </c>
      <c r="D1898" t="s">
        <v>5</v>
      </c>
      <c r="E1898" t="s">
        <v>42</v>
      </c>
      <c r="F1898" t="s">
        <v>33</v>
      </c>
      <c r="G1898">
        <v>86</v>
      </c>
      <c r="H1898">
        <v>53</v>
      </c>
      <c r="I1898">
        <v>36</v>
      </c>
      <c r="J1898">
        <v>156</v>
      </c>
      <c r="K1898">
        <v>444</v>
      </c>
      <c r="L1898">
        <v>114.78</v>
      </c>
      <c r="M1898">
        <v>1903.08</v>
      </c>
      <c r="N1898">
        <v>73372</v>
      </c>
      <c r="O1898">
        <v>1292.28</v>
      </c>
      <c r="P1898" s="1">
        <v>-5.8999999999999997E-2</v>
      </c>
      <c r="Q1898">
        <f t="shared" si="145"/>
        <v>139</v>
      </c>
      <c r="R1898">
        <f t="shared" si="146"/>
        <v>209</v>
      </c>
      <c r="S1898" s="1">
        <f t="shared" si="147"/>
        <v>0.74100719424460426</v>
      </c>
      <c r="T1898">
        <f t="shared" si="148"/>
        <v>1.39</v>
      </c>
      <c r="U1898" t="str">
        <f t="shared" si="149"/>
        <v>Apr</v>
      </c>
    </row>
    <row r="1899" spans="1:21">
      <c r="A1899" s="2">
        <v>46120</v>
      </c>
      <c r="B1899" t="s">
        <v>4</v>
      </c>
      <c r="C1899" t="s">
        <v>40</v>
      </c>
      <c r="D1899" t="s">
        <v>5</v>
      </c>
      <c r="E1899" t="s">
        <v>37</v>
      </c>
      <c r="F1899" t="s">
        <v>39</v>
      </c>
      <c r="G1899">
        <v>45</v>
      </c>
      <c r="H1899">
        <v>49</v>
      </c>
      <c r="I1899">
        <v>55</v>
      </c>
      <c r="J1899">
        <v>136</v>
      </c>
      <c r="K1899">
        <v>319</v>
      </c>
      <c r="L1899">
        <v>84.99</v>
      </c>
      <c r="M1899">
        <v>2108.23</v>
      </c>
      <c r="N1899">
        <v>70358</v>
      </c>
      <c r="O1899">
        <v>1013.7</v>
      </c>
      <c r="P1899" s="1">
        <v>0.74099999999999999</v>
      </c>
      <c r="Q1899">
        <f t="shared" si="145"/>
        <v>94</v>
      </c>
      <c r="R1899">
        <f t="shared" si="146"/>
        <v>185</v>
      </c>
      <c r="S1899" s="1">
        <f t="shared" si="147"/>
        <v>0.41489361702127658</v>
      </c>
      <c r="T1899">
        <f t="shared" si="148"/>
        <v>0.94</v>
      </c>
      <c r="U1899" t="str">
        <f t="shared" si="149"/>
        <v>Apr</v>
      </c>
    </row>
    <row r="1900" spans="1:21">
      <c r="A1900" s="2">
        <v>46071</v>
      </c>
      <c r="B1900" t="s">
        <v>4</v>
      </c>
      <c r="C1900" t="s">
        <v>51</v>
      </c>
      <c r="D1900" t="s">
        <v>10</v>
      </c>
      <c r="E1900" t="s">
        <v>35</v>
      </c>
      <c r="F1900" t="s">
        <v>45</v>
      </c>
      <c r="G1900">
        <v>81</v>
      </c>
      <c r="H1900">
        <v>25</v>
      </c>
      <c r="I1900">
        <v>36</v>
      </c>
      <c r="J1900">
        <v>56</v>
      </c>
      <c r="K1900">
        <v>73</v>
      </c>
      <c r="L1900">
        <v>138.87</v>
      </c>
      <c r="M1900">
        <v>1903.1</v>
      </c>
      <c r="N1900">
        <v>64355</v>
      </c>
      <c r="O1900">
        <v>1109.6300000000001</v>
      </c>
      <c r="P1900" s="1">
        <v>1.9E-2</v>
      </c>
      <c r="Q1900">
        <f t="shared" si="145"/>
        <v>106</v>
      </c>
      <c r="R1900">
        <f t="shared" si="146"/>
        <v>81</v>
      </c>
      <c r="S1900" s="1">
        <f t="shared" si="147"/>
        <v>0.660377358490566</v>
      </c>
      <c r="T1900">
        <f t="shared" si="148"/>
        <v>1.06</v>
      </c>
      <c r="U1900" t="str">
        <f t="shared" si="149"/>
        <v>Feb</v>
      </c>
    </row>
    <row r="1901" spans="1:21">
      <c r="A1901" s="2">
        <v>46112</v>
      </c>
      <c r="B1901" t="s">
        <v>4</v>
      </c>
      <c r="C1901" t="s">
        <v>48</v>
      </c>
      <c r="D1901" t="s">
        <v>7</v>
      </c>
      <c r="E1901" t="s">
        <v>42</v>
      </c>
      <c r="F1901" t="s">
        <v>45</v>
      </c>
      <c r="G1901">
        <v>116</v>
      </c>
      <c r="H1901">
        <v>78</v>
      </c>
      <c r="I1901">
        <v>69</v>
      </c>
      <c r="J1901">
        <v>104</v>
      </c>
      <c r="K1901">
        <v>280</v>
      </c>
      <c r="L1901">
        <v>127.41</v>
      </c>
      <c r="M1901">
        <v>2247.15</v>
      </c>
      <c r="N1901">
        <v>69077</v>
      </c>
      <c r="O1901">
        <v>1779.68</v>
      </c>
      <c r="P1901" s="1">
        <v>-0.84199999999999997</v>
      </c>
      <c r="Q1901">
        <f t="shared" si="145"/>
        <v>194</v>
      </c>
      <c r="R1901">
        <f t="shared" si="146"/>
        <v>182</v>
      </c>
      <c r="S1901" s="1">
        <f t="shared" si="147"/>
        <v>0.64432989690721654</v>
      </c>
      <c r="T1901">
        <f t="shared" si="148"/>
        <v>1.94</v>
      </c>
      <c r="U1901" t="str">
        <f t="shared" si="149"/>
        <v>Mar</v>
      </c>
    </row>
    <row r="1902" spans="1:21">
      <c r="A1902" s="2">
        <v>46081</v>
      </c>
      <c r="B1902" t="s">
        <v>4</v>
      </c>
      <c r="C1902" t="s">
        <v>44</v>
      </c>
      <c r="D1902" t="s">
        <v>10</v>
      </c>
      <c r="E1902" t="s">
        <v>38</v>
      </c>
      <c r="F1902" t="s">
        <v>45</v>
      </c>
      <c r="G1902">
        <v>76</v>
      </c>
      <c r="H1902">
        <v>10</v>
      </c>
      <c r="I1902">
        <v>57</v>
      </c>
      <c r="J1902">
        <v>131</v>
      </c>
      <c r="K1902">
        <v>27</v>
      </c>
      <c r="L1902">
        <v>132.94999999999999</v>
      </c>
      <c r="M1902">
        <v>2230.61</v>
      </c>
      <c r="N1902">
        <v>64260</v>
      </c>
      <c r="O1902">
        <v>1129.53</v>
      </c>
      <c r="P1902" s="1">
        <v>-0.64400000000000002</v>
      </c>
      <c r="Q1902">
        <f t="shared" si="145"/>
        <v>86</v>
      </c>
      <c r="R1902">
        <f t="shared" si="146"/>
        <v>141</v>
      </c>
      <c r="S1902" s="1">
        <f t="shared" si="147"/>
        <v>0.33720930232558138</v>
      </c>
      <c r="T1902">
        <f t="shared" si="148"/>
        <v>0.86</v>
      </c>
      <c r="U1902" t="str">
        <f t="shared" si="149"/>
        <v>Feb</v>
      </c>
    </row>
    <row r="1903" spans="1:21">
      <c r="A1903" s="2">
        <v>46094</v>
      </c>
      <c r="B1903" t="s">
        <v>4</v>
      </c>
      <c r="C1903" t="s">
        <v>43</v>
      </c>
      <c r="D1903" t="s">
        <v>7</v>
      </c>
      <c r="E1903" t="s">
        <v>42</v>
      </c>
      <c r="F1903" t="s">
        <v>45</v>
      </c>
      <c r="G1903">
        <v>30</v>
      </c>
      <c r="H1903">
        <v>0</v>
      </c>
      <c r="I1903">
        <v>6</v>
      </c>
      <c r="J1903">
        <v>102</v>
      </c>
      <c r="K1903">
        <v>26</v>
      </c>
      <c r="L1903">
        <v>84.65</v>
      </c>
      <c r="M1903">
        <v>1954.38</v>
      </c>
      <c r="N1903">
        <v>65673</v>
      </c>
      <c r="O1903">
        <v>987.31</v>
      </c>
      <c r="P1903" s="1">
        <v>-0.80500000000000005</v>
      </c>
      <c r="Q1903">
        <f t="shared" si="145"/>
        <v>30</v>
      </c>
      <c r="R1903">
        <f t="shared" si="146"/>
        <v>102</v>
      </c>
      <c r="S1903" s="1">
        <f t="shared" si="147"/>
        <v>0.8</v>
      </c>
      <c r="T1903">
        <f t="shared" si="148"/>
        <v>0.3</v>
      </c>
      <c r="U1903" t="str">
        <f t="shared" si="149"/>
        <v>Mar</v>
      </c>
    </row>
    <row r="1904" spans="1:21">
      <c r="A1904" s="2">
        <v>46100</v>
      </c>
      <c r="B1904" t="s">
        <v>4</v>
      </c>
      <c r="C1904" t="s">
        <v>43</v>
      </c>
      <c r="D1904" t="s">
        <v>11</v>
      </c>
      <c r="E1904" t="s">
        <v>38</v>
      </c>
      <c r="F1904" t="s">
        <v>39</v>
      </c>
      <c r="G1904">
        <v>92</v>
      </c>
      <c r="H1904">
        <v>1</v>
      </c>
      <c r="I1904">
        <v>84</v>
      </c>
      <c r="J1904">
        <v>74</v>
      </c>
      <c r="K1904">
        <v>263</v>
      </c>
      <c r="L1904">
        <v>87.45</v>
      </c>
      <c r="M1904">
        <v>1811.27</v>
      </c>
      <c r="N1904">
        <v>67198</v>
      </c>
      <c r="O1904">
        <v>1525.4</v>
      </c>
      <c r="P1904" s="1">
        <v>-0.65300000000000002</v>
      </c>
      <c r="Q1904">
        <f t="shared" si="145"/>
        <v>93</v>
      </c>
      <c r="R1904">
        <f t="shared" si="146"/>
        <v>75</v>
      </c>
      <c r="S1904" s="1">
        <f t="shared" si="147"/>
        <v>9.6774193548387094E-2</v>
      </c>
      <c r="T1904">
        <f t="shared" si="148"/>
        <v>0.93</v>
      </c>
      <c r="U1904" t="str">
        <f t="shared" si="149"/>
        <v>Mar</v>
      </c>
    </row>
    <row r="1905" spans="1:21">
      <c r="A1905" s="2">
        <v>46083</v>
      </c>
      <c r="B1905" t="s">
        <v>4</v>
      </c>
      <c r="C1905" t="s">
        <v>43</v>
      </c>
      <c r="D1905" t="s">
        <v>9</v>
      </c>
      <c r="E1905" t="s">
        <v>32</v>
      </c>
      <c r="F1905" t="s">
        <v>39</v>
      </c>
      <c r="G1905">
        <v>115</v>
      </c>
      <c r="H1905">
        <v>16</v>
      </c>
      <c r="I1905">
        <v>52</v>
      </c>
      <c r="J1905">
        <v>26</v>
      </c>
      <c r="K1905">
        <v>234</v>
      </c>
      <c r="L1905">
        <v>117.51</v>
      </c>
      <c r="M1905">
        <v>2186.23</v>
      </c>
      <c r="N1905">
        <v>70163</v>
      </c>
      <c r="O1905">
        <v>1136.72</v>
      </c>
      <c r="P1905" s="1">
        <v>0.96399999999999997</v>
      </c>
      <c r="Q1905">
        <f t="shared" si="145"/>
        <v>131</v>
      </c>
      <c r="R1905">
        <f t="shared" si="146"/>
        <v>42</v>
      </c>
      <c r="S1905" s="1">
        <f t="shared" si="147"/>
        <v>0.60305343511450382</v>
      </c>
      <c r="T1905">
        <f t="shared" si="148"/>
        <v>1.31</v>
      </c>
      <c r="U1905" t="str">
        <f t="shared" si="149"/>
        <v>Mar</v>
      </c>
    </row>
    <row r="1906" spans="1:21">
      <c r="A1906" s="2">
        <v>46111</v>
      </c>
      <c r="B1906" t="s">
        <v>6</v>
      </c>
      <c r="C1906" t="s">
        <v>48</v>
      </c>
      <c r="D1906" t="s">
        <v>9</v>
      </c>
      <c r="E1906" t="s">
        <v>42</v>
      </c>
      <c r="F1906" t="s">
        <v>45</v>
      </c>
      <c r="G1906">
        <v>24</v>
      </c>
      <c r="H1906">
        <v>74</v>
      </c>
      <c r="I1906">
        <v>3</v>
      </c>
      <c r="J1906">
        <v>41</v>
      </c>
      <c r="K1906">
        <v>5</v>
      </c>
      <c r="L1906">
        <v>94.81</v>
      </c>
      <c r="M1906">
        <v>1813.31</v>
      </c>
      <c r="N1906">
        <v>71837</v>
      </c>
      <c r="O1906">
        <v>903.08</v>
      </c>
      <c r="P1906" s="1">
        <v>0.82499999999999996</v>
      </c>
      <c r="Q1906">
        <f t="shared" si="145"/>
        <v>98</v>
      </c>
      <c r="R1906">
        <f t="shared" si="146"/>
        <v>115</v>
      </c>
      <c r="S1906" s="1">
        <f t="shared" si="147"/>
        <v>0.96938775510204078</v>
      </c>
      <c r="T1906">
        <f t="shared" si="148"/>
        <v>0.98</v>
      </c>
      <c r="U1906" t="str">
        <f t="shared" si="149"/>
        <v>Mar</v>
      </c>
    </row>
    <row r="1907" spans="1:21">
      <c r="A1907" s="2">
        <v>46069</v>
      </c>
      <c r="B1907" t="s">
        <v>4</v>
      </c>
      <c r="C1907" t="s">
        <v>44</v>
      </c>
      <c r="D1907" t="s">
        <v>9</v>
      </c>
      <c r="E1907" t="s">
        <v>42</v>
      </c>
      <c r="F1907" t="s">
        <v>45</v>
      </c>
      <c r="G1907">
        <v>57</v>
      </c>
      <c r="H1907">
        <v>55</v>
      </c>
      <c r="I1907">
        <v>62</v>
      </c>
      <c r="J1907">
        <v>128</v>
      </c>
      <c r="K1907">
        <v>203</v>
      </c>
      <c r="L1907">
        <v>85.42</v>
      </c>
      <c r="M1907">
        <v>2053.04</v>
      </c>
      <c r="N1907">
        <v>68069</v>
      </c>
      <c r="O1907">
        <v>1704.76</v>
      </c>
      <c r="P1907" s="1">
        <v>0.59199999999999997</v>
      </c>
      <c r="Q1907">
        <f t="shared" si="145"/>
        <v>112</v>
      </c>
      <c r="R1907">
        <f t="shared" si="146"/>
        <v>183</v>
      </c>
      <c r="S1907" s="1">
        <f t="shared" si="147"/>
        <v>0.44642857142857145</v>
      </c>
      <c r="T1907">
        <f t="shared" si="148"/>
        <v>1.1200000000000001</v>
      </c>
      <c r="U1907" t="str">
        <f t="shared" si="149"/>
        <v>Feb</v>
      </c>
    </row>
    <row r="1908" spans="1:21">
      <c r="A1908" s="2">
        <v>46100</v>
      </c>
      <c r="B1908" t="s">
        <v>6</v>
      </c>
      <c r="C1908" t="s">
        <v>44</v>
      </c>
      <c r="D1908" t="s">
        <v>11</v>
      </c>
      <c r="E1908" t="s">
        <v>42</v>
      </c>
      <c r="F1908" t="s">
        <v>49</v>
      </c>
      <c r="G1908">
        <v>91</v>
      </c>
      <c r="H1908">
        <v>39</v>
      </c>
      <c r="I1908">
        <v>55</v>
      </c>
      <c r="J1908">
        <v>75</v>
      </c>
      <c r="K1908">
        <v>329</v>
      </c>
      <c r="L1908">
        <v>124.78</v>
      </c>
      <c r="M1908">
        <v>2454.5700000000002</v>
      </c>
      <c r="N1908">
        <v>65457</v>
      </c>
      <c r="O1908">
        <v>1788.24</v>
      </c>
      <c r="P1908" s="1">
        <v>-0.77600000000000002</v>
      </c>
      <c r="Q1908">
        <f t="shared" si="145"/>
        <v>130</v>
      </c>
      <c r="R1908">
        <f t="shared" si="146"/>
        <v>114</v>
      </c>
      <c r="S1908" s="1">
        <f t="shared" si="147"/>
        <v>0.57692307692307687</v>
      </c>
      <c r="T1908">
        <f t="shared" si="148"/>
        <v>1.3</v>
      </c>
      <c r="U1908" t="str">
        <f t="shared" si="149"/>
        <v>Mar</v>
      </c>
    </row>
    <row r="1909" spans="1:21">
      <c r="A1909" s="2">
        <v>46069</v>
      </c>
      <c r="B1909" t="s">
        <v>6</v>
      </c>
      <c r="C1909" t="s">
        <v>43</v>
      </c>
      <c r="D1909" t="s">
        <v>11</v>
      </c>
      <c r="E1909" t="s">
        <v>32</v>
      </c>
      <c r="F1909" t="s">
        <v>45</v>
      </c>
      <c r="G1909">
        <v>68</v>
      </c>
      <c r="H1909">
        <v>78</v>
      </c>
      <c r="I1909">
        <v>45</v>
      </c>
      <c r="J1909">
        <v>10</v>
      </c>
      <c r="K1909">
        <v>207</v>
      </c>
      <c r="L1909">
        <v>112</v>
      </c>
      <c r="M1909">
        <v>2066.92</v>
      </c>
      <c r="N1909">
        <v>74487</v>
      </c>
      <c r="O1909">
        <v>1067.02</v>
      </c>
      <c r="P1909" s="1">
        <v>-0.45</v>
      </c>
      <c r="Q1909">
        <f t="shared" si="145"/>
        <v>146</v>
      </c>
      <c r="R1909">
        <f t="shared" si="146"/>
        <v>88</v>
      </c>
      <c r="S1909" s="1">
        <f t="shared" si="147"/>
        <v>0.69178082191780821</v>
      </c>
      <c r="T1909">
        <f t="shared" si="148"/>
        <v>1.46</v>
      </c>
      <c r="U1909" t="str">
        <f t="shared" si="149"/>
        <v>Feb</v>
      </c>
    </row>
    <row r="1910" spans="1:21">
      <c r="A1910" s="2">
        <v>46090</v>
      </c>
      <c r="B1910" t="s">
        <v>4</v>
      </c>
      <c r="C1910" t="s">
        <v>50</v>
      </c>
      <c r="D1910" t="s">
        <v>7</v>
      </c>
      <c r="E1910" t="s">
        <v>32</v>
      </c>
      <c r="F1910" t="s">
        <v>33</v>
      </c>
      <c r="G1910">
        <v>97</v>
      </c>
      <c r="H1910">
        <v>48</v>
      </c>
      <c r="I1910">
        <v>50</v>
      </c>
      <c r="J1910">
        <v>128</v>
      </c>
      <c r="K1910">
        <v>36</v>
      </c>
      <c r="L1910">
        <v>124.93</v>
      </c>
      <c r="M1910">
        <v>2045.66</v>
      </c>
      <c r="N1910">
        <v>67268</v>
      </c>
      <c r="O1910">
        <v>1635.05</v>
      </c>
      <c r="P1910" s="1">
        <v>-0.42899999999999999</v>
      </c>
      <c r="Q1910">
        <f t="shared" si="145"/>
        <v>145</v>
      </c>
      <c r="R1910">
        <f t="shared" si="146"/>
        <v>176</v>
      </c>
      <c r="S1910" s="1">
        <f t="shared" si="147"/>
        <v>0.65517241379310343</v>
      </c>
      <c r="T1910">
        <f t="shared" si="148"/>
        <v>1.45</v>
      </c>
      <c r="U1910" t="str">
        <f t="shared" si="149"/>
        <v>Mar</v>
      </c>
    </row>
    <row r="1911" spans="1:21">
      <c r="A1911" s="2">
        <v>46069</v>
      </c>
      <c r="B1911" t="s">
        <v>4</v>
      </c>
      <c r="C1911" t="s">
        <v>36</v>
      </c>
      <c r="D1911" t="s">
        <v>7</v>
      </c>
      <c r="E1911" t="s">
        <v>47</v>
      </c>
      <c r="F1911" t="s">
        <v>39</v>
      </c>
      <c r="G1911">
        <v>103</v>
      </c>
      <c r="H1911">
        <v>11</v>
      </c>
      <c r="I1911">
        <v>31</v>
      </c>
      <c r="J1911">
        <v>129</v>
      </c>
      <c r="K1911">
        <v>387</v>
      </c>
      <c r="L1911">
        <v>119.19</v>
      </c>
      <c r="M1911">
        <v>2110.54</v>
      </c>
      <c r="N1911">
        <v>68864</v>
      </c>
      <c r="O1911">
        <v>1116.82</v>
      </c>
      <c r="P1911" s="1">
        <v>0.755</v>
      </c>
      <c r="Q1911">
        <f t="shared" si="145"/>
        <v>114</v>
      </c>
      <c r="R1911">
        <f t="shared" si="146"/>
        <v>140</v>
      </c>
      <c r="S1911" s="1">
        <f t="shared" si="147"/>
        <v>0.72807017543859653</v>
      </c>
      <c r="T1911">
        <f t="shared" si="148"/>
        <v>1.1399999999999999</v>
      </c>
      <c r="U1911" t="str">
        <f t="shared" si="149"/>
        <v>Feb</v>
      </c>
    </row>
    <row r="1912" spans="1:21">
      <c r="A1912" s="2">
        <v>46089</v>
      </c>
      <c r="B1912" t="s">
        <v>4</v>
      </c>
      <c r="C1912" t="s">
        <v>50</v>
      </c>
      <c r="D1912" t="s">
        <v>5</v>
      </c>
      <c r="E1912" t="s">
        <v>35</v>
      </c>
      <c r="F1912" t="s">
        <v>45</v>
      </c>
      <c r="G1912">
        <v>113</v>
      </c>
      <c r="H1912">
        <v>70</v>
      </c>
      <c r="I1912">
        <v>27</v>
      </c>
      <c r="J1912">
        <v>16</v>
      </c>
      <c r="K1912">
        <v>413</v>
      </c>
      <c r="L1912">
        <v>113.37</v>
      </c>
      <c r="M1912">
        <v>2341.06</v>
      </c>
      <c r="N1912">
        <v>70066</v>
      </c>
      <c r="O1912">
        <v>1127.9100000000001</v>
      </c>
      <c r="P1912" s="1">
        <v>-0.76</v>
      </c>
      <c r="Q1912">
        <f t="shared" si="145"/>
        <v>183</v>
      </c>
      <c r="R1912">
        <f t="shared" si="146"/>
        <v>86</v>
      </c>
      <c r="S1912" s="1">
        <f t="shared" si="147"/>
        <v>0.85245901639344257</v>
      </c>
      <c r="T1912">
        <f t="shared" si="148"/>
        <v>1.83</v>
      </c>
      <c r="U1912" t="str">
        <f t="shared" si="149"/>
        <v>Mar</v>
      </c>
    </row>
    <row r="1913" spans="1:21">
      <c r="A1913" s="2">
        <v>46109</v>
      </c>
      <c r="B1913" t="s">
        <v>6</v>
      </c>
      <c r="C1913" t="s">
        <v>31</v>
      </c>
      <c r="D1913" t="s">
        <v>11</v>
      </c>
      <c r="E1913" t="s">
        <v>37</v>
      </c>
      <c r="F1913" t="s">
        <v>33</v>
      </c>
      <c r="G1913">
        <v>15</v>
      </c>
      <c r="H1913">
        <v>10</v>
      </c>
      <c r="I1913">
        <v>32</v>
      </c>
      <c r="J1913">
        <v>142</v>
      </c>
      <c r="K1913">
        <v>134</v>
      </c>
      <c r="L1913">
        <v>107.67</v>
      </c>
      <c r="M1913">
        <v>2330.4</v>
      </c>
      <c r="N1913">
        <v>72222</v>
      </c>
      <c r="O1913">
        <v>1342.18</v>
      </c>
      <c r="P1913" s="1">
        <v>-0.28699999999999998</v>
      </c>
      <c r="Q1913">
        <f t="shared" si="145"/>
        <v>25</v>
      </c>
      <c r="R1913">
        <f t="shared" si="146"/>
        <v>152</v>
      </c>
      <c r="S1913" s="1">
        <f t="shared" si="147"/>
        <v>-0.28000000000000003</v>
      </c>
      <c r="T1913">
        <f t="shared" si="148"/>
        <v>0.25</v>
      </c>
      <c r="U1913" t="str">
        <f t="shared" si="149"/>
        <v>Mar</v>
      </c>
    </row>
    <row r="1914" spans="1:21">
      <c r="A1914" s="2">
        <v>46104</v>
      </c>
      <c r="B1914" t="s">
        <v>6</v>
      </c>
      <c r="C1914" t="s">
        <v>43</v>
      </c>
      <c r="D1914" t="s">
        <v>10</v>
      </c>
      <c r="E1914" t="s">
        <v>37</v>
      </c>
      <c r="F1914" t="s">
        <v>45</v>
      </c>
      <c r="G1914">
        <v>119</v>
      </c>
      <c r="H1914">
        <v>23</v>
      </c>
      <c r="I1914">
        <v>20</v>
      </c>
      <c r="J1914">
        <v>65</v>
      </c>
      <c r="K1914">
        <v>161</v>
      </c>
      <c r="L1914">
        <v>85.45</v>
      </c>
      <c r="M1914">
        <v>2310.14</v>
      </c>
      <c r="N1914">
        <v>65316</v>
      </c>
      <c r="O1914">
        <v>982.6</v>
      </c>
      <c r="P1914" s="1">
        <v>-8.5999999999999993E-2</v>
      </c>
      <c r="Q1914">
        <f t="shared" si="145"/>
        <v>142</v>
      </c>
      <c r="R1914">
        <f t="shared" si="146"/>
        <v>88</v>
      </c>
      <c r="S1914" s="1">
        <f t="shared" si="147"/>
        <v>0.85915492957746475</v>
      </c>
      <c r="T1914">
        <f t="shared" si="148"/>
        <v>1.42</v>
      </c>
      <c r="U1914" t="str">
        <f t="shared" si="149"/>
        <v>Mar</v>
      </c>
    </row>
    <row r="1915" spans="1:21">
      <c r="A1915" s="2">
        <v>46082</v>
      </c>
      <c r="B1915" t="s">
        <v>6</v>
      </c>
      <c r="C1915" t="s">
        <v>44</v>
      </c>
      <c r="D1915" t="s">
        <v>5</v>
      </c>
      <c r="E1915" t="s">
        <v>32</v>
      </c>
      <c r="F1915" t="s">
        <v>49</v>
      </c>
      <c r="G1915">
        <v>83</v>
      </c>
      <c r="H1915">
        <v>44</v>
      </c>
      <c r="I1915">
        <v>11</v>
      </c>
      <c r="J1915">
        <v>70</v>
      </c>
      <c r="K1915">
        <v>89</v>
      </c>
      <c r="L1915">
        <v>107.67</v>
      </c>
      <c r="M1915">
        <v>2131.5100000000002</v>
      </c>
      <c r="N1915">
        <v>66699</v>
      </c>
      <c r="O1915">
        <v>1295.6500000000001</v>
      </c>
      <c r="P1915" s="1">
        <v>0.84899999999999998</v>
      </c>
      <c r="Q1915">
        <f t="shared" si="145"/>
        <v>127</v>
      </c>
      <c r="R1915">
        <f t="shared" si="146"/>
        <v>114</v>
      </c>
      <c r="S1915" s="1">
        <f t="shared" si="147"/>
        <v>0.91338582677165359</v>
      </c>
      <c r="T1915">
        <f t="shared" si="148"/>
        <v>1.27</v>
      </c>
      <c r="U1915" t="str">
        <f t="shared" si="149"/>
        <v>Mar</v>
      </c>
    </row>
    <row r="1916" spans="1:21">
      <c r="A1916" s="2">
        <v>46076</v>
      </c>
      <c r="B1916" t="s">
        <v>4</v>
      </c>
      <c r="C1916" t="s">
        <v>50</v>
      </c>
      <c r="D1916" t="s">
        <v>9</v>
      </c>
      <c r="E1916" t="s">
        <v>35</v>
      </c>
      <c r="F1916" t="s">
        <v>33</v>
      </c>
      <c r="G1916">
        <v>29</v>
      </c>
      <c r="H1916">
        <v>7</v>
      </c>
      <c r="I1916">
        <v>37</v>
      </c>
      <c r="J1916">
        <v>99</v>
      </c>
      <c r="K1916">
        <v>88</v>
      </c>
      <c r="L1916">
        <v>83.91</v>
      </c>
      <c r="M1916">
        <v>2122.85</v>
      </c>
      <c r="N1916">
        <v>65643</v>
      </c>
      <c r="O1916">
        <v>1564.27</v>
      </c>
      <c r="P1916" s="1">
        <v>0.52</v>
      </c>
      <c r="Q1916">
        <f t="shared" si="145"/>
        <v>36</v>
      </c>
      <c r="R1916">
        <f t="shared" si="146"/>
        <v>106</v>
      </c>
      <c r="S1916" s="1">
        <f t="shared" si="147"/>
        <v>-2.7777777777777776E-2</v>
      </c>
      <c r="T1916">
        <f t="shared" si="148"/>
        <v>0.36</v>
      </c>
      <c r="U1916" t="str">
        <f t="shared" si="149"/>
        <v>Feb</v>
      </c>
    </row>
    <row r="1917" spans="1:21">
      <c r="A1917" s="2">
        <v>46096</v>
      </c>
      <c r="B1917" t="s">
        <v>6</v>
      </c>
      <c r="C1917" t="s">
        <v>43</v>
      </c>
      <c r="D1917" t="s">
        <v>5</v>
      </c>
      <c r="E1917" t="s">
        <v>47</v>
      </c>
      <c r="F1917" t="s">
        <v>45</v>
      </c>
      <c r="G1917">
        <v>83</v>
      </c>
      <c r="H1917">
        <v>54</v>
      </c>
      <c r="I1917">
        <v>7</v>
      </c>
      <c r="J1917">
        <v>15</v>
      </c>
      <c r="K1917">
        <v>199</v>
      </c>
      <c r="L1917">
        <v>92.92</v>
      </c>
      <c r="M1917">
        <v>2061.1</v>
      </c>
      <c r="N1917">
        <v>64705</v>
      </c>
      <c r="O1917">
        <v>1275.3800000000001</v>
      </c>
      <c r="P1917" s="1">
        <v>-0.91600000000000004</v>
      </c>
      <c r="Q1917">
        <f t="shared" si="145"/>
        <v>137</v>
      </c>
      <c r="R1917">
        <f t="shared" si="146"/>
        <v>69</v>
      </c>
      <c r="S1917" s="1">
        <f t="shared" si="147"/>
        <v>0.94890510948905105</v>
      </c>
      <c r="T1917">
        <f t="shared" si="148"/>
        <v>1.37</v>
      </c>
      <c r="U1917" t="str">
        <f t="shared" si="149"/>
        <v>Mar</v>
      </c>
    </row>
    <row r="1918" spans="1:21">
      <c r="A1918" s="2">
        <v>46087</v>
      </c>
      <c r="B1918" t="s">
        <v>6</v>
      </c>
      <c r="C1918" t="s">
        <v>51</v>
      </c>
      <c r="D1918" t="s">
        <v>11</v>
      </c>
      <c r="E1918" t="s">
        <v>47</v>
      </c>
      <c r="F1918" t="s">
        <v>49</v>
      </c>
      <c r="G1918">
        <v>22</v>
      </c>
      <c r="H1918">
        <v>44</v>
      </c>
      <c r="I1918">
        <v>83</v>
      </c>
      <c r="J1918">
        <v>136</v>
      </c>
      <c r="K1918">
        <v>6</v>
      </c>
      <c r="L1918">
        <v>131.87</v>
      </c>
      <c r="M1918">
        <v>2376.4499999999998</v>
      </c>
      <c r="N1918">
        <v>75630</v>
      </c>
      <c r="O1918">
        <v>925.73</v>
      </c>
      <c r="P1918" s="1">
        <v>-0.71599999999999997</v>
      </c>
      <c r="Q1918">
        <f t="shared" si="145"/>
        <v>66</v>
      </c>
      <c r="R1918">
        <f t="shared" si="146"/>
        <v>180</v>
      </c>
      <c r="S1918" s="1">
        <f t="shared" si="147"/>
        <v>-0.25757575757575757</v>
      </c>
      <c r="T1918">
        <f t="shared" si="148"/>
        <v>0.66</v>
      </c>
      <c r="U1918" t="str">
        <f t="shared" si="149"/>
        <v>Mar</v>
      </c>
    </row>
    <row r="1919" spans="1:21">
      <c r="A1919" s="2">
        <v>46071</v>
      </c>
      <c r="B1919" t="s">
        <v>4</v>
      </c>
      <c r="C1919" t="s">
        <v>48</v>
      </c>
      <c r="D1919" t="s">
        <v>5</v>
      </c>
      <c r="E1919" t="s">
        <v>32</v>
      </c>
      <c r="F1919" t="s">
        <v>39</v>
      </c>
      <c r="G1919">
        <v>82</v>
      </c>
      <c r="H1919">
        <v>74</v>
      </c>
      <c r="I1919">
        <v>41</v>
      </c>
      <c r="J1919">
        <v>122</v>
      </c>
      <c r="K1919">
        <v>218</v>
      </c>
      <c r="L1919">
        <v>102.98</v>
      </c>
      <c r="M1919">
        <v>2453.9699999999998</v>
      </c>
      <c r="N1919">
        <v>68760</v>
      </c>
      <c r="O1919">
        <v>1550.31</v>
      </c>
      <c r="P1919" s="1">
        <v>0.129</v>
      </c>
      <c r="Q1919">
        <f t="shared" si="145"/>
        <v>156</v>
      </c>
      <c r="R1919">
        <f t="shared" si="146"/>
        <v>196</v>
      </c>
      <c r="S1919" s="1">
        <f t="shared" si="147"/>
        <v>0.73717948717948723</v>
      </c>
      <c r="T1919">
        <f t="shared" si="148"/>
        <v>1.56</v>
      </c>
      <c r="U1919" t="str">
        <f t="shared" si="149"/>
        <v>Feb</v>
      </c>
    </row>
    <row r="1920" spans="1:21">
      <c r="A1920" s="2">
        <v>46077</v>
      </c>
      <c r="B1920" t="s">
        <v>6</v>
      </c>
      <c r="C1920" t="s">
        <v>34</v>
      </c>
      <c r="D1920" t="s">
        <v>7</v>
      </c>
      <c r="E1920" t="s">
        <v>37</v>
      </c>
      <c r="F1920" t="s">
        <v>39</v>
      </c>
      <c r="G1920">
        <v>113</v>
      </c>
      <c r="H1920">
        <v>21</v>
      </c>
      <c r="I1920">
        <v>71</v>
      </c>
      <c r="J1920">
        <v>78</v>
      </c>
      <c r="K1920">
        <v>112</v>
      </c>
      <c r="L1920">
        <v>131.29</v>
      </c>
      <c r="M1920">
        <v>2109.5300000000002</v>
      </c>
      <c r="N1920">
        <v>66809</v>
      </c>
      <c r="O1920">
        <v>1099.78</v>
      </c>
      <c r="P1920" s="1">
        <v>0.90700000000000003</v>
      </c>
      <c r="Q1920">
        <f t="shared" si="145"/>
        <v>134</v>
      </c>
      <c r="R1920">
        <f t="shared" si="146"/>
        <v>99</v>
      </c>
      <c r="S1920" s="1">
        <f t="shared" si="147"/>
        <v>0.47014925373134331</v>
      </c>
      <c r="T1920">
        <f t="shared" si="148"/>
        <v>1.34</v>
      </c>
      <c r="U1920" t="str">
        <f t="shared" si="149"/>
        <v>Feb</v>
      </c>
    </row>
    <row r="1921" spans="1:21">
      <c r="A1921" s="2">
        <v>46094</v>
      </c>
      <c r="B1921" t="s">
        <v>4</v>
      </c>
      <c r="C1921" t="s">
        <v>40</v>
      </c>
      <c r="D1921" t="s">
        <v>9</v>
      </c>
      <c r="E1921" t="s">
        <v>38</v>
      </c>
      <c r="F1921" t="s">
        <v>39</v>
      </c>
      <c r="G1921">
        <v>104</v>
      </c>
      <c r="H1921">
        <v>48</v>
      </c>
      <c r="I1921">
        <v>36</v>
      </c>
      <c r="J1921">
        <v>52</v>
      </c>
      <c r="K1921">
        <v>262</v>
      </c>
      <c r="L1921">
        <v>117.67</v>
      </c>
      <c r="M1921">
        <v>1968.79</v>
      </c>
      <c r="N1921">
        <v>69011</v>
      </c>
      <c r="O1921">
        <v>1225.8</v>
      </c>
      <c r="P1921" s="1">
        <v>0.85899999999999999</v>
      </c>
      <c r="Q1921">
        <f t="shared" si="145"/>
        <v>152</v>
      </c>
      <c r="R1921">
        <f t="shared" si="146"/>
        <v>100</v>
      </c>
      <c r="S1921" s="1">
        <f t="shared" si="147"/>
        <v>0.76315789473684215</v>
      </c>
      <c r="T1921">
        <f t="shared" si="148"/>
        <v>1.52</v>
      </c>
      <c r="U1921" t="str">
        <f t="shared" si="149"/>
        <v>Mar</v>
      </c>
    </row>
    <row r="1922" spans="1:21">
      <c r="A1922" s="2">
        <v>46123</v>
      </c>
      <c r="B1922" t="s">
        <v>6</v>
      </c>
      <c r="C1922" t="s">
        <v>40</v>
      </c>
      <c r="D1922" t="s">
        <v>10</v>
      </c>
      <c r="E1922" t="s">
        <v>38</v>
      </c>
      <c r="F1922" t="s">
        <v>39</v>
      </c>
      <c r="G1922">
        <v>118</v>
      </c>
      <c r="H1922">
        <v>39</v>
      </c>
      <c r="I1922">
        <v>6</v>
      </c>
      <c r="J1922">
        <v>93</v>
      </c>
      <c r="K1922">
        <v>382</v>
      </c>
      <c r="L1922">
        <v>92.42</v>
      </c>
      <c r="M1922">
        <v>2407.88</v>
      </c>
      <c r="N1922">
        <v>66270</v>
      </c>
      <c r="O1922">
        <v>1022.15</v>
      </c>
      <c r="P1922" s="1">
        <v>-0.81899999999999995</v>
      </c>
      <c r="Q1922">
        <f t="shared" si="145"/>
        <v>157</v>
      </c>
      <c r="R1922">
        <f t="shared" si="146"/>
        <v>132</v>
      </c>
      <c r="S1922" s="1">
        <f t="shared" si="147"/>
        <v>0.96178343949044587</v>
      </c>
      <c r="T1922">
        <f t="shared" si="148"/>
        <v>1.57</v>
      </c>
      <c r="U1922" t="str">
        <f t="shared" si="149"/>
        <v>Apr</v>
      </c>
    </row>
    <row r="1923" spans="1:21">
      <c r="A1923" s="2">
        <v>46091</v>
      </c>
      <c r="B1923" t="s">
        <v>6</v>
      </c>
      <c r="C1923" t="s">
        <v>31</v>
      </c>
      <c r="D1923" t="s">
        <v>5</v>
      </c>
      <c r="E1923" t="s">
        <v>32</v>
      </c>
      <c r="F1923" t="s">
        <v>45</v>
      </c>
      <c r="G1923">
        <v>117</v>
      </c>
      <c r="H1923">
        <v>8</v>
      </c>
      <c r="I1923">
        <v>4</v>
      </c>
      <c r="J1923">
        <v>85</v>
      </c>
      <c r="K1923">
        <v>433</v>
      </c>
      <c r="L1923">
        <v>121.86</v>
      </c>
      <c r="M1923">
        <v>1893.75</v>
      </c>
      <c r="N1923">
        <v>70090</v>
      </c>
      <c r="O1923">
        <v>1354.37</v>
      </c>
      <c r="P1923" s="1">
        <v>-0.53500000000000003</v>
      </c>
      <c r="Q1923">
        <f t="shared" ref="Q1923:Q1986" si="150">G1923+H1923</f>
        <v>125</v>
      </c>
      <c r="R1923">
        <f t="shared" ref="R1923:R1986" si="151">J1923+H1923</f>
        <v>93</v>
      </c>
      <c r="S1923" s="1">
        <f t="shared" ref="S1923:S1986" si="152">(Q1923-I1923)/(Q1923)</f>
        <v>0.96799999999999997</v>
      </c>
      <c r="T1923">
        <f t="shared" ref="T1923:T1986" si="153">Q1923/100</f>
        <v>1.25</v>
      </c>
      <c r="U1923" t="str">
        <f t="shared" ref="U1923:U1986" si="154">TEXT(A1923,"mmm")</f>
        <v>Mar</v>
      </c>
    </row>
    <row r="1924" spans="1:21">
      <c r="A1924" s="2">
        <v>46111</v>
      </c>
      <c r="B1924" t="s">
        <v>6</v>
      </c>
      <c r="C1924" t="s">
        <v>51</v>
      </c>
      <c r="D1924" t="s">
        <v>5</v>
      </c>
      <c r="E1924" t="s">
        <v>32</v>
      </c>
      <c r="F1924" t="s">
        <v>45</v>
      </c>
      <c r="G1924">
        <v>60</v>
      </c>
      <c r="H1924">
        <v>69</v>
      </c>
      <c r="I1924">
        <v>43</v>
      </c>
      <c r="J1924">
        <v>32</v>
      </c>
      <c r="K1924">
        <v>356</v>
      </c>
      <c r="L1924">
        <v>129.46</v>
      </c>
      <c r="M1924">
        <v>2340.9699999999998</v>
      </c>
      <c r="N1924">
        <v>75172</v>
      </c>
      <c r="O1924">
        <v>1353.2</v>
      </c>
      <c r="P1924" s="1">
        <v>0.72299999999999998</v>
      </c>
      <c r="Q1924">
        <f t="shared" si="150"/>
        <v>129</v>
      </c>
      <c r="R1924">
        <f t="shared" si="151"/>
        <v>101</v>
      </c>
      <c r="S1924" s="1">
        <f t="shared" si="152"/>
        <v>0.66666666666666663</v>
      </c>
      <c r="T1924">
        <f t="shared" si="153"/>
        <v>1.29</v>
      </c>
      <c r="U1924" t="str">
        <f t="shared" si="154"/>
        <v>Mar</v>
      </c>
    </row>
    <row r="1925" spans="1:21">
      <c r="A1925" s="2">
        <v>46069</v>
      </c>
      <c r="B1925" t="s">
        <v>6</v>
      </c>
      <c r="C1925" t="s">
        <v>50</v>
      </c>
      <c r="D1925" t="s">
        <v>5</v>
      </c>
      <c r="E1925" t="s">
        <v>41</v>
      </c>
      <c r="F1925" t="s">
        <v>49</v>
      </c>
      <c r="G1925">
        <v>84</v>
      </c>
      <c r="H1925">
        <v>8</v>
      </c>
      <c r="I1925">
        <v>83</v>
      </c>
      <c r="J1925">
        <v>128</v>
      </c>
      <c r="K1925">
        <v>334</v>
      </c>
      <c r="L1925">
        <v>116.77</v>
      </c>
      <c r="M1925">
        <v>2499.7399999999998</v>
      </c>
      <c r="N1925">
        <v>67152</v>
      </c>
      <c r="O1925">
        <v>1469.91</v>
      </c>
      <c r="P1925" s="1">
        <v>-1.7999999999999999E-2</v>
      </c>
      <c r="Q1925">
        <f t="shared" si="150"/>
        <v>92</v>
      </c>
      <c r="R1925">
        <f t="shared" si="151"/>
        <v>136</v>
      </c>
      <c r="S1925" s="1">
        <f t="shared" si="152"/>
        <v>9.7826086956521743E-2</v>
      </c>
      <c r="T1925">
        <f t="shared" si="153"/>
        <v>0.92</v>
      </c>
      <c r="U1925" t="str">
        <f t="shared" si="154"/>
        <v>Feb</v>
      </c>
    </row>
    <row r="1926" spans="1:21">
      <c r="A1926" s="2">
        <v>46115</v>
      </c>
      <c r="B1926" t="s">
        <v>6</v>
      </c>
      <c r="C1926" t="s">
        <v>51</v>
      </c>
      <c r="D1926" t="s">
        <v>10</v>
      </c>
      <c r="E1926" t="s">
        <v>41</v>
      </c>
      <c r="F1926" t="s">
        <v>45</v>
      </c>
      <c r="G1926">
        <v>23</v>
      </c>
      <c r="H1926">
        <v>4</v>
      </c>
      <c r="I1926">
        <v>0</v>
      </c>
      <c r="J1926">
        <v>148</v>
      </c>
      <c r="K1926">
        <v>59</v>
      </c>
      <c r="L1926">
        <v>116.33</v>
      </c>
      <c r="M1926">
        <v>1902.99</v>
      </c>
      <c r="N1926">
        <v>71976</v>
      </c>
      <c r="O1926">
        <v>1505.27</v>
      </c>
      <c r="P1926" s="1">
        <v>-0.60099999999999998</v>
      </c>
      <c r="Q1926">
        <f t="shared" si="150"/>
        <v>27</v>
      </c>
      <c r="R1926">
        <f t="shared" si="151"/>
        <v>152</v>
      </c>
      <c r="S1926" s="1">
        <f t="shared" si="152"/>
        <v>1</v>
      </c>
      <c r="T1926">
        <f t="shared" si="153"/>
        <v>0.27</v>
      </c>
      <c r="U1926" t="str">
        <f t="shared" si="154"/>
        <v>Apr</v>
      </c>
    </row>
    <row r="1927" spans="1:21">
      <c r="A1927" s="2">
        <v>46091</v>
      </c>
      <c r="B1927" t="s">
        <v>4</v>
      </c>
      <c r="C1927" t="s">
        <v>40</v>
      </c>
      <c r="D1927" t="s">
        <v>5</v>
      </c>
      <c r="E1927" t="s">
        <v>37</v>
      </c>
      <c r="F1927" t="s">
        <v>39</v>
      </c>
      <c r="G1927">
        <v>116</v>
      </c>
      <c r="H1927">
        <v>2</v>
      </c>
      <c r="I1927">
        <v>36</v>
      </c>
      <c r="J1927">
        <v>77</v>
      </c>
      <c r="K1927">
        <v>442</v>
      </c>
      <c r="L1927">
        <v>132.91999999999999</v>
      </c>
      <c r="M1927">
        <v>2263.38</v>
      </c>
      <c r="N1927">
        <v>71259</v>
      </c>
      <c r="O1927">
        <v>1327.45</v>
      </c>
      <c r="P1927" s="1">
        <v>-0.48399999999999999</v>
      </c>
      <c r="Q1927">
        <f t="shared" si="150"/>
        <v>118</v>
      </c>
      <c r="R1927">
        <f t="shared" si="151"/>
        <v>79</v>
      </c>
      <c r="S1927" s="1">
        <f t="shared" si="152"/>
        <v>0.69491525423728817</v>
      </c>
      <c r="T1927">
        <f t="shared" si="153"/>
        <v>1.18</v>
      </c>
      <c r="U1927" t="str">
        <f t="shared" si="154"/>
        <v>Mar</v>
      </c>
    </row>
    <row r="1928" spans="1:21">
      <c r="A1928" s="2">
        <v>46123</v>
      </c>
      <c r="B1928" t="s">
        <v>6</v>
      </c>
      <c r="C1928" t="s">
        <v>43</v>
      </c>
      <c r="D1928" t="s">
        <v>11</v>
      </c>
      <c r="E1928" t="s">
        <v>47</v>
      </c>
      <c r="F1928" t="s">
        <v>39</v>
      </c>
      <c r="G1928">
        <v>113</v>
      </c>
      <c r="H1928">
        <v>72</v>
      </c>
      <c r="I1928">
        <v>59</v>
      </c>
      <c r="J1928">
        <v>41</v>
      </c>
      <c r="K1928">
        <v>387</v>
      </c>
      <c r="L1928">
        <v>114.71</v>
      </c>
      <c r="M1928">
        <v>1980.02</v>
      </c>
      <c r="N1928">
        <v>70884</v>
      </c>
      <c r="O1928">
        <v>1410.77</v>
      </c>
      <c r="P1928" s="1">
        <v>0.502</v>
      </c>
      <c r="Q1928">
        <f t="shared" si="150"/>
        <v>185</v>
      </c>
      <c r="R1928">
        <f t="shared" si="151"/>
        <v>113</v>
      </c>
      <c r="S1928" s="1">
        <f t="shared" si="152"/>
        <v>0.68108108108108112</v>
      </c>
      <c r="T1928">
        <f t="shared" si="153"/>
        <v>1.85</v>
      </c>
      <c r="U1928" t="str">
        <f t="shared" si="154"/>
        <v>Apr</v>
      </c>
    </row>
    <row r="1929" spans="1:21">
      <c r="A1929" s="2">
        <v>46095</v>
      </c>
      <c r="B1929" t="s">
        <v>6</v>
      </c>
      <c r="C1929" t="s">
        <v>40</v>
      </c>
      <c r="D1929" t="s">
        <v>9</v>
      </c>
      <c r="E1929" t="s">
        <v>42</v>
      </c>
      <c r="F1929" t="s">
        <v>49</v>
      </c>
      <c r="G1929">
        <v>104</v>
      </c>
      <c r="H1929">
        <v>16</v>
      </c>
      <c r="I1929">
        <v>0</v>
      </c>
      <c r="J1929">
        <v>57</v>
      </c>
      <c r="K1929">
        <v>26</v>
      </c>
      <c r="L1929">
        <v>120.63</v>
      </c>
      <c r="M1929">
        <v>2404.27</v>
      </c>
      <c r="N1929">
        <v>68245</v>
      </c>
      <c r="O1929">
        <v>1713.27</v>
      </c>
      <c r="P1929" s="1">
        <v>0.72299999999999998</v>
      </c>
      <c r="Q1929">
        <f t="shared" si="150"/>
        <v>120</v>
      </c>
      <c r="R1929">
        <f t="shared" si="151"/>
        <v>73</v>
      </c>
      <c r="S1929" s="1">
        <f t="shared" si="152"/>
        <v>1</v>
      </c>
      <c r="T1929">
        <f t="shared" si="153"/>
        <v>1.2</v>
      </c>
      <c r="U1929" t="str">
        <f t="shared" si="154"/>
        <v>Mar</v>
      </c>
    </row>
    <row r="1930" spans="1:21">
      <c r="A1930" s="2">
        <v>46114</v>
      </c>
      <c r="B1930" t="s">
        <v>4</v>
      </c>
      <c r="C1930" t="s">
        <v>51</v>
      </c>
      <c r="D1930" t="s">
        <v>9</v>
      </c>
      <c r="E1930" t="s">
        <v>47</v>
      </c>
      <c r="F1930" t="s">
        <v>33</v>
      </c>
      <c r="G1930">
        <v>2</v>
      </c>
      <c r="H1930">
        <v>67</v>
      </c>
      <c r="I1930">
        <v>49</v>
      </c>
      <c r="J1930">
        <v>29</v>
      </c>
      <c r="K1930">
        <v>304</v>
      </c>
      <c r="L1930">
        <v>105.72</v>
      </c>
      <c r="M1930">
        <v>1808.6</v>
      </c>
      <c r="N1930">
        <v>71109</v>
      </c>
      <c r="O1930">
        <v>1044.44</v>
      </c>
      <c r="P1930" s="1">
        <v>0.85599999999999998</v>
      </c>
      <c r="Q1930">
        <f t="shared" si="150"/>
        <v>69</v>
      </c>
      <c r="R1930">
        <f t="shared" si="151"/>
        <v>96</v>
      </c>
      <c r="S1930" s="1">
        <f t="shared" si="152"/>
        <v>0.28985507246376813</v>
      </c>
      <c r="T1930">
        <f t="shared" si="153"/>
        <v>0.69</v>
      </c>
      <c r="U1930" t="str">
        <f t="shared" si="154"/>
        <v>Apr</v>
      </c>
    </row>
    <row r="1931" spans="1:21">
      <c r="A1931" s="2">
        <v>46113</v>
      </c>
      <c r="B1931" t="s">
        <v>4</v>
      </c>
      <c r="C1931" t="s">
        <v>40</v>
      </c>
      <c r="D1931" t="s">
        <v>5</v>
      </c>
      <c r="E1931" t="s">
        <v>41</v>
      </c>
      <c r="F1931" t="s">
        <v>49</v>
      </c>
      <c r="G1931">
        <v>78</v>
      </c>
      <c r="H1931">
        <v>6</v>
      </c>
      <c r="I1931">
        <v>23</v>
      </c>
      <c r="J1931">
        <v>3</v>
      </c>
      <c r="K1931">
        <v>334</v>
      </c>
      <c r="L1931">
        <v>126.91</v>
      </c>
      <c r="M1931">
        <v>2494.9499999999998</v>
      </c>
      <c r="N1931">
        <v>66959</v>
      </c>
      <c r="O1931">
        <v>953.35</v>
      </c>
      <c r="P1931" s="1">
        <v>-0.77700000000000002</v>
      </c>
      <c r="Q1931">
        <f t="shared" si="150"/>
        <v>84</v>
      </c>
      <c r="R1931">
        <f t="shared" si="151"/>
        <v>9</v>
      </c>
      <c r="S1931" s="1">
        <f t="shared" si="152"/>
        <v>0.72619047619047616</v>
      </c>
      <c r="T1931">
        <f t="shared" si="153"/>
        <v>0.84</v>
      </c>
      <c r="U1931" t="str">
        <f t="shared" si="154"/>
        <v>Apr</v>
      </c>
    </row>
    <row r="1932" spans="1:21">
      <c r="A1932" s="2">
        <v>46124</v>
      </c>
      <c r="B1932" t="s">
        <v>4</v>
      </c>
      <c r="C1932" t="s">
        <v>43</v>
      </c>
      <c r="D1932" t="s">
        <v>7</v>
      </c>
      <c r="E1932" t="s">
        <v>41</v>
      </c>
      <c r="F1932" t="s">
        <v>45</v>
      </c>
      <c r="G1932">
        <v>86</v>
      </c>
      <c r="H1932">
        <v>32</v>
      </c>
      <c r="I1932">
        <v>67</v>
      </c>
      <c r="J1932">
        <v>100</v>
      </c>
      <c r="K1932">
        <v>246</v>
      </c>
      <c r="L1932">
        <v>137.16999999999999</v>
      </c>
      <c r="M1932">
        <v>2477.09</v>
      </c>
      <c r="N1932">
        <v>74340</v>
      </c>
      <c r="O1932">
        <v>1328.35</v>
      </c>
      <c r="P1932" s="1">
        <v>0.70899999999999996</v>
      </c>
      <c r="Q1932">
        <f t="shared" si="150"/>
        <v>118</v>
      </c>
      <c r="R1932">
        <f t="shared" si="151"/>
        <v>132</v>
      </c>
      <c r="S1932" s="1">
        <f t="shared" si="152"/>
        <v>0.43220338983050849</v>
      </c>
      <c r="T1932">
        <f t="shared" si="153"/>
        <v>1.18</v>
      </c>
      <c r="U1932" t="str">
        <f t="shared" si="154"/>
        <v>Apr</v>
      </c>
    </row>
    <row r="1933" spans="1:21">
      <c r="A1933" s="2">
        <v>46110</v>
      </c>
      <c r="B1933" t="s">
        <v>6</v>
      </c>
      <c r="C1933" t="s">
        <v>34</v>
      </c>
      <c r="D1933" t="s">
        <v>9</v>
      </c>
      <c r="E1933" t="s">
        <v>37</v>
      </c>
      <c r="F1933" t="s">
        <v>49</v>
      </c>
      <c r="G1933">
        <v>39</v>
      </c>
      <c r="H1933">
        <v>3</v>
      </c>
      <c r="I1933">
        <v>27</v>
      </c>
      <c r="J1933">
        <v>27</v>
      </c>
      <c r="K1933">
        <v>160</v>
      </c>
      <c r="L1933">
        <v>130.13</v>
      </c>
      <c r="M1933">
        <v>2166.61</v>
      </c>
      <c r="N1933">
        <v>68797</v>
      </c>
      <c r="O1933">
        <v>1472.72</v>
      </c>
      <c r="P1933" s="1">
        <v>-0.251</v>
      </c>
      <c r="Q1933">
        <f t="shared" si="150"/>
        <v>42</v>
      </c>
      <c r="R1933">
        <f t="shared" si="151"/>
        <v>30</v>
      </c>
      <c r="S1933" s="1">
        <f t="shared" si="152"/>
        <v>0.35714285714285715</v>
      </c>
      <c r="T1933">
        <f t="shared" si="153"/>
        <v>0.42</v>
      </c>
      <c r="U1933" t="str">
        <f t="shared" si="154"/>
        <v>Mar</v>
      </c>
    </row>
    <row r="1934" spans="1:21">
      <c r="A1934" s="2">
        <v>46127</v>
      </c>
      <c r="B1934" t="s">
        <v>6</v>
      </c>
      <c r="C1934" t="s">
        <v>51</v>
      </c>
      <c r="D1934" t="s">
        <v>9</v>
      </c>
      <c r="E1934" t="s">
        <v>38</v>
      </c>
      <c r="F1934" t="s">
        <v>45</v>
      </c>
      <c r="G1934">
        <v>81</v>
      </c>
      <c r="H1934">
        <v>64</v>
      </c>
      <c r="I1934">
        <v>74</v>
      </c>
      <c r="J1934">
        <v>31</v>
      </c>
      <c r="K1934">
        <v>441</v>
      </c>
      <c r="L1934">
        <v>104.09</v>
      </c>
      <c r="M1934">
        <v>2122.6</v>
      </c>
      <c r="N1934">
        <v>64986</v>
      </c>
      <c r="O1934">
        <v>1186.25</v>
      </c>
      <c r="P1934" s="1">
        <v>0.74099999999999999</v>
      </c>
      <c r="Q1934">
        <f t="shared" si="150"/>
        <v>145</v>
      </c>
      <c r="R1934">
        <f t="shared" si="151"/>
        <v>95</v>
      </c>
      <c r="S1934" s="1">
        <f t="shared" si="152"/>
        <v>0.48965517241379308</v>
      </c>
      <c r="T1934">
        <f t="shared" si="153"/>
        <v>1.45</v>
      </c>
      <c r="U1934" t="str">
        <f t="shared" si="154"/>
        <v>Apr</v>
      </c>
    </row>
    <row r="1935" spans="1:21">
      <c r="A1935" s="2">
        <v>46086</v>
      </c>
      <c r="B1935" t="s">
        <v>6</v>
      </c>
      <c r="C1935" t="s">
        <v>51</v>
      </c>
      <c r="D1935" t="s">
        <v>11</v>
      </c>
      <c r="E1935" t="s">
        <v>35</v>
      </c>
      <c r="F1935" t="s">
        <v>39</v>
      </c>
      <c r="G1935">
        <v>56</v>
      </c>
      <c r="H1935">
        <v>22</v>
      </c>
      <c r="I1935">
        <v>14</v>
      </c>
      <c r="J1935">
        <v>130</v>
      </c>
      <c r="K1935">
        <v>35</v>
      </c>
      <c r="L1935">
        <v>92.05</v>
      </c>
      <c r="M1935">
        <v>2343.85</v>
      </c>
      <c r="N1935">
        <v>67777</v>
      </c>
      <c r="O1935">
        <v>1211.29</v>
      </c>
      <c r="P1935" s="1">
        <v>0.88200000000000001</v>
      </c>
      <c r="Q1935">
        <f t="shared" si="150"/>
        <v>78</v>
      </c>
      <c r="R1935">
        <f t="shared" si="151"/>
        <v>152</v>
      </c>
      <c r="S1935" s="1">
        <f t="shared" si="152"/>
        <v>0.82051282051282048</v>
      </c>
      <c r="T1935">
        <f t="shared" si="153"/>
        <v>0.78</v>
      </c>
      <c r="U1935" t="str">
        <f t="shared" si="154"/>
        <v>Mar</v>
      </c>
    </row>
    <row r="1936" spans="1:21">
      <c r="A1936" s="2">
        <v>46095</v>
      </c>
      <c r="B1936" t="s">
        <v>6</v>
      </c>
      <c r="C1936" t="s">
        <v>48</v>
      </c>
      <c r="D1936" t="s">
        <v>7</v>
      </c>
      <c r="E1936" t="s">
        <v>32</v>
      </c>
      <c r="F1936" t="s">
        <v>33</v>
      </c>
      <c r="G1936">
        <v>70</v>
      </c>
      <c r="H1936">
        <v>45</v>
      </c>
      <c r="I1936">
        <v>21</v>
      </c>
      <c r="J1936">
        <v>27</v>
      </c>
      <c r="K1936">
        <v>92</v>
      </c>
      <c r="L1936">
        <v>81.99</v>
      </c>
      <c r="M1936">
        <v>2027.97</v>
      </c>
      <c r="N1936">
        <v>74088</v>
      </c>
      <c r="O1936">
        <v>1579.49</v>
      </c>
      <c r="P1936" s="1">
        <v>0.28299999999999997</v>
      </c>
      <c r="Q1936">
        <f t="shared" si="150"/>
        <v>115</v>
      </c>
      <c r="R1936">
        <f t="shared" si="151"/>
        <v>72</v>
      </c>
      <c r="S1936" s="1">
        <f t="shared" si="152"/>
        <v>0.81739130434782614</v>
      </c>
      <c r="T1936">
        <f t="shared" si="153"/>
        <v>1.1499999999999999</v>
      </c>
      <c r="U1936" t="str">
        <f t="shared" si="154"/>
        <v>Mar</v>
      </c>
    </row>
    <row r="1937" spans="1:21">
      <c r="A1937" s="2">
        <v>46078</v>
      </c>
      <c r="B1937" t="s">
        <v>6</v>
      </c>
      <c r="C1937" t="s">
        <v>43</v>
      </c>
      <c r="D1937" t="s">
        <v>9</v>
      </c>
      <c r="E1937" t="s">
        <v>38</v>
      </c>
      <c r="F1937" t="s">
        <v>49</v>
      </c>
      <c r="G1937">
        <v>41</v>
      </c>
      <c r="H1937">
        <v>49</v>
      </c>
      <c r="I1937">
        <v>29</v>
      </c>
      <c r="J1937">
        <v>142</v>
      </c>
      <c r="K1937">
        <v>305</v>
      </c>
      <c r="L1937">
        <v>94.38</v>
      </c>
      <c r="M1937">
        <v>2427.62</v>
      </c>
      <c r="N1937">
        <v>69840</v>
      </c>
      <c r="O1937">
        <v>1566.59</v>
      </c>
      <c r="P1937" s="1">
        <v>0.38700000000000001</v>
      </c>
      <c r="Q1937">
        <f t="shared" si="150"/>
        <v>90</v>
      </c>
      <c r="R1937">
        <f t="shared" si="151"/>
        <v>191</v>
      </c>
      <c r="S1937" s="1">
        <f t="shared" si="152"/>
        <v>0.67777777777777781</v>
      </c>
      <c r="T1937">
        <f t="shared" si="153"/>
        <v>0.9</v>
      </c>
      <c r="U1937" t="str">
        <f t="shared" si="154"/>
        <v>Feb</v>
      </c>
    </row>
    <row r="1938" spans="1:21">
      <c r="A1938" s="2">
        <v>46099</v>
      </c>
      <c r="B1938" t="s">
        <v>4</v>
      </c>
      <c r="C1938" t="s">
        <v>36</v>
      </c>
      <c r="D1938" t="s">
        <v>7</v>
      </c>
      <c r="E1938" t="s">
        <v>37</v>
      </c>
      <c r="F1938" t="s">
        <v>45</v>
      </c>
      <c r="G1938">
        <v>38</v>
      </c>
      <c r="H1938">
        <v>44</v>
      </c>
      <c r="I1938">
        <v>89</v>
      </c>
      <c r="J1938">
        <v>129</v>
      </c>
      <c r="K1938">
        <v>121</v>
      </c>
      <c r="L1938">
        <v>127.44</v>
      </c>
      <c r="M1938">
        <v>2108.27</v>
      </c>
      <c r="N1938">
        <v>71978</v>
      </c>
      <c r="O1938">
        <v>1429.49</v>
      </c>
      <c r="P1938" s="1">
        <v>-0.99299999999999999</v>
      </c>
      <c r="Q1938">
        <f t="shared" si="150"/>
        <v>82</v>
      </c>
      <c r="R1938">
        <f t="shared" si="151"/>
        <v>173</v>
      </c>
      <c r="S1938" s="1">
        <f t="shared" si="152"/>
        <v>-8.5365853658536592E-2</v>
      </c>
      <c r="T1938">
        <f t="shared" si="153"/>
        <v>0.82</v>
      </c>
      <c r="U1938" t="str">
        <f t="shared" si="154"/>
        <v>Mar</v>
      </c>
    </row>
    <row r="1939" spans="1:21">
      <c r="A1939" s="2">
        <v>46124</v>
      </c>
      <c r="B1939" t="s">
        <v>6</v>
      </c>
      <c r="C1939" t="s">
        <v>48</v>
      </c>
      <c r="D1939" t="s">
        <v>10</v>
      </c>
      <c r="E1939" t="s">
        <v>41</v>
      </c>
      <c r="F1939" t="s">
        <v>45</v>
      </c>
      <c r="G1939">
        <v>37</v>
      </c>
      <c r="H1939">
        <v>59</v>
      </c>
      <c r="I1939">
        <v>14</v>
      </c>
      <c r="J1939">
        <v>90</v>
      </c>
      <c r="K1939">
        <v>113</v>
      </c>
      <c r="L1939">
        <v>93.23</v>
      </c>
      <c r="M1939">
        <v>2101.21</v>
      </c>
      <c r="N1939">
        <v>71724</v>
      </c>
      <c r="O1939">
        <v>1797.48</v>
      </c>
      <c r="P1939" s="1">
        <v>-0.89500000000000002</v>
      </c>
      <c r="Q1939">
        <f t="shared" si="150"/>
        <v>96</v>
      </c>
      <c r="R1939">
        <f t="shared" si="151"/>
        <v>149</v>
      </c>
      <c r="S1939" s="1">
        <f t="shared" si="152"/>
        <v>0.85416666666666663</v>
      </c>
      <c r="T1939">
        <f t="shared" si="153"/>
        <v>0.96</v>
      </c>
      <c r="U1939" t="str">
        <f t="shared" si="154"/>
        <v>Apr</v>
      </c>
    </row>
    <row r="1940" spans="1:21">
      <c r="A1940" s="2">
        <v>46088</v>
      </c>
      <c r="B1940" t="s">
        <v>4</v>
      </c>
      <c r="C1940" t="s">
        <v>43</v>
      </c>
      <c r="D1940" t="s">
        <v>10</v>
      </c>
      <c r="E1940" t="s">
        <v>32</v>
      </c>
      <c r="F1940" t="s">
        <v>49</v>
      </c>
      <c r="G1940">
        <v>3</v>
      </c>
      <c r="H1940">
        <v>14</v>
      </c>
      <c r="I1940">
        <v>85</v>
      </c>
      <c r="J1940">
        <v>14</v>
      </c>
      <c r="K1940">
        <v>195</v>
      </c>
      <c r="L1940">
        <v>120.28</v>
      </c>
      <c r="M1940">
        <v>1948.42</v>
      </c>
      <c r="N1940">
        <v>68302</v>
      </c>
      <c r="O1940">
        <v>1510.75</v>
      </c>
      <c r="P1940" s="1">
        <v>-0.30299999999999999</v>
      </c>
      <c r="Q1940">
        <f t="shared" si="150"/>
        <v>17</v>
      </c>
      <c r="R1940">
        <f t="shared" si="151"/>
        <v>28</v>
      </c>
      <c r="S1940" s="1">
        <f t="shared" si="152"/>
        <v>-4</v>
      </c>
      <c r="T1940">
        <f t="shared" si="153"/>
        <v>0.17</v>
      </c>
      <c r="U1940" t="str">
        <f t="shared" si="154"/>
        <v>Mar</v>
      </c>
    </row>
    <row r="1941" spans="1:21">
      <c r="A1941" s="2">
        <v>46071</v>
      </c>
      <c r="B1941" t="s">
        <v>6</v>
      </c>
      <c r="C1941" t="s">
        <v>51</v>
      </c>
      <c r="D1941" t="s">
        <v>10</v>
      </c>
      <c r="E1941" t="s">
        <v>47</v>
      </c>
      <c r="F1941" t="s">
        <v>39</v>
      </c>
      <c r="G1941">
        <v>67</v>
      </c>
      <c r="H1941">
        <v>59</v>
      </c>
      <c r="I1941">
        <v>64</v>
      </c>
      <c r="J1941">
        <v>70</v>
      </c>
      <c r="K1941">
        <v>387</v>
      </c>
      <c r="L1941">
        <v>94.72</v>
      </c>
      <c r="M1941">
        <v>2437.92</v>
      </c>
      <c r="N1941">
        <v>67652</v>
      </c>
      <c r="O1941">
        <v>1427.69</v>
      </c>
      <c r="P1941" s="1">
        <v>-0.23799999999999999</v>
      </c>
      <c r="Q1941">
        <f t="shared" si="150"/>
        <v>126</v>
      </c>
      <c r="R1941">
        <f t="shared" si="151"/>
        <v>129</v>
      </c>
      <c r="S1941" s="1">
        <f t="shared" si="152"/>
        <v>0.49206349206349204</v>
      </c>
      <c r="T1941">
        <f t="shared" si="153"/>
        <v>1.26</v>
      </c>
      <c r="U1941" t="str">
        <f t="shared" si="154"/>
        <v>Feb</v>
      </c>
    </row>
    <row r="1942" spans="1:21">
      <c r="A1942" s="2">
        <v>46120</v>
      </c>
      <c r="B1942" t="s">
        <v>6</v>
      </c>
      <c r="C1942" t="s">
        <v>43</v>
      </c>
      <c r="D1942" t="s">
        <v>10</v>
      </c>
      <c r="E1942" t="s">
        <v>35</v>
      </c>
      <c r="F1942" t="s">
        <v>45</v>
      </c>
      <c r="G1942">
        <v>82</v>
      </c>
      <c r="H1942">
        <v>48</v>
      </c>
      <c r="I1942">
        <v>2</v>
      </c>
      <c r="J1942">
        <v>18</v>
      </c>
      <c r="K1942">
        <v>405</v>
      </c>
      <c r="L1942">
        <v>96.07</v>
      </c>
      <c r="M1942">
        <v>2309.9899999999998</v>
      </c>
      <c r="N1942">
        <v>71791</v>
      </c>
      <c r="O1942">
        <v>1139.1199999999999</v>
      </c>
      <c r="P1942" s="1">
        <v>0.59299999999999997</v>
      </c>
      <c r="Q1942">
        <f t="shared" si="150"/>
        <v>130</v>
      </c>
      <c r="R1942">
        <f t="shared" si="151"/>
        <v>66</v>
      </c>
      <c r="S1942" s="1">
        <f t="shared" si="152"/>
        <v>0.98461538461538467</v>
      </c>
      <c r="T1942">
        <f t="shared" si="153"/>
        <v>1.3</v>
      </c>
      <c r="U1942" t="str">
        <f t="shared" si="154"/>
        <v>Apr</v>
      </c>
    </row>
    <row r="1943" spans="1:21">
      <c r="A1943" s="2">
        <v>46108</v>
      </c>
      <c r="B1943" t="s">
        <v>6</v>
      </c>
      <c r="C1943" t="s">
        <v>51</v>
      </c>
      <c r="D1943" t="s">
        <v>9</v>
      </c>
      <c r="E1943" t="s">
        <v>41</v>
      </c>
      <c r="F1943" t="s">
        <v>45</v>
      </c>
      <c r="G1943">
        <v>44</v>
      </c>
      <c r="H1943">
        <v>11</v>
      </c>
      <c r="I1943">
        <v>56</v>
      </c>
      <c r="J1943">
        <v>130</v>
      </c>
      <c r="K1943">
        <v>448</v>
      </c>
      <c r="L1943">
        <v>91.74</v>
      </c>
      <c r="M1943">
        <v>1810.43</v>
      </c>
      <c r="N1943">
        <v>70276</v>
      </c>
      <c r="O1943">
        <v>1266.4100000000001</v>
      </c>
      <c r="P1943" s="1">
        <v>0.13900000000000001</v>
      </c>
      <c r="Q1943">
        <f t="shared" si="150"/>
        <v>55</v>
      </c>
      <c r="R1943">
        <f t="shared" si="151"/>
        <v>141</v>
      </c>
      <c r="S1943" s="1">
        <f t="shared" si="152"/>
        <v>-1.8181818181818181E-2</v>
      </c>
      <c r="T1943">
        <f t="shared" si="153"/>
        <v>0.55000000000000004</v>
      </c>
      <c r="U1943" t="str">
        <f t="shared" si="154"/>
        <v>Mar</v>
      </c>
    </row>
    <row r="1944" spans="1:21">
      <c r="A1944" s="2">
        <v>46107</v>
      </c>
      <c r="B1944" t="s">
        <v>6</v>
      </c>
      <c r="C1944" t="s">
        <v>44</v>
      </c>
      <c r="D1944" t="s">
        <v>7</v>
      </c>
      <c r="E1944" t="s">
        <v>38</v>
      </c>
      <c r="F1944" t="s">
        <v>33</v>
      </c>
      <c r="G1944">
        <v>27</v>
      </c>
      <c r="H1944">
        <v>53</v>
      </c>
      <c r="I1944">
        <v>57</v>
      </c>
      <c r="J1944">
        <v>71</v>
      </c>
      <c r="K1944">
        <v>218</v>
      </c>
      <c r="L1944">
        <v>93.03</v>
      </c>
      <c r="M1944">
        <v>2371.7399999999998</v>
      </c>
      <c r="N1944">
        <v>73058</v>
      </c>
      <c r="O1944">
        <v>1275.75</v>
      </c>
      <c r="P1944" s="1">
        <v>-0.434</v>
      </c>
      <c r="Q1944">
        <f t="shared" si="150"/>
        <v>80</v>
      </c>
      <c r="R1944">
        <f t="shared" si="151"/>
        <v>124</v>
      </c>
      <c r="S1944" s="1">
        <f t="shared" si="152"/>
        <v>0.28749999999999998</v>
      </c>
      <c r="T1944">
        <f t="shared" si="153"/>
        <v>0.8</v>
      </c>
      <c r="U1944" t="str">
        <f t="shared" si="154"/>
        <v>Mar</v>
      </c>
    </row>
    <row r="1945" spans="1:21">
      <c r="A1945" s="2">
        <v>46094</v>
      </c>
      <c r="B1945" t="s">
        <v>4</v>
      </c>
      <c r="C1945" t="s">
        <v>51</v>
      </c>
      <c r="D1945" t="s">
        <v>7</v>
      </c>
      <c r="E1945" t="s">
        <v>38</v>
      </c>
      <c r="F1945" t="s">
        <v>45</v>
      </c>
      <c r="G1945">
        <v>22</v>
      </c>
      <c r="H1945">
        <v>36</v>
      </c>
      <c r="I1945">
        <v>66</v>
      </c>
      <c r="J1945">
        <v>45</v>
      </c>
      <c r="K1945">
        <v>338</v>
      </c>
      <c r="L1945">
        <v>124.72</v>
      </c>
      <c r="M1945">
        <v>2408.13</v>
      </c>
      <c r="N1945">
        <v>75827</v>
      </c>
      <c r="O1945">
        <v>981.98</v>
      </c>
      <c r="P1945" s="1">
        <v>-0.91</v>
      </c>
      <c r="Q1945">
        <f t="shared" si="150"/>
        <v>58</v>
      </c>
      <c r="R1945">
        <f t="shared" si="151"/>
        <v>81</v>
      </c>
      <c r="S1945" s="1">
        <f t="shared" si="152"/>
        <v>-0.13793103448275862</v>
      </c>
      <c r="T1945">
        <f t="shared" si="153"/>
        <v>0.57999999999999996</v>
      </c>
      <c r="U1945" t="str">
        <f t="shared" si="154"/>
        <v>Mar</v>
      </c>
    </row>
    <row r="1946" spans="1:21">
      <c r="A1946" s="2">
        <v>46122</v>
      </c>
      <c r="B1946" t="s">
        <v>6</v>
      </c>
      <c r="C1946" t="s">
        <v>43</v>
      </c>
      <c r="D1946" t="s">
        <v>9</v>
      </c>
      <c r="E1946" t="s">
        <v>37</v>
      </c>
      <c r="F1946" t="s">
        <v>45</v>
      </c>
      <c r="G1946">
        <v>87</v>
      </c>
      <c r="H1946">
        <v>60</v>
      </c>
      <c r="I1946">
        <v>4</v>
      </c>
      <c r="J1946">
        <v>25</v>
      </c>
      <c r="K1946">
        <v>31</v>
      </c>
      <c r="L1946">
        <v>99.8</v>
      </c>
      <c r="M1946">
        <v>2194.09</v>
      </c>
      <c r="N1946">
        <v>65189</v>
      </c>
      <c r="O1946">
        <v>1468.49</v>
      </c>
      <c r="P1946" s="1">
        <v>0.45200000000000001</v>
      </c>
      <c r="Q1946">
        <f t="shared" si="150"/>
        <v>147</v>
      </c>
      <c r="R1946">
        <f t="shared" si="151"/>
        <v>85</v>
      </c>
      <c r="S1946" s="1">
        <f t="shared" si="152"/>
        <v>0.97278911564625847</v>
      </c>
      <c r="T1946">
        <f t="shared" si="153"/>
        <v>1.47</v>
      </c>
      <c r="U1946" t="str">
        <f t="shared" si="154"/>
        <v>Apr</v>
      </c>
    </row>
    <row r="1947" spans="1:21">
      <c r="A1947" s="2">
        <v>46100</v>
      </c>
      <c r="B1947" t="s">
        <v>6</v>
      </c>
      <c r="C1947" t="s">
        <v>43</v>
      </c>
      <c r="D1947" t="s">
        <v>5</v>
      </c>
      <c r="E1947" t="s">
        <v>42</v>
      </c>
      <c r="F1947" t="s">
        <v>39</v>
      </c>
      <c r="G1947">
        <v>54</v>
      </c>
      <c r="H1947">
        <v>75</v>
      </c>
      <c r="I1947">
        <v>68</v>
      </c>
      <c r="J1947">
        <v>85</v>
      </c>
      <c r="K1947">
        <v>193</v>
      </c>
      <c r="L1947">
        <v>121.8</v>
      </c>
      <c r="M1947">
        <v>2151.13</v>
      </c>
      <c r="N1947">
        <v>75525</v>
      </c>
      <c r="O1947">
        <v>1796.48</v>
      </c>
      <c r="P1947" s="1">
        <v>0.85299999999999998</v>
      </c>
      <c r="Q1947">
        <f t="shared" si="150"/>
        <v>129</v>
      </c>
      <c r="R1947">
        <f t="shared" si="151"/>
        <v>160</v>
      </c>
      <c r="S1947" s="1">
        <f t="shared" si="152"/>
        <v>0.47286821705426357</v>
      </c>
      <c r="T1947">
        <f t="shared" si="153"/>
        <v>1.29</v>
      </c>
      <c r="U1947" t="str">
        <f t="shared" si="154"/>
        <v>Mar</v>
      </c>
    </row>
    <row r="1948" spans="1:21">
      <c r="A1948" s="2">
        <v>46121</v>
      </c>
      <c r="B1948" t="s">
        <v>6</v>
      </c>
      <c r="C1948" t="s">
        <v>46</v>
      </c>
      <c r="D1948" t="s">
        <v>5</v>
      </c>
      <c r="E1948" t="s">
        <v>42</v>
      </c>
      <c r="F1948" t="s">
        <v>49</v>
      </c>
      <c r="G1948">
        <v>70</v>
      </c>
      <c r="H1948">
        <v>21</v>
      </c>
      <c r="I1948">
        <v>44</v>
      </c>
      <c r="J1948">
        <v>0</v>
      </c>
      <c r="K1948">
        <v>407</v>
      </c>
      <c r="L1948">
        <v>93.18</v>
      </c>
      <c r="M1948">
        <v>2091.31</v>
      </c>
      <c r="N1948">
        <v>67549</v>
      </c>
      <c r="O1948">
        <v>901.2</v>
      </c>
      <c r="P1948" s="1">
        <v>0.85399999999999998</v>
      </c>
      <c r="Q1948">
        <f t="shared" si="150"/>
        <v>91</v>
      </c>
      <c r="R1948">
        <f t="shared" si="151"/>
        <v>21</v>
      </c>
      <c r="S1948" s="1">
        <f t="shared" si="152"/>
        <v>0.51648351648351654</v>
      </c>
      <c r="T1948">
        <f t="shared" si="153"/>
        <v>0.91</v>
      </c>
      <c r="U1948" t="str">
        <f t="shared" si="154"/>
        <v>Apr</v>
      </c>
    </row>
    <row r="1949" spans="1:21">
      <c r="A1949" s="2">
        <v>46107</v>
      </c>
      <c r="B1949" t="s">
        <v>6</v>
      </c>
      <c r="C1949" t="s">
        <v>31</v>
      </c>
      <c r="D1949" t="s">
        <v>7</v>
      </c>
      <c r="E1949" t="s">
        <v>37</v>
      </c>
      <c r="F1949" t="s">
        <v>39</v>
      </c>
      <c r="G1949">
        <v>15</v>
      </c>
      <c r="H1949">
        <v>38</v>
      </c>
      <c r="I1949">
        <v>66</v>
      </c>
      <c r="J1949">
        <v>28</v>
      </c>
      <c r="K1949">
        <v>113</v>
      </c>
      <c r="L1949">
        <v>82.9</v>
      </c>
      <c r="M1949">
        <v>1856.35</v>
      </c>
      <c r="N1949">
        <v>64278</v>
      </c>
      <c r="O1949">
        <v>1494.75</v>
      </c>
      <c r="P1949" s="1">
        <v>0.92100000000000004</v>
      </c>
      <c r="Q1949">
        <f t="shared" si="150"/>
        <v>53</v>
      </c>
      <c r="R1949">
        <f t="shared" si="151"/>
        <v>66</v>
      </c>
      <c r="S1949" s="1">
        <f t="shared" si="152"/>
        <v>-0.24528301886792453</v>
      </c>
      <c r="T1949">
        <f t="shared" si="153"/>
        <v>0.53</v>
      </c>
      <c r="U1949" t="str">
        <f t="shared" si="154"/>
        <v>Mar</v>
      </c>
    </row>
    <row r="1950" spans="1:21">
      <c r="A1950" s="2">
        <v>46122</v>
      </c>
      <c r="B1950" t="s">
        <v>4</v>
      </c>
      <c r="C1950" t="s">
        <v>44</v>
      </c>
      <c r="D1950" t="s">
        <v>11</v>
      </c>
      <c r="E1950" t="s">
        <v>37</v>
      </c>
      <c r="F1950" t="s">
        <v>49</v>
      </c>
      <c r="G1950">
        <v>67</v>
      </c>
      <c r="H1950">
        <v>45</v>
      </c>
      <c r="I1950">
        <v>77</v>
      </c>
      <c r="J1950">
        <v>25</v>
      </c>
      <c r="K1950">
        <v>121</v>
      </c>
      <c r="L1950">
        <v>97.06</v>
      </c>
      <c r="M1950">
        <v>2299.9699999999998</v>
      </c>
      <c r="N1950">
        <v>71288</v>
      </c>
      <c r="O1950">
        <v>1414.8</v>
      </c>
      <c r="P1950" s="1">
        <v>-0.68899999999999995</v>
      </c>
      <c r="Q1950">
        <f t="shared" si="150"/>
        <v>112</v>
      </c>
      <c r="R1950">
        <f t="shared" si="151"/>
        <v>70</v>
      </c>
      <c r="S1950" s="1">
        <f t="shared" si="152"/>
        <v>0.3125</v>
      </c>
      <c r="T1950">
        <f t="shared" si="153"/>
        <v>1.1200000000000001</v>
      </c>
      <c r="U1950" t="str">
        <f t="shared" si="154"/>
        <v>Apr</v>
      </c>
    </row>
    <row r="1951" spans="1:21">
      <c r="A1951" s="2">
        <v>46081</v>
      </c>
      <c r="B1951" t="s">
        <v>4</v>
      </c>
      <c r="C1951" t="s">
        <v>40</v>
      </c>
      <c r="D1951" t="s">
        <v>10</v>
      </c>
      <c r="E1951" t="s">
        <v>32</v>
      </c>
      <c r="F1951" t="s">
        <v>33</v>
      </c>
      <c r="G1951">
        <v>24</v>
      </c>
      <c r="H1951">
        <v>16</v>
      </c>
      <c r="I1951">
        <v>27</v>
      </c>
      <c r="J1951">
        <v>74</v>
      </c>
      <c r="K1951">
        <v>266</v>
      </c>
      <c r="L1951">
        <v>111.29</v>
      </c>
      <c r="M1951">
        <v>2404.31</v>
      </c>
      <c r="N1951">
        <v>75780</v>
      </c>
      <c r="O1951">
        <v>1692.1</v>
      </c>
      <c r="P1951" s="1">
        <v>-0.81499999999999995</v>
      </c>
      <c r="Q1951">
        <f t="shared" si="150"/>
        <v>40</v>
      </c>
      <c r="R1951">
        <f t="shared" si="151"/>
        <v>90</v>
      </c>
      <c r="S1951" s="1">
        <f t="shared" si="152"/>
        <v>0.32500000000000001</v>
      </c>
      <c r="T1951">
        <f t="shared" si="153"/>
        <v>0.4</v>
      </c>
      <c r="U1951" t="str">
        <f t="shared" si="154"/>
        <v>Feb</v>
      </c>
    </row>
    <row r="1952" spans="1:21">
      <c r="A1952" s="2">
        <v>46075</v>
      </c>
      <c r="B1952" t="s">
        <v>6</v>
      </c>
      <c r="C1952" t="s">
        <v>43</v>
      </c>
      <c r="D1952" t="s">
        <v>10</v>
      </c>
      <c r="E1952" t="s">
        <v>38</v>
      </c>
      <c r="F1952" t="s">
        <v>45</v>
      </c>
      <c r="G1952">
        <v>27</v>
      </c>
      <c r="H1952">
        <v>76</v>
      </c>
      <c r="I1952">
        <v>1</v>
      </c>
      <c r="J1952">
        <v>127</v>
      </c>
      <c r="K1952">
        <v>130</v>
      </c>
      <c r="L1952">
        <v>97.25</v>
      </c>
      <c r="M1952">
        <v>2012.86</v>
      </c>
      <c r="N1952">
        <v>72952</v>
      </c>
      <c r="O1952">
        <v>1545.57</v>
      </c>
      <c r="P1952" s="1">
        <v>-0.16900000000000001</v>
      </c>
      <c r="Q1952">
        <f t="shared" si="150"/>
        <v>103</v>
      </c>
      <c r="R1952">
        <f t="shared" si="151"/>
        <v>203</v>
      </c>
      <c r="S1952" s="1">
        <f t="shared" si="152"/>
        <v>0.99029126213592233</v>
      </c>
      <c r="T1952">
        <f t="shared" si="153"/>
        <v>1.03</v>
      </c>
      <c r="U1952" t="str">
        <f t="shared" si="154"/>
        <v>Feb</v>
      </c>
    </row>
    <row r="1953" spans="1:21">
      <c r="A1953" s="2">
        <v>46094</v>
      </c>
      <c r="B1953" t="s">
        <v>6</v>
      </c>
      <c r="C1953" t="s">
        <v>51</v>
      </c>
      <c r="D1953" t="s">
        <v>10</v>
      </c>
      <c r="E1953" t="s">
        <v>35</v>
      </c>
      <c r="F1953" t="s">
        <v>49</v>
      </c>
      <c r="G1953">
        <v>82</v>
      </c>
      <c r="H1953">
        <v>3</v>
      </c>
      <c r="I1953">
        <v>26</v>
      </c>
      <c r="J1953">
        <v>150</v>
      </c>
      <c r="K1953">
        <v>203</v>
      </c>
      <c r="L1953">
        <v>85.56</v>
      </c>
      <c r="M1953">
        <v>2252.1799999999998</v>
      </c>
      <c r="N1953">
        <v>68668</v>
      </c>
      <c r="O1953">
        <v>1681.01</v>
      </c>
      <c r="P1953" s="1">
        <v>-0.90800000000000003</v>
      </c>
      <c r="Q1953">
        <f t="shared" si="150"/>
        <v>85</v>
      </c>
      <c r="R1953">
        <f t="shared" si="151"/>
        <v>153</v>
      </c>
      <c r="S1953" s="1">
        <f t="shared" si="152"/>
        <v>0.69411764705882351</v>
      </c>
      <c r="T1953">
        <f t="shared" si="153"/>
        <v>0.85</v>
      </c>
      <c r="U1953" t="str">
        <f t="shared" si="154"/>
        <v>Mar</v>
      </c>
    </row>
    <row r="1954" spans="1:21">
      <c r="A1954" s="2">
        <v>46127</v>
      </c>
      <c r="B1954" t="s">
        <v>4</v>
      </c>
      <c r="C1954" t="s">
        <v>34</v>
      </c>
      <c r="D1954" t="s">
        <v>9</v>
      </c>
      <c r="E1954" t="s">
        <v>37</v>
      </c>
      <c r="F1954" t="s">
        <v>39</v>
      </c>
      <c r="G1954">
        <v>55</v>
      </c>
      <c r="H1954">
        <v>41</v>
      </c>
      <c r="I1954">
        <v>54</v>
      </c>
      <c r="J1954">
        <v>68</v>
      </c>
      <c r="K1954">
        <v>4</v>
      </c>
      <c r="L1954">
        <v>115.96</v>
      </c>
      <c r="M1954">
        <v>1807.61</v>
      </c>
      <c r="N1954">
        <v>66134</v>
      </c>
      <c r="O1954">
        <v>1052.6199999999999</v>
      </c>
      <c r="P1954" s="1">
        <v>-0.96599999999999997</v>
      </c>
      <c r="Q1954">
        <f t="shared" si="150"/>
        <v>96</v>
      </c>
      <c r="R1954">
        <f t="shared" si="151"/>
        <v>109</v>
      </c>
      <c r="S1954" s="1">
        <f t="shared" si="152"/>
        <v>0.4375</v>
      </c>
      <c r="T1954">
        <f t="shared" si="153"/>
        <v>0.96</v>
      </c>
      <c r="U1954" t="str">
        <f t="shared" si="154"/>
        <v>Apr</v>
      </c>
    </row>
    <row r="1955" spans="1:21">
      <c r="A1955" s="2">
        <v>46114</v>
      </c>
      <c r="B1955" t="s">
        <v>4</v>
      </c>
      <c r="C1955" t="s">
        <v>34</v>
      </c>
      <c r="D1955" t="s">
        <v>11</v>
      </c>
      <c r="E1955" t="s">
        <v>32</v>
      </c>
      <c r="F1955" t="s">
        <v>33</v>
      </c>
      <c r="G1955">
        <v>100</v>
      </c>
      <c r="H1955">
        <v>38</v>
      </c>
      <c r="I1955">
        <v>88</v>
      </c>
      <c r="J1955">
        <v>159</v>
      </c>
      <c r="K1955">
        <v>224</v>
      </c>
      <c r="L1955">
        <v>124.72</v>
      </c>
      <c r="M1955">
        <v>2416.52</v>
      </c>
      <c r="N1955">
        <v>73104</v>
      </c>
      <c r="O1955">
        <v>1469.29</v>
      </c>
      <c r="P1955" s="1">
        <v>0.25700000000000001</v>
      </c>
      <c r="Q1955">
        <f t="shared" si="150"/>
        <v>138</v>
      </c>
      <c r="R1955">
        <f t="shared" si="151"/>
        <v>197</v>
      </c>
      <c r="S1955" s="1">
        <f t="shared" si="152"/>
        <v>0.36231884057971014</v>
      </c>
      <c r="T1955">
        <f t="shared" si="153"/>
        <v>1.38</v>
      </c>
      <c r="U1955" t="str">
        <f t="shared" si="154"/>
        <v>Apr</v>
      </c>
    </row>
    <row r="1956" spans="1:21">
      <c r="A1956" s="2">
        <v>46092</v>
      </c>
      <c r="B1956" t="s">
        <v>6</v>
      </c>
      <c r="C1956" t="s">
        <v>48</v>
      </c>
      <c r="D1956" t="s">
        <v>7</v>
      </c>
      <c r="E1956" t="s">
        <v>32</v>
      </c>
      <c r="F1956" t="s">
        <v>33</v>
      </c>
      <c r="G1956">
        <v>84</v>
      </c>
      <c r="H1956">
        <v>31</v>
      </c>
      <c r="I1956">
        <v>51</v>
      </c>
      <c r="J1956">
        <v>91</v>
      </c>
      <c r="K1956">
        <v>91</v>
      </c>
      <c r="L1956">
        <v>127.75</v>
      </c>
      <c r="M1956">
        <v>1920.42</v>
      </c>
      <c r="N1956">
        <v>71123</v>
      </c>
      <c r="O1956">
        <v>1544.01</v>
      </c>
      <c r="P1956" s="1">
        <v>0.496</v>
      </c>
      <c r="Q1956">
        <f t="shared" si="150"/>
        <v>115</v>
      </c>
      <c r="R1956">
        <f t="shared" si="151"/>
        <v>122</v>
      </c>
      <c r="S1956" s="1">
        <f t="shared" si="152"/>
        <v>0.55652173913043479</v>
      </c>
      <c r="T1956">
        <f t="shared" si="153"/>
        <v>1.1499999999999999</v>
      </c>
      <c r="U1956" t="str">
        <f t="shared" si="154"/>
        <v>Mar</v>
      </c>
    </row>
    <row r="1957" spans="1:21">
      <c r="A1957" s="2">
        <v>46095</v>
      </c>
      <c r="B1957" t="s">
        <v>4</v>
      </c>
      <c r="C1957" t="s">
        <v>50</v>
      </c>
      <c r="D1957" t="s">
        <v>5</v>
      </c>
      <c r="E1957" t="s">
        <v>35</v>
      </c>
      <c r="F1957" t="s">
        <v>45</v>
      </c>
      <c r="G1957">
        <v>19</v>
      </c>
      <c r="H1957">
        <v>10</v>
      </c>
      <c r="I1957">
        <v>16</v>
      </c>
      <c r="J1957">
        <v>5</v>
      </c>
      <c r="K1957">
        <v>148</v>
      </c>
      <c r="L1957">
        <v>114.56</v>
      </c>
      <c r="M1957">
        <v>2018.95</v>
      </c>
      <c r="N1957">
        <v>72715</v>
      </c>
      <c r="O1957">
        <v>1725.66</v>
      </c>
      <c r="P1957" s="1">
        <v>0.41699999999999998</v>
      </c>
      <c r="Q1957">
        <f t="shared" si="150"/>
        <v>29</v>
      </c>
      <c r="R1957">
        <f t="shared" si="151"/>
        <v>15</v>
      </c>
      <c r="S1957" s="1">
        <f t="shared" si="152"/>
        <v>0.44827586206896552</v>
      </c>
      <c r="T1957">
        <f t="shared" si="153"/>
        <v>0.28999999999999998</v>
      </c>
      <c r="U1957" t="str">
        <f t="shared" si="154"/>
        <v>Mar</v>
      </c>
    </row>
    <row r="1958" spans="1:21">
      <c r="A1958" s="2">
        <v>46116</v>
      </c>
      <c r="B1958" t="s">
        <v>4</v>
      </c>
      <c r="C1958" t="s">
        <v>40</v>
      </c>
      <c r="D1958" t="s">
        <v>11</v>
      </c>
      <c r="E1958" t="s">
        <v>38</v>
      </c>
      <c r="F1958" t="s">
        <v>45</v>
      </c>
      <c r="G1958">
        <v>91</v>
      </c>
      <c r="H1958">
        <v>36</v>
      </c>
      <c r="I1958">
        <v>7</v>
      </c>
      <c r="J1958">
        <v>133</v>
      </c>
      <c r="K1958">
        <v>210</v>
      </c>
      <c r="L1958">
        <v>129.78</v>
      </c>
      <c r="M1958">
        <v>2096</v>
      </c>
      <c r="N1958">
        <v>75980</v>
      </c>
      <c r="O1958">
        <v>1323.01</v>
      </c>
      <c r="P1958" s="1">
        <v>-0.38900000000000001</v>
      </c>
      <c r="Q1958">
        <f t="shared" si="150"/>
        <v>127</v>
      </c>
      <c r="R1958">
        <f t="shared" si="151"/>
        <v>169</v>
      </c>
      <c r="S1958" s="1">
        <f t="shared" si="152"/>
        <v>0.94488188976377951</v>
      </c>
      <c r="T1958">
        <f t="shared" si="153"/>
        <v>1.27</v>
      </c>
      <c r="U1958" t="str">
        <f t="shared" si="154"/>
        <v>Apr</v>
      </c>
    </row>
    <row r="1959" spans="1:21">
      <c r="A1959" s="2">
        <v>46085</v>
      </c>
      <c r="B1959" t="s">
        <v>4</v>
      </c>
      <c r="C1959" t="s">
        <v>36</v>
      </c>
      <c r="D1959" t="s">
        <v>9</v>
      </c>
      <c r="E1959" t="s">
        <v>47</v>
      </c>
      <c r="F1959" t="s">
        <v>49</v>
      </c>
      <c r="G1959">
        <v>57</v>
      </c>
      <c r="H1959">
        <v>72</v>
      </c>
      <c r="I1959">
        <v>41</v>
      </c>
      <c r="J1959">
        <v>131</v>
      </c>
      <c r="K1959">
        <v>434</v>
      </c>
      <c r="L1959">
        <v>90.59</v>
      </c>
      <c r="M1959">
        <v>1934.9</v>
      </c>
      <c r="N1959">
        <v>73489</v>
      </c>
      <c r="O1959">
        <v>1251</v>
      </c>
      <c r="P1959" s="1">
        <v>0.61499999999999999</v>
      </c>
      <c r="Q1959">
        <f t="shared" si="150"/>
        <v>129</v>
      </c>
      <c r="R1959">
        <f t="shared" si="151"/>
        <v>203</v>
      </c>
      <c r="S1959" s="1">
        <f t="shared" si="152"/>
        <v>0.68217054263565891</v>
      </c>
      <c r="T1959">
        <f t="shared" si="153"/>
        <v>1.29</v>
      </c>
      <c r="U1959" t="str">
        <f t="shared" si="154"/>
        <v>Mar</v>
      </c>
    </row>
    <row r="1960" spans="1:21">
      <c r="A1960" s="2">
        <v>46097</v>
      </c>
      <c r="B1960" t="s">
        <v>6</v>
      </c>
      <c r="C1960" t="s">
        <v>51</v>
      </c>
      <c r="D1960" t="s">
        <v>5</v>
      </c>
      <c r="E1960" t="s">
        <v>47</v>
      </c>
      <c r="F1960" t="s">
        <v>49</v>
      </c>
      <c r="G1960">
        <v>73</v>
      </c>
      <c r="H1960">
        <v>52</v>
      </c>
      <c r="I1960">
        <v>41</v>
      </c>
      <c r="J1960">
        <v>84</v>
      </c>
      <c r="K1960">
        <v>97</v>
      </c>
      <c r="L1960">
        <v>85.18</v>
      </c>
      <c r="M1960">
        <v>2062.66</v>
      </c>
      <c r="N1960">
        <v>68002</v>
      </c>
      <c r="O1960">
        <v>1106.3499999999999</v>
      </c>
      <c r="P1960" s="1">
        <v>-1.7999999999999999E-2</v>
      </c>
      <c r="Q1960">
        <f t="shared" si="150"/>
        <v>125</v>
      </c>
      <c r="R1960">
        <f t="shared" si="151"/>
        <v>136</v>
      </c>
      <c r="S1960" s="1">
        <f t="shared" si="152"/>
        <v>0.67200000000000004</v>
      </c>
      <c r="T1960">
        <f t="shared" si="153"/>
        <v>1.25</v>
      </c>
      <c r="U1960" t="str">
        <f t="shared" si="154"/>
        <v>Mar</v>
      </c>
    </row>
    <row r="1961" spans="1:21">
      <c r="A1961" s="2">
        <v>46097</v>
      </c>
      <c r="B1961" t="s">
        <v>6</v>
      </c>
      <c r="C1961" t="s">
        <v>31</v>
      </c>
      <c r="D1961" t="s">
        <v>10</v>
      </c>
      <c r="E1961" t="s">
        <v>38</v>
      </c>
      <c r="F1961" t="s">
        <v>49</v>
      </c>
      <c r="G1961">
        <v>12</v>
      </c>
      <c r="H1961">
        <v>7</v>
      </c>
      <c r="I1961">
        <v>59</v>
      </c>
      <c r="J1961">
        <v>113</v>
      </c>
      <c r="K1961">
        <v>443</v>
      </c>
      <c r="L1961">
        <v>128.16</v>
      </c>
      <c r="M1961">
        <v>1965.91</v>
      </c>
      <c r="N1961">
        <v>65504</v>
      </c>
      <c r="O1961">
        <v>1689.98</v>
      </c>
      <c r="P1961" s="1">
        <v>-0.89100000000000001</v>
      </c>
      <c r="Q1961">
        <f t="shared" si="150"/>
        <v>19</v>
      </c>
      <c r="R1961">
        <f t="shared" si="151"/>
        <v>120</v>
      </c>
      <c r="S1961" s="1">
        <f t="shared" si="152"/>
        <v>-2.1052631578947367</v>
      </c>
      <c r="T1961">
        <f t="shared" si="153"/>
        <v>0.19</v>
      </c>
      <c r="U1961" t="str">
        <f t="shared" si="154"/>
        <v>Mar</v>
      </c>
    </row>
    <row r="1962" spans="1:21">
      <c r="A1962" s="2">
        <v>46089</v>
      </c>
      <c r="B1962" t="s">
        <v>4</v>
      </c>
      <c r="C1962" t="s">
        <v>46</v>
      </c>
      <c r="D1962" t="s">
        <v>11</v>
      </c>
      <c r="E1962" t="s">
        <v>47</v>
      </c>
      <c r="F1962" t="s">
        <v>45</v>
      </c>
      <c r="G1962">
        <v>81</v>
      </c>
      <c r="H1962">
        <v>18</v>
      </c>
      <c r="I1962">
        <v>27</v>
      </c>
      <c r="J1962">
        <v>37</v>
      </c>
      <c r="K1962">
        <v>169</v>
      </c>
      <c r="L1962">
        <v>121.58</v>
      </c>
      <c r="M1962">
        <v>2259.37</v>
      </c>
      <c r="N1962">
        <v>73194</v>
      </c>
      <c r="O1962">
        <v>1588.29</v>
      </c>
      <c r="P1962" s="1">
        <v>-0.64100000000000001</v>
      </c>
      <c r="Q1962">
        <f t="shared" si="150"/>
        <v>99</v>
      </c>
      <c r="R1962">
        <f t="shared" si="151"/>
        <v>55</v>
      </c>
      <c r="S1962" s="1">
        <f t="shared" si="152"/>
        <v>0.72727272727272729</v>
      </c>
      <c r="T1962">
        <f t="shared" si="153"/>
        <v>0.99</v>
      </c>
      <c r="U1962" t="str">
        <f t="shared" si="154"/>
        <v>Mar</v>
      </c>
    </row>
    <row r="1963" spans="1:21">
      <c r="A1963" s="2">
        <v>46079</v>
      </c>
      <c r="B1963" t="s">
        <v>6</v>
      </c>
      <c r="C1963" t="s">
        <v>44</v>
      </c>
      <c r="D1963" t="s">
        <v>11</v>
      </c>
      <c r="E1963" t="s">
        <v>37</v>
      </c>
      <c r="F1963" t="s">
        <v>49</v>
      </c>
      <c r="G1963">
        <v>109</v>
      </c>
      <c r="H1963">
        <v>49</v>
      </c>
      <c r="I1963">
        <v>86</v>
      </c>
      <c r="J1963">
        <v>61</v>
      </c>
      <c r="K1963">
        <v>181</v>
      </c>
      <c r="L1963">
        <v>96.47</v>
      </c>
      <c r="M1963">
        <v>2259.56</v>
      </c>
      <c r="N1963">
        <v>75310</v>
      </c>
      <c r="O1963">
        <v>1602.65</v>
      </c>
      <c r="P1963" s="1">
        <v>0.879</v>
      </c>
      <c r="Q1963">
        <f t="shared" si="150"/>
        <v>158</v>
      </c>
      <c r="R1963">
        <f t="shared" si="151"/>
        <v>110</v>
      </c>
      <c r="S1963" s="1">
        <f t="shared" si="152"/>
        <v>0.45569620253164556</v>
      </c>
      <c r="T1963">
        <f t="shared" si="153"/>
        <v>1.58</v>
      </c>
      <c r="U1963" t="str">
        <f t="shared" si="154"/>
        <v>Feb</v>
      </c>
    </row>
    <row r="1964" spans="1:21">
      <c r="A1964" s="2">
        <v>46102</v>
      </c>
      <c r="B1964" t="s">
        <v>4</v>
      </c>
      <c r="C1964" t="s">
        <v>36</v>
      </c>
      <c r="D1964" t="s">
        <v>10</v>
      </c>
      <c r="E1964" t="s">
        <v>47</v>
      </c>
      <c r="F1964" t="s">
        <v>39</v>
      </c>
      <c r="G1964">
        <v>109</v>
      </c>
      <c r="H1964">
        <v>46</v>
      </c>
      <c r="I1964">
        <v>63</v>
      </c>
      <c r="J1964">
        <v>22</v>
      </c>
      <c r="K1964">
        <v>206</v>
      </c>
      <c r="L1964">
        <v>112.98</v>
      </c>
      <c r="M1964">
        <v>2094.67</v>
      </c>
      <c r="N1964">
        <v>67279</v>
      </c>
      <c r="O1964">
        <v>1536.88</v>
      </c>
      <c r="P1964" s="1">
        <v>-0.182</v>
      </c>
      <c r="Q1964">
        <f t="shared" si="150"/>
        <v>155</v>
      </c>
      <c r="R1964">
        <f t="shared" si="151"/>
        <v>68</v>
      </c>
      <c r="S1964" s="1">
        <f t="shared" si="152"/>
        <v>0.59354838709677415</v>
      </c>
      <c r="T1964">
        <f t="shared" si="153"/>
        <v>1.55</v>
      </c>
      <c r="U1964" t="str">
        <f t="shared" si="154"/>
        <v>Mar</v>
      </c>
    </row>
    <row r="1965" spans="1:21">
      <c r="A1965" s="2">
        <v>46123</v>
      </c>
      <c r="B1965" t="s">
        <v>6</v>
      </c>
      <c r="C1965" t="s">
        <v>46</v>
      </c>
      <c r="D1965" t="s">
        <v>11</v>
      </c>
      <c r="E1965" t="s">
        <v>38</v>
      </c>
      <c r="F1965" t="s">
        <v>45</v>
      </c>
      <c r="G1965">
        <v>50</v>
      </c>
      <c r="H1965">
        <v>15</v>
      </c>
      <c r="I1965">
        <v>13</v>
      </c>
      <c r="J1965">
        <v>42</v>
      </c>
      <c r="K1965">
        <v>34</v>
      </c>
      <c r="L1965">
        <v>93.87</v>
      </c>
      <c r="M1965">
        <v>2352.4899999999998</v>
      </c>
      <c r="N1965">
        <v>67721</v>
      </c>
      <c r="O1965">
        <v>1331.52</v>
      </c>
      <c r="P1965" s="1">
        <v>0.56999999999999995</v>
      </c>
      <c r="Q1965">
        <f t="shared" si="150"/>
        <v>65</v>
      </c>
      <c r="R1965">
        <f t="shared" si="151"/>
        <v>57</v>
      </c>
      <c r="S1965" s="1">
        <f t="shared" si="152"/>
        <v>0.8</v>
      </c>
      <c r="T1965">
        <f t="shared" si="153"/>
        <v>0.65</v>
      </c>
      <c r="U1965" t="str">
        <f t="shared" si="154"/>
        <v>Apr</v>
      </c>
    </row>
    <row r="1966" spans="1:21">
      <c r="A1966" s="2">
        <v>46115</v>
      </c>
      <c r="B1966" t="s">
        <v>4</v>
      </c>
      <c r="C1966" t="s">
        <v>34</v>
      </c>
      <c r="D1966" t="s">
        <v>11</v>
      </c>
      <c r="E1966" t="s">
        <v>41</v>
      </c>
      <c r="F1966" t="s">
        <v>49</v>
      </c>
      <c r="G1966">
        <v>8</v>
      </c>
      <c r="H1966">
        <v>16</v>
      </c>
      <c r="I1966">
        <v>87</v>
      </c>
      <c r="J1966">
        <v>26</v>
      </c>
      <c r="K1966">
        <v>300</v>
      </c>
      <c r="L1966">
        <v>89.11</v>
      </c>
      <c r="M1966">
        <v>2007.4</v>
      </c>
      <c r="N1966">
        <v>65145</v>
      </c>
      <c r="O1966">
        <v>1631.63</v>
      </c>
      <c r="P1966" s="1">
        <v>-0.35199999999999998</v>
      </c>
      <c r="Q1966">
        <f t="shared" si="150"/>
        <v>24</v>
      </c>
      <c r="R1966">
        <f t="shared" si="151"/>
        <v>42</v>
      </c>
      <c r="S1966" s="1">
        <f t="shared" si="152"/>
        <v>-2.625</v>
      </c>
      <c r="T1966">
        <f t="shared" si="153"/>
        <v>0.24</v>
      </c>
      <c r="U1966" t="str">
        <f t="shared" si="154"/>
        <v>Apr</v>
      </c>
    </row>
    <row r="1967" spans="1:21">
      <c r="A1967" s="2">
        <v>46074</v>
      </c>
      <c r="B1967" t="s">
        <v>6</v>
      </c>
      <c r="C1967" t="s">
        <v>40</v>
      </c>
      <c r="D1967" t="s">
        <v>11</v>
      </c>
      <c r="E1967" t="s">
        <v>42</v>
      </c>
      <c r="F1967" t="s">
        <v>33</v>
      </c>
      <c r="G1967">
        <v>0</v>
      </c>
      <c r="H1967">
        <v>57</v>
      </c>
      <c r="I1967">
        <v>37</v>
      </c>
      <c r="J1967">
        <v>13</v>
      </c>
      <c r="K1967">
        <v>195</v>
      </c>
      <c r="L1967">
        <v>127.03</v>
      </c>
      <c r="M1967">
        <v>2459.67</v>
      </c>
      <c r="N1967">
        <v>67171</v>
      </c>
      <c r="O1967">
        <v>1682.22</v>
      </c>
      <c r="P1967" s="1">
        <v>-0.16900000000000001</v>
      </c>
      <c r="Q1967">
        <f t="shared" si="150"/>
        <v>57</v>
      </c>
      <c r="R1967">
        <f t="shared" si="151"/>
        <v>70</v>
      </c>
      <c r="S1967" s="1">
        <f t="shared" si="152"/>
        <v>0.35087719298245612</v>
      </c>
      <c r="T1967">
        <f t="shared" si="153"/>
        <v>0.56999999999999995</v>
      </c>
      <c r="U1967" t="str">
        <f t="shared" si="154"/>
        <v>Feb</v>
      </c>
    </row>
    <row r="1968" spans="1:21">
      <c r="A1968" s="2">
        <v>46073</v>
      </c>
      <c r="B1968" t="s">
        <v>4</v>
      </c>
      <c r="C1968" t="s">
        <v>50</v>
      </c>
      <c r="D1968" t="s">
        <v>10</v>
      </c>
      <c r="E1968" t="s">
        <v>38</v>
      </c>
      <c r="F1968" t="s">
        <v>39</v>
      </c>
      <c r="G1968">
        <v>68</v>
      </c>
      <c r="H1968">
        <v>20</v>
      </c>
      <c r="I1968">
        <v>51</v>
      </c>
      <c r="J1968">
        <v>23</v>
      </c>
      <c r="K1968">
        <v>363</v>
      </c>
      <c r="L1968">
        <v>139.26</v>
      </c>
      <c r="M1968">
        <v>2050.5500000000002</v>
      </c>
      <c r="N1968">
        <v>74465</v>
      </c>
      <c r="O1968">
        <v>1613.84</v>
      </c>
      <c r="P1968" s="1">
        <v>0.152</v>
      </c>
      <c r="Q1968">
        <f t="shared" si="150"/>
        <v>88</v>
      </c>
      <c r="R1968">
        <f t="shared" si="151"/>
        <v>43</v>
      </c>
      <c r="S1968" s="1">
        <f t="shared" si="152"/>
        <v>0.42045454545454547</v>
      </c>
      <c r="T1968">
        <f t="shared" si="153"/>
        <v>0.88</v>
      </c>
      <c r="U1968" t="str">
        <f t="shared" si="154"/>
        <v>Feb</v>
      </c>
    </row>
    <row r="1969" spans="1:21">
      <c r="A1969" s="2">
        <v>46077</v>
      </c>
      <c r="B1969" t="s">
        <v>6</v>
      </c>
      <c r="C1969" t="s">
        <v>40</v>
      </c>
      <c r="D1969" t="s">
        <v>5</v>
      </c>
      <c r="E1969" t="s">
        <v>37</v>
      </c>
      <c r="F1969" t="s">
        <v>49</v>
      </c>
      <c r="G1969">
        <v>111</v>
      </c>
      <c r="H1969">
        <v>19</v>
      </c>
      <c r="I1969">
        <v>51</v>
      </c>
      <c r="J1969">
        <v>28</v>
      </c>
      <c r="K1969">
        <v>340</v>
      </c>
      <c r="L1969">
        <v>106.75</v>
      </c>
      <c r="M1969">
        <v>2197.59</v>
      </c>
      <c r="N1969">
        <v>68012</v>
      </c>
      <c r="O1969">
        <v>1538.31</v>
      </c>
      <c r="P1969" s="1">
        <v>0.19700000000000001</v>
      </c>
      <c r="Q1969">
        <f t="shared" si="150"/>
        <v>130</v>
      </c>
      <c r="R1969">
        <f t="shared" si="151"/>
        <v>47</v>
      </c>
      <c r="S1969" s="1">
        <f t="shared" si="152"/>
        <v>0.60769230769230764</v>
      </c>
      <c r="T1969">
        <f t="shared" si="153"/>
        <v>1.3</v>
      </c>
      <c r="U1969" t="str">
        <f t="shared" si="154"/>
        <v>Feb</v>
      </c>
    </row>
    <row r="1970" spans="1:21">
      <c r="A1970" s="2">
        <v>46124</v>
      </c>
      <c r="B1970" t="s">
        <v>4</v>
      </c>
      <c r="C1970" t="s">
        <v>43</v>
      </c>
      <c r="D1970" t="s">
        <v>7</v>
      </c>
      <c r="E1970" t="s">
        <v>47</v>
      </c>
      <c r="F1970" t="s">
        <v>33</v>
      </c>
      <c r="G1970">
        <v>10</v>
      </c>
      <c r="H1970">
        <v>56</v>
      </c>
      <c r="I1970">
        <v>83</v>
      </c>
      <c r="J1970">
        <v>130</v>
      </c>
      <c r="K1970">
        <v>381</v>
      </c>
      <c r="L1970">
        <v>89.92</v>
      </c>
      <c r="M1970">
        <v>2109.7600000000002</v>
      </c>
      <c r="N1970">
        <v>74008</v>
      </c>
      <c r="O1970">
        <v>990.64</v>
      </c>
      <c r="P1970" s="1">
        <v>-0.378</v>
      </c>
      <c r="Q1970">
        <f t="shared" si="150"/>
        <v>66</v>
      </c>
      <c r="R1970">
        <f t="shared" si="151"/>
        <v>186</v>
      </c>
      <c r="S1970" s="1">
        <f t="shared" si="152"/>
        <v>-0.25757575757575757</v>
      </c>
      <c r="T1970">
        <f t="shared" si="153"/>
        <v>0.66</v>
      </c>
      <c r="U1970" t="str">
        <f t="shared" si="154"/>
        <v>Apr</v>
      </c>
    </row>
    <row r="1971" spans="1:21">
      <c r="A1971" s="2">
        <v>46078</v>
      </c>
      <c r="B1971" t="s">
        <v>4</v>
      </c>
      <c r="C1971" t="s">
        <v>46</v>
      </c>
      <c r="D1971" t="s">
        <v>10</v>
      </c>
      <c r="E1971" t="s">
        <v>32</v>
      </c>
      <c r="F1971" t="s">
        <v>49</v>
      </c>
      <c r="G1971">
        <v>76</v>
      </c>
      <c r="H1971">
        <v>33</v>
      </c>
      <c r="I1971">
        <v>19</v>
      </c>
      <c r="J1971">
        <v>136</v>
      </c>
      <c r="K1971">
        <v>430</v>
      </c>
      <c r="L1971">
        <v>123.09</v>
      </c>
      <c r="M1971">
        <v>2155.48</v>
      </c>
      <c r="N1971">
        <v>65374</v>
      </c>
      <c r="O1971">
        <v>1388.89</v>
      </c>
      <c r="P1971" s="1">
        <v>0.33200000000000002</v>
      </c>
      <c r="Q1971">
        <f t="shared" si="150"/>
        <v>109</v>
      </c>
      <c r="R1971">
        <f t="shared" si="151"/>
        <v>169</v>
      </c>
      <c r="S1971" s="1">
        <f t="shared" si="152"/>
        <v>0.82568807339449546</v>
      </c>
      <c r="T1971">
        <f t="shared" si="153"/>
        <v>1.0900000000000001</v>
      </c>
      <c r="U1971" t="str">
        <f t="shared" si="154"/>
        <v>Feb</v>
      </c>
    </row>
    <row r="1972" spans="1:21">
      <c r="A1972" s="2">
        <v>46081</v>
      </c>
      <c r="B1972" t="s">
        <v>4</v>
      </c>
      <c r="C1972" t="s">
        <v>40</v>
      </c>
      <c r="D1972" t="s">
        <v>5</v>
      </c>
      <c r="E1972" t="s">
        <v>35</v>
      </c>
      <c r="F1972" t="s">
        <v>49</v>
      </c>
      <c r="G1972">
        <v>110</v>
      </c>
      <c r="H1972">
        <v>53</v>
      </c>
      <c r="I1972">
        <v>45</v>
      </c>
      <c r="J1972">
        <v>54</v>
      </c>
      <c r="K1972">
        <v>276</v>
      </c>
      <c r="L1972">
        <v>89.06</v>
      </c>
      <c r="M1972">
        <v>2450.02</v>
      </c>
      <c r="N1972">
        <v>68717</v>
      </c>
      <c r="O1972">
        <v>1654.98</v>
      </c>
      <c r="P1972" s="1">
        <v>-0.63</v>
      </c>
      <c r="Q1972">
        <f t="shared" si="150"/>
        <v>163</v>
      </c>
      <c r="R1972">
        <f t="shared" si="151"/>
        <v>107</v>
      </c>
      <c r="S1972" s="1">
        <f t="shared" si="152"/>
        <v>0.7239263803680982</v>
      </c>
      <c r="T1972">
        <f t="shared" si="153"/>
        <v>1.63</v>
      </c>
      <c r="U1972" t="str">
        <f t="shared" si="154"/>
        <v>Feb</v>
      </c>
    </row>
    <row r="1973" spans="1:21">
      <c r="A1973" s="2">
        <v>46122</v>
      </c>
      <c r="B1973" t="s">
        <v>4</v>
      </c>
      <c r="C1973" t="s">
        <v>48</v>
      </c>
      <c r="D1973" t="s">
        <v>9</v>
      </c>
      <c r="E1973" t="s">
        <v>47</v>
      </c>
      <c r="F1973" t="s">
        <v>39</v>
      </c>
      <c r="G1973">
        <v>53</v>
      </c>
      <c r="H1973">
        <v>42</v>
      </c>
      <c r="I1973">
        <v>48</v>
      </c>
      <c r="J1973">
        <v>92</v>
      </c>
      <c r="K1973">
        <v>289</v>
      </c>
      <c r="L1973">
        <v>96.88</v>
      </c>
      <c r="M1973">
        <v>2378.35</v>
      </c>
      <c r="N1973">
        <v>66828</v>
      </c>
      <c r="O1973">
        <v>1118.1300000000001</v>
      </c>
      <c r="P1973" s="1">
        <v>-0.33500000000000002</v>
      </c>
      <c r="Q1973">
        <f t="shared" si="150"/>
        <v>95</v>
      </c>
      <c r="R1973">
        <f t="shared" si="151"/>
        <v>134</v>
      </c>
      <c r="S1973" s="1">
        <f t="shared" si="152"/>
        <v>0.49473684210526314</v>
      </c>
      <c r="T1973">
        <f t="shared" si="153"/>
        <v>0.95</v>
      </c>
      <c r="U1973" t="str">
        <f t="shared" si="154"/>
        <v>Apr</v>
      </c>
    </row>
    <row r="1974" spans="1:21">
      <c r="A1974" s="2">
        <v>46069</v>
      </c>
      <c r="B1974" t="s">
        <v>6</v>
      </c>
      <c r="C1974" t="s">
        <v>44</v>
      </c>
      <c r="D1974" t="s">
        <v>11</v>
      </c>
      <c r="E1974" t="s">
        <v>38</v>
      </c>
      <c r="F1974" t="s">
        <v>49</v>
      </c>
      <c r="G1974">
        <v>18</v>
      </c>
      <c r="H1974">
        <v>13</v>
      </c>
      <c r="I1974">
        <v>25</v>
      </c>
      <c r="J1974">
        <v>138</v>
      </c>
      <c r="K1974">
        <v>356</v>
      </c>
      <c r="L1974">
        <v>94.26</v>
      </c>
      <c r="M1974">
        <v>1811.62</v>
      </c>
      <c r="N1974">
        <v>67253</v>
      </c>
      <c r="O1974">
        <v>1242.21</v>
      </c>
      <c r="P1974" s="1">
        <v>-0.76200000000000001</v>
      </c>
      <c r="Q1974">
        <f t="shared" si="150"/>
        <v>31</v>
      </c>
      <c r="R1974">
        <f t="shared" si="151"/>
        <v>151</v>
      </c>
      <c r="S1974" s="1">
        <f t="shared" si="152"/>
        <v>0.19354838709677419</v>
      </c>
      <c r="T1974">
        <f t="shared" si="153"/>
        <v>0.31</v>
      </c>
      <c r="U1974" t="str">
        <f t="shared" si="154"/>
        <v>Feb</v>
      </c>
    </row>
    <row r="1975" spans="1:21">
      <c r="A1975" s="2">
        <v>46103</v>
      </c>
      <c r="B1975" t="s">
        <v>4</v>
      </c>
      <c r="C1975" t="s">
        <v>48</v>
      </c>
      <c r="D1975" t="s">
        <v>9</v>
      </c>
      <c r="E1975" t="s">
        <v>38</v>
      </c>
      <c r="F1975" t="s">
        <v>39</v>
      </c>
      <c r="G1975">
        <v>61</v>
      </c>
      <c r="H1975">
        <v>54</v>
      </c>
      <c r="I1975">
        <v>49</v>
      </c>
      <c r="J1975">
        <v>150</v>
      </c>
      <c r="K1975">
        <v>336</v>
      </c>
      <c r="L1975">
        <v>133.37</v>
      </c>
      <c r="M1975">
        <v>2184.42</v>
      </c>
      <c r="N1975">
        <v>72172</v>
      </c>
      <c r="O1975">
        <v>1543.2</v>
      </c>
      <c r="P1975" s="1">
        <v>0.98599999999999999</v>
      </c>
      <c r="Q1975">
        <f t="shared" si="150"/>
        <v>115</v>
      </c>
      <c r="R1975">
        <f t="shared" si="151"/>
        <v>204</v>
      </c>
      <c r="S1975" s="1">
        <f t="shared" si="152"/>
        <v>0.57391304347826089</v>
      </c>
      <c r="T1975">
        <f t="shared" si="153"/>
        <v>1.1499999999999999</v>
      </c>
      <c r="U1975" t="str">
        <f t="shared" si="154"/>
        <v>Mar</v>
      </c>
    </row>
    <row r="1976" spans="1:21">
      <c r="A1976" s="2">
        <v>46073</v>
      </c>
      <c r="B1976" t="s">
        <v>6</v>
      </c>
      <c r="C1976" t="s">
        <v>43</v>
      </c>
      <c r="D1976" t="s">
        <v>10</v>
      </c>
      <c r="E1976" t="s">
        <v>32</v>
      </c>
      <c r="F1976" t="s">
        <v>49</v>
      </c>
      <c r="G1976">
        <v>72</v>
      </c>
      <c r="H1976">
        <v>5</v>
      </c>
      <c r="I1976">
        <v>85</v>
      </c>
      <c r="J1976">
        <v>108</v>
      </c>
      <c r="K1976">
        <v>99</v>
      </c>
      <c r="L1976">
        <v>98.55</v>
      </c>
      <c r="M1976">
        <v>2114.66</v>
      </c>
      <c r="N1976">
        <v>66189</v>
      </c>
      <c r="O1976">
        <v>1090.1099999999999</v>
      </c>
      <c r="P1976" s="1">
        <v>-0.73599999999999999</v>
      </c>
      <c r="Q1976">
        <f t="shared" si="150"/>
        <v>77</v>
      </c>
      <c r="R1976">
        <f t="shared" si="151"/>
        <v>113</v>
      </c>
      <c r="S1976" s="1">
        <f t="shared" si="152"/>
        <v>-0.1038961038961039</v>
      </c>
      <c r="T1976">
        <f t="shared" si="153"/>
        <v>0.77</v>
      </c>
      <c r="U1976" t="str">
        <f t="shared" si="154"/>
        <v>Feb</v>
      </c>
    </row>
    <row r="1977" spans="1:21">
      <c r="A1977" s="2">
        <v>46072</v>
      </c>
      <c r="B1977" t="s">
        <v>6</v>
      </c>
      <c r="C1977" t="s">
        <v>44</v>
      </c>
      <c r="D1977" t="s">
        <v>5</v>
      </c>
      <c r="E1977" t="s">
        <v>32</v>
      </c>
      <c r="F1977" t="s">
        <v>45</v>
      </c>
      <c r="G1977">
        <v>5</v>
      </c>
      <c r="H1977">
        <v>75</v>
      </c>
      <c r="I1977">
        <v>1</v>
      </c>
      <c r="J1977">
        <v>93</v>
      </c>
      <c r="K1977">
        <v>386</v>
      </c>
      <c r="L1977">
        <v>125.31</v>
      </c>
      <c r="M1977">
        <v>2148.94</v>
      </c>
      <c r="N1977">
        <v>73322</v>
      </c>
      <c r="O1977">
        <v>1701.53</v>
      </c>
      <c r="P1977" s="1">
        <v>0.85099999999999998</v>
      </c>
      <c r="Q1977">
        <f t="shared" si="150"/>
        <v>80</v>
      </c>
      <c r="R1977">
        <f t="shared" si="151"/>
        <v>168</v>
      </c>
      <c r="S1977" s="1">
        <f t="shared" si="152"/>
        <v>0.98750000000000004</v>
      </c>
      <c r="T1977">
        <f t="shared" si="153"/>
        <v>0.8</v>
      </c>
      <c r="U1977" t="str">
        <f t="shared" si="154"/>
        <v>Feb</v>
      </c>
    </row>
    <row r="1978" spans="1:21">
      <c r="A1978" s="2">
        <v>46079</v>
      </c>
      <c r="B1978" t="s">
        <v>4</v>
      </c>
      <c r="C1978" t="s">
        <v>44</v>
      </c>
      <c r="D1978" t="s">
        <v>11</v>
      </c>
      <c r="E1978" t="s">
        <v>38</v>
      </c>
      <c r="F1978" t="s">
        <v>45</v>
      </c>
      <c r="G1978">
        <v>84</v>
      </c>
      <c r="H1978">
        <v>77</v>
      </c>
      <c r="I1978">
        <v>29</v>
      </c>
      <c r="J1978">
        <v>60</v>
      </c>
      <c r="K1978">
        <v>399</v>
      </c>
      <c r="L1978">
        <v>88.24</v>
      </c>
      <c r="M1978">
        <v>2396.71</v>
      </c>
      <c r="N1978">
        <v>68742</v>
      </c>
      <c r="O1978">
        <v>918.19</v>
      </c>
      <c r="P1978" s="1">
        <v>-0.183</v>
      </c>
      <c r="Q1978">
        <f t="shared" si="150"/>
        <v>161</v>
      </c>
      <c r="R1978">
        <f t="shared" si="151"/>
        <v>137</v>
      </c>
      <c r="S1978" s="1">
        <f t="shared" si="152"/>
        <v>0.81987577639751552</v>
      </c>
      <c r="T1978">
        <f t="shared" si="153"/>
        <v>1.61</v>
      </c>
      <c r="U1978" t="str">
        <f t="shared" si="154"/>
        <v>Feb</v>
      </c>
    </row>
    <row r="1979" spans="1:21">
      <c r="A1979" s="2">
        <v>46118</v>
      </c>
      <c r="B1979" t="s">
        <v>6</v>
      </c>
      <c r="C1979" t="s">
        <v>46</v>
      </c>
      <c r="D1979" t="s">
        <v>11</v>
      </c>
      <c r="E1979" t="s">
        <v>41</v>
      </c>
      <c r="F1979" t="s">
        <v>49</v>
      </c>
      <c r="G1979">
        <v>34</v>
      </c>
      <c r="H1979">
        <v>10</v>
      </c>
      <c r="I1979">
        <v>83</v>
      </c>
      <c r="J1979">
        <v>133</v>
      </c>
      <c r="K1979">
        <v>429</v>
      </c>
      <c r="L1979">
        <v>129.11000000000001</v>
      </c>
      <c r="M1979">
        <v>1819.46</v>
      </c>
      <c r="N1979">
        <v>68265</v>
      </c>
      <c r="O1979">
        <v>1415.81</v>
      </c>
      <c r="P1979" s="1">
        <v>0.96299999999999997</v>
      </c>
      <c r="Q1979">
        <f t="shared" si="150"/>
        <v>44</v>
      </c>
      <c r="R1979">
        <f t="shared" si="151"/>
        <v>143</v>
      </c>
      <c r="S1979" s="1">
        <f t="shared" si="152"/>
        <v>-0.88636363636363635</v>
      </c>
      <c r="T1979">
        <f t="shared" si="153"/>
        <v>0.44</v>
      </c>
      <c r="U1979" t="str">
        <f t="shared" si="154"/>
        <v>Apr</v>
      </c>
    </row>
    <row r="1980" spans="1:21">
      <c r="A1980" s="2">
        <v>46116</v>
      </c>
      <c r="B1980" t="s">
        <v>4</v>
      </c>
      <c r="C1980" t="s">
        <v>48</v>
      </c>
      <c r="D1980" t="s">
        <v>5</v>
      </c>
      <c r="E1980" t="s">
        <v>35</v>
      </c>
      <c r="F1980" t="s">
        <v>45</v>
      </c>
      <c r="G1980">
        <v>74</v>
      </c>
      <c r="H1980">
        <v>26</v>
      </c>
      <c r="I1980">
        <v>81</v>
      </c>
      <c r="J1980">
        <v>126</v>
      </c>
      <c r="K1980">
        <v>22</v>
      </c>
      <c r="L1980">
        <v>96.73</v>
      </c>
      <c r="M1980">
        <v>2478.39</v>
      </c>
      <c r="N1980">
        <v>73722</v>
      </c>
      <c r="O1980">
        <v>1368.32</v>
      </c>
      <c r="P1980" s="1">
        <v>-0.81799999999999995</v>
      </c>
      <c r="Q1980">
        <f t="shared" si="150"/>
        <v>100</v>
      </c>
      <c r="R1980">
        <f t="shared" si="151"/>
        <v>152</v>
      </c>
      <c r="S1980" s="1">
        <f t="shared" si="152"/>
        <v>0.19</v>
      </c>
      <c r="T1980">
        <f t="shared" si="153"/>
        <v>1</v>
      </c>
      <c r="U1980" t="str">
        <f t="shared" si="154"/>
        <v>Apr</v>
      </c>
    </row>
    <row r="1981" spans="1:21">
      <c r="A1981" s="2">
        <v>46086</v>
      </c>
      <c r="B1981" t="s">
        <v>4</v>
      </c>
      <c r="C1981" t="s">
        <v>48</v>
      </c>
      <c r="D1981" t="s">
        <v>10</v>
      </c>
      <c r="E1981" t="s">
        <v>35</v>
      </c>
      <c r="F1981" t="s">
        <v>45</v>
      </c>
      <c r="G1981">
        <v>31</v>
      </c>
      <c r="H1981">
        <v>53</v>
      </c>
      <c r="I1981">
        <v>78</v>
      </c>
      <c r="J1981">
        <v>157</v>
      </c>
      <c r="K1981">
        <v>428</v>
      </c>
      <c r="L1981">
        <v>94.89</v>
      </c>
      <c r="M1981">
        <v>2085.16</v>
      </c>
      <c r="N1981">
        <v>71842</v>
      </c>
      <c r="O1981">
        <v>1329.67</v>
      </c>
      <c r="P1981" s="1">
        <v>0.309</v>
      </c>
      <c r="Q1981">
        <f t="shared" si="150"/>
        <v>84</v>
      </c>
      <c r="R1981">
        <f t="shared" si="151"/>
        <v>210</v>
      </c>
      <c r="S1981" s="1">
        <f t="shared" si="152"/>
        <v>7.1428571428571425E-2</v>
      </c>
      <c r="T1981">
        <f t="shared" si="153"/>
        <v>0.84</v>
      </c>
      <c r="U1981" t="str">
        <f t="shared" si="154"/>
        <v>Mar</v>
      </c>
    </row>
    <row r="1982" spans="1:21">
      <c r="A1982" s="2">
        <v>46077</v>
      </c>
      <c r="B1982" t="s">
        <v>6</v>
      </c>
      <c r="C1982" t="s">
        <v>48</v>
      </c>
      <c r="D1982" t="s">
        <v>5</v>
      </c>
      <c r="E1982" t="s">
        <v>47</v>
      </c>
      <c r="F1982" t="s">
        <v>45</v>
      </c>
      <c r="G1982">
        <v>85</v>
      </c>
      <c r="H1982">
        <v>18</v>
      </c>
      <c r="I1982">
        <v>61</v>
      </c>
      <c r="J1982">
        <v>143</v>
      </c>
      <c r="K1982">
        <v>407</v>
      </c>
      <c r="L1982">
        <v>109.68</v>
      </c>
      <c r="M1982">
        <v>1919.46</v>
      </c>
      <c r="N1982">
        <v>68981</v>
      </c>
      <c r="O1982">
        <v>1112.06</v>
      </c>
      <c r="P1982" s="1">
        <v>0.70799999999999996</v>
      </c>
      <c r="Q1982">
        <f t="shared" si="150"/>
        <v>103</v>
      </c>
      <c r="R1982">
        <f t="shared" si="151"/>
        <v>161</v>
      </c>
      <c r="S1982" s="1">
        <f t="shared" si="152"/>
        <v>0.40776699029126212</v>
      </c>
      <c r="T1982">
        <f t="shared" si="153"/>
        <v>1.03</v>
      </c>
      <c r="U1982" t="str">
        <f t="shared" si="154"/>
        <v>Feb</v>
      </c>
    </row>
    <row r="1983" spans="1:21">
      <c r="A1983" s="2">
        <v>46072</v>
      </c>
      <c r="B1983" t="s">
        <v>6</v>
      </c>
      <c r="C1983" t="s">
        <v>36</v>
      </c>
      <c r="D1983" t="s">
        <v>5</v>
      </c>
      <c r="E1983" t="s">
        <v>32</v>
      </c>
      <c r="F1983" t="s">
        <v>39</v>
      </c>
      <c r="G1983">
        <v>36</v>
      </c>
      <c r="H1983">
        <v>78</v>
      </c>
      <c r="I1983">
        <v>15</v>
      </c>
      <c r="J1983">
        <v>40</v>
      </c>
      <c r="K1983">
        <v>165</v>
      </c>
      <c r="L1983">
        <v>106.32</v>
      </c>
      <c r="M1983">
        <v>2044.09</v>
      </c>
      <c r="N1983">
        <v>64129</v>
      </c>
      <c r="O1983">
        <v>1004.43</v>
      </c>
      <c r="P1983" s="1">
        <v>0.218</v>
      </c>
      <c r="Q1983">
        <f t="shared" si="150"/>
        <v>114</v>
      </c>
      <c r="R1983">
        <f t="shared" si="151"/>
        <v>118</v>
      </c>
      <c r="S1983" s="1">
        <f t="shared" si="152"/>
        <v>0.86842105263157898</v>
      </c>
      <c r="T1983">
        <f t="shared" si="153"/>
        <v>1.1399999999999999</v>
      </c>
      <c r="U1983" t="str">
        <f t="shared" si="154"/>
        <v>Feb</v>
      </c>
    </row>
    <row r="1984" spans="1:21">
      <c r="A1984" s="2">
        <v>46095</v>
      </c>
      <c r="B1984" t="s">
        <v>6</v>
      </c>
      <c r="C1984" t="s">
        <v>46</v>
      </c>
      <c r="D1984" t="s">
        <v>7</v>
      </c>
      <c r="E1984" t="s">
        <v>42</v>
      </c>
      <c r="F1984" t="s">
        <v>49</v>
      </c>
      <c r="G1984">
        <v>112</v>
      </c>
      <c r="H1984">
        <v>38</v>
      </c>
      <c r="I1984">
        <v>45</v>
      </c>
      <c r="J1984">
        <v>99</v>
      </c>
      <c r="K1984">
        <v>154</v>
      </c>
      <c r="L1984">
        <v>97.57</v>
      </c>
      <c r="M1984">
        <v>2217.1799999999998</v>
      </c>
      <c r="N1984">
        <v>66174</v>
      </c>
      <c r="O1984">
        <v>1061.47</v>
      </c>
      <c r="P1984" s="1">
        <v>0.20499999999999999</v>
      </c>
      <c r="Q1984">
        <f t="shared" si="150"/>
        <v>150</v>
      </c>
      <c r="R1984">
        <f t="shared" si="151"/>
        <v>137</v>
      </c>
      <c r="S1984" s="1">
        <f t="shared" si="152"/>
        <v>0.7</v>
      </c>
      <c r="T1984">
        <f t="shared" si="153"/>
        <v>1.5</v>
      </c>
      <c r="U1984" t="str">
        <f t="shared" si="154"/>
        <v>Mar</v>
      </c>
    </row>
    <row r="1985" spans="1:21">
      <c r="A1985" s="2">
        <v>46116</v>
      </c>
      <c r="B1985" t="s">
        <v>4</v>
      </c>
      <c r="C1985" t="s">
        <v>40</v>
      </c>
      <c r="D1985" t="s">
        <v>5</v>
      </c>
      <c r="E1985" t="s">
        <v>47</v>
      </c>
      <c r="F1985" t="s">
        <v>45</v>
      </c>
      <c r="G1985">
        <v>98</v>
      </c>
      <c r="H1985">
        <v>59</v>
      </c>
      <c r="I1985">
        <v>4</v>
      </c>
      <c r="J1985">
        <v>50</v>
      </c>
      <c r="K1985">
        <v>386</v>
      </c>
      <c r="L1985">
        <v>93.35</v>
      </c>
      <c r="M1985">
        <v>2034.48</v>
      </c>
      <c r="N1985">
        <v>72306</v>
      </c>
      <c r="O1985">
        <v>1168.71</v>
      </c>
      <c r="P1985" s="1">
        <v>-0.93300000000000005</v>
      </c>
      <c r="Q1985">
        <f t="shared" si="150"/>
        <v>157</v>
      </c>
      <c r="R1985">
        <f t="shared" si="151"/>
        <v>109</v>
      </c>
      <c r="S1985" s="1">
        <f t="shared" si="152"/>
        <v>0.97452229299363058</v>
      </c>
      <c r="T1985">
        <f t="shared" si="153"/>
        <v>1.57</v>
      </c>
      <c r="U1985" t="str">
        <f t="shared" si="154"/>
        <v>Apr</v>
      </c>
    </row>
    <row r="1986" spans="1:21">
      <c r="A1986" s="2">
        <v>46093</v>
      </c>
      <c r="B1986" t="s">
        <v>6</v>
      </c>
      <c r="C1986" t="s">
        <v>44</v>
      </c>
      <c r="D1986" t="s">
        <v>5</v>
      </c>
      <c r="E1986" t="s">
        <v>42</v>
      </c>
      <c r="F1986" t="s">
        <v>49</v>
      </c>
      <c r="G1986">
        <v>2</v>
      </c>
      <c r="H1986">
        <v>70</v>
      </c>
      <c r="I1986">
        <v>34</v>
      </c>
      <c r="J1986">
        <v>98</v>
      </c>
      <c r="K1986">
        <v>242</v>
      </c>
      <c r="L1986">
        <v>123.98</v>
      </c>
      <c r="M1986">
        <v>2437.96</v>
      </c>
      <c r="N1986">
        <v>67574</v>
      </c>
      <c r="O1986">
        <v>1524.55</v>
      </c>
      <c r="P1986" s="1">
        <v>0.60399999999999998</v>
      </c>
      <c r="Q1986">
        <f t="shared" si="150"/>
        <v>72</v>
      </c>
      <c r="R1986">
        <f t="shared" si="151"/>
        <v>168</v>
      </c>
      <c r="S1986" s="1">
        <f t="shared" si="152"/>
        <v>0.52777777777777779</v>
      </c>
      <c r="T1986">
        <f t="shared" si="153"/>
        <v>0.72</v>
      </c>
      <c r="U1986" t="str">
        <f t="shared" si="154"/>
        <v>Mar</v>
      </c>
    </row>
    <row r="1987" spans="1:21">
      <c r="A1987" s="2">
        <v>46070</v>
      </c>
      <c r="B1987" t="s">
        <v>6</v>
      </c>
      <c r="C1987" t="s">
        <v>43</v>
      </c>
      <c r="D1987" t="s">
        <v>7</v>
      </c>
      <c r="E1987" t="s">
        <v>42</v>
      </c>
      <c r="F1987" t="s">
        <v>49</v>
      </c>
      <c r="G1987">
        <v>87</v>
      </c>
      <c r="H1987">
        <v>28</v>
      </c>
      <c r="I1987">
        <v>58</v>
      </c>
      <c r="J1987">
        <v>78</v>
      </c>
      <c r="K1987">
        <v>23</v>
      </c>
      <c r="L1987">
        <v>134</v>
      </c>
      <c r="M1987">
        <v>2208.83</v>
      </c>
      <c r="N1987">
        <v>66229</v>
      </c>
      <c r="O1987">
        <v>1578.35</v>
      </c>
      <c r="P1987" s="1">
        <v>-0.88300000000000001</v>
      </c>
      <c r="Q1987">
        <f t="shared" ref="Q1987:Q2001" si="155">G1987+H1987</f>
        <v>115</v>
      </c>
      <c r="R1987">
        <f t="shared" ref="R1987:R2001" si="156">J1987+H1987</f>
        <v>106</v>
      </c>
      <c r="S1987" s="1">
        <f t="shared" ref="S1987:S2001" si="157">(Q1987-I1987)/(Q1987)</f>
        <v>0.4956521739130435</v>
      </c>
      <c r="T1987">
        <f t="shared" ref="T1987:T2001" si="158">Q1987/100</f>
        <v>1.1499999999999999</v>
      </c>
      <c r="U1987" t="str">
        <f t="shared" ref="U1987:U2001" si="159">TEXT(A1987,"mmm")</f>
        <v>Feb</v>
      </c>
    </row>
    <row r="1988" spans="1:21">
      <c r="A1988" s="2">
        <v>46107</v>
      </c>
      <c r="B1988" t="s">
        <v>6</v>
      </c>
      <c r="C1988" t="s">
        <v>51</v>
      </c>
      <c r="D1988" t="s">
        <v>11</v>
      </c>
      <c r="E1988" t="s">
        <v>41</v>
      </c>
      <c r="F1988" t="s">
        <v>33</v>
      </c>
      <c r="G1988">
        <v>1</v>
      </c>
      <c r="H1988">
        <v>49</v>
      </c>
      <c r="I1988">
        <v>45</v>
      </c>
      <c r="J1988">
        <v>75</v>
      </c>
      <c r="K1988">
        <v>278</v>
      </c>
      <c r="L1988">
        <v>129.05000000000001</v>
      </c>
      <c r="M1988">
        <v>1864.5</v>
      </c>
      <c r="N1988">
        <v>65196</v>
      </c>
      <c r="O1988">
        <v>1779.8</v>
      </c>
      <c r="P1988" s="1">
        <v>-0.42599999999999999</v>
      </c>
      <c r="Q1988">
        <f t="shared" si="155"/>
        <v>50</v>
      </c>
      <c r="R1988">
        <f t="shared" si="156"/>
        <v>124</v>
      </c>
      <c r="S1988" s="1">
        <f t="shared" si="157"/>
        <v>0.1</v>
      </c>
      <c r="T1988">
        <f t="shared" si="158"/>
        <v>0.5</v>
      </c>
      <c r="U1988" t="str">
        <f t="shared" si="159"/>
        <v>Mar</v>
      </c>
    </row>
    <row r="1989" spans="1:21">
      <c r="A1989" s="2">
        <v>46109</v>
      </c>
      <c r="B1989" t="s">
        <v>4</v>
      </c>
      <c r="C1989" t="s">
        <v>31</v>
      </c>
      <c r="D1989" t="s">
        <v>11</v>
      </c>
      <c r="E1989" t="s">
        <v>47</v>
      </c>
      <c r="F1989" t="s">
        <v>45</v>
      </c>
      <c r="G1989">
        <v>99</v>
      </c>
      <c r="H1989">
        <v>18</v>
      </c>
      <c r="I1989">
        <v>19</v>
      </c>
      <c r="J1989">
        <v>123</v>
      </c>
      <c r="K1989">
        <v>146</v>
      </c>
      <c r="L1989">
        <v>128.19</v>
      </c>
      <c r="M1989">
        <v>2404.75</v>
      </c>
      <c r="N1989">
        <v>69736</v>
      </c>
      <c r="O1989">
        <v>1070.31</v>
      </c>
      <c r="P1989" s="1">
        <v>0.47199999999999998</v>
      </c>
      <c r="Q1989">
        <f t="shared" si="155"/>
        <v>117</v>
      </c>
      <c r="R1989">
        <f t="shared" si="156"/>
        <v>141</v>
      </c>
      <c r="S1989" s="1">
        <f t="shared" si="157"/>
        <v>0.83760683760683763</v>
      </c>
      <c r="T1989">
        <f t="shared" si="158"/>
        <v>1.17</v>
      </c>
      <c r="U1989" t="str">
        <f t="shared" si="159"/>
        <v>Mar</v>
      </c>
    </row>
    <row r="1990" spans="1:21">
      <c r="A1990" s="2">
        <v>46084</v>
      </c>
      <c r="B1990" t="s">
        <v>4</v>
      </c>
      <c r="C1990" t="s">
        <v>51</v>
      </c>
      <c r="D1990" t="s">
        <v>11</v>
      </c>
      <c r="E1990" t="s">
        <v>47</v>
      </c>
      <c r="F1990" t="s">
        <v>33</v>
      </c>
      <c r="G1990">
        <v>50</v>
      </c>
      <c r="H1990">
        <v>66</v>
      </c>
      <c r="I1990">
        <v>58</v>
      </c>
      <c r="J1990">
        <v>46</v>
      </c>
      <c r="K1990">
        <v>104</v>
      </c>
      <c r="L1990">
        <v>116.46</v>
      </c>
      <c r="M1990">
        <v>2446.85</v>
      </c>
      <c r="N1990">
        <v>67742</v>
      </c>
      <c r="O1990">
        <v>1320.76</v>
      </c>
      <c r="P1990" s="1">
        <v>0.879</v>
      </c>
      <c r="Q1990">
        <f t="shared" si="155"/>
        <v>116</v>
      </c>
      <c r="R1990">
        <f t="shared" si="156"/>
        <v>112</v>
      </c>
      <c r="S1990" s="1">
        <f t="shared" si="157"/>
        <v>0.5</v>
      </c>
      <c r="T1990">
        <f t="shared" si="158"/>
        <v>1.1599999999999999</v>
      </c>
      <c r="U1990" t="str">
        <f t="shared" si="159"/>
        <v>Mar</v>
      </c>
    </row>
    <row r="1991" spans="1:21">
      <c r="A1991" s="2">
        <v>46127</v>
      </c>
      <c r="B1991" t="s">
        <v>6</v>
      </c>
      <c r="C1991" t="s">
        <v>40</v>
      </c>
      <c r="D1991" t="s">
        <v>7</v>
      </c>
      <c r="E1991" t="s">
        <v>38</v>
      </c>
      <c r="F1991" t="s">
        <v>39</v>
      </c>
      <c r="G1991">
        <v>96</v>
      </c>
      <c r="H1991">
        <v>56</v>
      </c>
      <c r="I1991">
        <v>40</v>
      </c>
      <c r="J1991">
        <v>107</v>
      </c>
      <c r="K1991">
        <v>405</v>
      </c>
      <c r="L1991">
        <v>80.19</v>
      </c>
      <c r="M1991">
        <v>2272.5700000000002</v>
      </c>
      <c r="N1991">
        <v>74389</v>
      </c>
      <c r="O1991">
        <v>920.98</v>
      </c>
      <c r="P1991" s="1">
        <v>-0.81299999999999994</v>
      </c>
      <c r="Q1991">
        <f t="shared" si="155"/>
        <v>152</v>
      </c>
      <c r="R1991">
        <f t="shared" si="156"/>
        <v>163</v>
      </c>
      <c r="S1991" s="1">
        <f t="shared" si="157"/>
        <v>0.73684210526315785</v>
      </c>
      <c r="T1991">
        <f t="shared" si="158"/>
        <v>1.52</v>
      </c>
      <c r="U1991" t="str">
        <f t="shared" si="159"/>
        <v>Apr</v>
      </c>
    </row>
    <row r="1992" spans="1:21">
      <c r="A1992" s="2">
        <v>46069</v>
      </c>
      <c r="B1992" t="s">
        <v>4</v>
      </c>
      <c r="C1992" t="s">
        <v>31</v>
      </c>
      <c r="D1992" t="s">
        <v>7</v>
      </c>
      <c r="E1992" t="s">
        <v>38</v>
      </c>
      <c r="F1992" t="s">
        <v>33</v>
      </c>
      <c r="G1992">
        <v>21</v>
      </c>
      <c r="H1992">
        <v>64</v>
      </c>
      <c r="I1992">
        <v>65</v>
      </c>
      <c r="J1992">
        <v>125</v>
      </c>
      <c r="K1992">
        <v>155</v>
      </c>
      <c r="L1992">
        <v>96.36</v>
      </c>
      <c r="M1992">
        <v>2028.77</v>
      </c>
      <c r="N1992">
        <v>64135</v>
      </c>
      <c r="O1992">
        <v>927.02</v>
      </c>
      <c r="P1992" s="1">
        <v>-0.13200000000000001</v>
      </c>
      <c r="Q1992">
        <f t="shared" si="155"/>
        <v>85</v>
      </c>
      <c r="R1992">
        <f t="shared" si="156"/>
        <v>189</v>
      </c>
      <c r="S1992" s="1">
        <f t="shared" si="157"/>
        <v>0.23529411764705882</v>
      </c>
      <c r="T1992">
        <f t="shared" si="158"/>
        <v>0.85</v>
      </c>
      <c r="U1992" t="str">
        <f t="shared" si="159"/>
        <v>Feb</v>
      </c>
    </row>
    <row r="1993" spans="1:21">
      <c r="A1993" s="2">
        <v>46112</v>
      </c>
      <c r="B1993" t="s">
        <v>6</v>
      </c>
      <c r="C1993" t="s">
        <v>31</v>
      </c>
      <c r="D1993" t="s">
        <v>10</v>
      </c>
      <c r="E1993" t="s">
        <v>35</v>
      </c>
      <c r="F1993" t="s">
        <v>33</v>
      </c>
      <c r="G1993">
        <v>115</v>
      </c>
      <c r="H1993">
        <v>4</v>
      </c>
      <c r="I1993">
        <v>85</v>
      </c>
      <c r="J1993">
        <v>121</v>
      </c>
      <c r="K1993">
        <v>352</v>
      </c>
      <c r="L1993">
        <v>130.63</v>
      </c>
      <c r="M1993">
        <v>1922.99</v>
      </c>
      <c r="N1993">
        <v>72264</v>
      </c>
      <c r="O1993">
        <v>1760.58</v>
      </c>
      <c r="P1993" s="1">
        <v>1.2999999999999999E-2</v>
      </c>
      <c r="Q1993">
        <f t="shared" si="155"/>
        <v>119</v>
      </c>
      <c r="R1993">
        <f t="shared" si="156"/>
        <v>125</v>
      </c>
      <c r="S1993" s="1">
        <f t="shared" si="157"/>
        <v>0.2857142857142857</v>
      </c>
      <c r="T1993">
        <f t="shared" si="158"/>
        <v>1.19</v>
      </c>
      <c r="U1993" t="str">
        <f t="shared" si="159"/>
        <v>Mar</v>
      </c>
    </row>
    <row r="1994" spans="1:21">
      <c r="A1994" s="2">
        <v>46102</v>
      </c>
      <c r="B1994" t="s">
        <v>4</v>
      </c>
      <c r="C1994" t="s">
        <v>48</v>
      </c>
      <c r="D1994" t="s">
        <v>10</v>
      </c>
      <c r="E1994" t="s">
        <v>32</v>
      </c>
      <c r="F1994" t="s">
        <v>49</v>
      </c>
      <c r="G1994">
        <v>65</v>
      </c>
      <c r="H1994">
        <v>25</v>
      </c>
      <c r="I1994">
        <v>21</v>
      </c>
      <c r="J1994">
        <v>71</v>
      </c>
      <c r="K1994">
        <v>280</v>
      </c>
      <c r="L1994">
        <v>101.11</v>
      </c>
      <c r="M1994">
        <v>2215.63</v>
      </c>
      <c r="N1994">
        <v>75158</v>
      </c>
      <c r="O1994">
        <v>998.63</v>
      </c>
      <c r="P1994" s="1">
        <v>0.96499999999999997</v>
      </c>
      <c r="Q1994">
        <f t="shared" si="155"/>
        <v>90</v>
      </c>
      <c r="R1994">
        <f t="shared" si="156"/>
        <v>96</v>
      </c>
      <c r="S1994" s="1">
        <f t="shared" si="157"/>
        <v>0.76666666666666672</v>
      </c>
      <c r="T1994">
        <f t="shared" si="158"/>
        <v>0.9</v>
      </c>
      <c r="U1994" t="str">
        <f t="shared" si="159"/>
        <v>Mar</v>
      </c>
    </row>
    <row r="1995" spans="1:21">
      <c r="A1995" s="2">
        <v>46121</v>
      </c>
      <c r="B1995" t="s">
        <v>4</v>
      </c>
      <c r="C1995" t="s">
        <v>31</v>
      </c>
      <c r="D1995" t="s">
        <v>11</v>
      </c>
      <c r="E1995" t="s">
        <v>32</v>
      </c>
      <c r="F1995" t="s">
        <v>49</v>
      </c>
      <c r="G1995">
        <v>112</v>
      </c>
      <c r="H1995">
        <v>37</v>
      </c>
      <c r="I1995">
        <v>88</v>
      </c>
      <c r="J1995">
        <v>121</v>
      </c>
      <c r="K1995">
        <v>186</v>
      </c>
      <c r="L1995">
        <v>109.27</v>
      </c>
      <c r="M1995">
        <v>2167.31</v>
      </c>
      <c r="N1995">
        <v>70883</v>
      </c>
      <c r="O1995">
        <v>1466.62</v>
      </c>
      <c r="P1995" s="1">
        <v>0</v>
      </c>
      <c r="Q1995">
        <f t="shared" si="155"/>
        <v>149</v>
      </c>
      <c r="R1995">
        <f t="shared" si="156"/>
        <v>158</v>
      </c>
      <c r="S1995" s="1">
        <f t="shared" si="157"/>
        <v>0.40939597315436244</v>
      </c>
      <c r="T1995">
        <f t="shared" si="158"/>
        <v>1.49</v>
      </c>
      <c r="U1995" t="str">
        <f t="shared" si="159"/>
        <v>Apr</v>
      </c>
    </row>
    <row r="1996" spans="1:21">
      <c r="A1996" s="2">
        <v>46098</v>
      </c>
      <c r="B1996" t="s">
        <v>4</v>
      </c>
      <c r="C1996" t="s">
        <v>31</v>
      </c>
      <c r="D1996" t="s">
        <v>10</v>
      </c>
      <c r="E1996" t="s">
        <v>47</v>
      </c>
      <c r="F1996" t="s">
        <v>49</v>
      </c>
      <c r="G1996">
        <v>27</v>
      </c>
      <c r="H1996">
        <v>78</v>
      </c>
      <c r="I1996">
        <v>1</v>
      </c>
      <c r="J1996">
        <v>64</v>
      </c>
      <c r="K1996">
        <v>394</v>
      </c>
      <c r="L1996">
        <v>104.64</v>
      </c>
      <c r="M1996">
        <v>2046.6</v>
      </c>
      <c r="N1996">
        <v>67868</v>
      </c>
      <c r="O1996">
        <v>1446.3</v>
      </c>
      <c r="P1996" s="1">
        <v>-0.20100000000000001</v>
      </c>
      <c r="Q1996">
        <f t="shared" si="155"/>
        <v>105</v>
      </c>
      <c r="R1996">
        <f t="shared" si="156"/>
        <v>142</v>
      </c>
      <c r="S1996" s="1">
        <f t="shared" si="157"/>
        <v>0.99047619047619051</v>
      </c>
      <c r="T1996">
        <f t="shared" si="158"/>
        <v>1.05</v>
      </c>
      <c r="U1996" t="str">
        <f t="shared" si="159"/>
        <v>Mar</v>
      </c>
    </row>
    <row r="1997" spans="1:21">
      <c r="A1997" s="2">
        <v>46073</v>
      </c>
      <c r="B1997" t="s">
        <v>4</v>
      </c>
      <c r="C1997" t="s">
        <v>40</v>
      </c>
      <c r="D1997" t="s">
        <v>5</v>
      </c>
      <c r="E1997" t="s">
        <v>37</v>
      </c>
      <c r="F1997" t="s">
        <v>45</v>
      </c>
      <c r="G1997">
        <v>9</v>
      </c>
      <c r="H1997">
        <v>61</v>
      </c>
      <c r="I1997">
        <v>50</v>
      </c>
      <c r="J1997">
        <v>64</v>
      </c>
      <c r="K1997">
        <v>189</v>
      </c>
      <c r="L1997">
        <v>91.46</v>
      </c>
      <c r="M1997">
        <v>1862.95</v>
      </c>
      <c r="N1997">
        <v>72773</v>
      </c>
      <c r="O1997">
        <v>1690.01</v>
      </c>
      <c r="P1997" s="1">
        <v>0.191</v>
      </c>
      <c r="Q1997">
        <f t="shared" si="155"/>
        <v>70</v>
      </c>
      <c r="R1997">
        <f t="shared" si="156"/>
        <v>125</v>
      </c>
      <c r="S1997" s="1">
        <f t="shared" si="157"/>
        <v>0.2857142857142857</v>
      </c>
      <c r="T1997">
        <f t="shared" si="158"/>
        <v>0.7</v>
      </c>
      <c r="U1997" t="str">
        <f t="shared" si="159"/>
        <v>Feb</v>
      </c>
    </row>
    <row r="1998" spans="1:21">
      <c r="A1998" s="2">
        <v>46114</v>
      </c>
      <c r="B1998" t="s">
        <v>6</v>
      </c>
      <c r="C1998" t="s">
        <v>34</v>
      </c>
      <c r="D1998" t="s">
        <v>10</v>
      </c>
      <c r="E1998" t="s">
        <v>38</v>
      </c>
      <c r="F1998" t="s">
        <v>33</v>
      </c>
      <c r="G1998">
        <v>109</v>
      </c>
      <c r="H1998">
        <v>5</v>
      </c>
      <c r="I1998">
        <v>79</v>
      </c>
      <c r="J1998">
        <v>148</v>
      </c>
      <c r="K1998">
        <v>351</v>
      </c>
      <c r="L1998">
        <v>84.06</v>
      </c>
      <c r="M1998">
        <v>2004</v>
      </c>
      <c r="N1998">
        <v>73450</v>
      </c>
      <c r="O1998">
        <v>1656.99</v>
      </c>
      <c r="P1998" s="1">
        <v>0.96299999999999997</v>
      </c>
      <c r="Q1998">
        <f t="shared" si="155"/>
        <v>114</v>
      </c>
      <c r="R1998">
        <f t="shared" si="156"/>
        <v>153</v>
      </c>
      <c r="S1998" s="1">
        <f t="shared" si="157"/>
        <v>0.30701754385964913</v>
      </c>
      <c r="T1998">
        <f t="shared" si="158"/>
        <v>1.1399999999999999</v>
      </c>
      <c r="U1998" t="str">
        <f t="shared" si="159"/>
        <v>Apr</v>
      </c>
    </row>
    <row r="1999" spans="1:21">
      <c r="A1999" s="2">
        <v>46106</v>
      </c>
      <c r="B1999" t="s">
        <v>6</v>
      </c>
      <c r="C1999" t="s">
        <v>46</v>
      </c>
      <c r="D1999" t="s">
        <v>7</v>
      </c>
      <c r="E1999" t="s">
        <v>35</v>
      </c>
      <c r="F1999" t="s">
        <v>39</v>
      </c>
      <c r="G1999">
        <v>103</v>
      </c>
      <c r="H1999">
        <v>17</v>
      </c>
      <c r="I1999">
        <v>44</v>
      </c>
      <c r="J1999">
        <v>115</v>
      </c>
      <c r="K1999">
        <v>278</v>
      </c>
      <c r="L1999">
        <v>103.54</v>
      </c>
      <c r="M1999">
        <v>1803.94</v>
      </c>
      <c r="N1999">
        <v>68462</v>
      </c>
      <c r="O1999">
        <v>1448.28</v>
      </c>
      <c r="P1999" s="1">
        <v>2.7E-2</v>
      </c>
      <c r="Q1999">
        <f t="shared" si="155"/>
        <v>120</v>
      </c>
      <c r="R1999">
        <f t="shared" si="156"/>
        <v>132</v>
      </c>
      <c r="S1999" s="1">
        <f t="shared" si="157"/>
        <v>0.6333333333333333</v>
      </c>
      <c r="T1999">
        <f t="shared" si="158"/>
        <v>1.2</v>
      </c>
      <c r="U1999" t="str">
        <f t="shared" si="159"/>
        <v>Mar</v>
      </c>
    </row>
    <row r="2000" spans="1:21">
      <c r="A2000" s="2">
        <v>46094</v>
      </c>
      <c r="B2000" t="s">
        <v>4</v>
      </c>
      <c r="C2000" t="s">
        <v>44</v>
      </c>
      <c r="D2000" t="s">
        <v>9</v>
      </c>
      <c r="E2000" t="s">
        <v>42</v>
      </c>
      <c r="F2000" t="s">
        <v>33</v>
      </c>
      <c r="G2000">
        <v>108</v>
      </c>
      <c r="H2000">
        <v>59</v>
      </c>
      <c r="I2000">
        <v>52</v>
      </c>
      <c r="J2000">
        <v>126</v>
      </c>
      <c r="K2000">
        <v>111</v>
      </c>
      <c r="L2000">
        <v>86.13</v>
      </c>
      <c r="M2000">
        <v>2490.66</v>
      </c>
      <c r="N2000">
        <v>65259</v>
      </c>
      <c r="O2000">
        <v>1579.43</v>
      </c>
      <c r="P2000" s="1">
        <v>7.8E-2</v>
      </c>
      <c r="Q2000">
        <f t="shared" si="155"/>
        <v>167</v>
      </c>
      <c r="R2000">
        <f t="shared" si="156"/>
        <v>185</v>
      </c>
      <c r="S2000" s="1">
        <f t="shared" si="157"/>
        <v>0.68862275449101795</v>
      </c>
      <c r="T2000">
        <f t="shared" si="158"/>
        <v>1.67</v>
      </c>
      <c r="U2000" t="str">
        <f t="shared" si="159"/>
        <v>Mar</v>
      </c>
    </row>
    <row r="2001" spans="1:21">
      <c r="A2001" s="2">
        <v>46079</v>
      </c>
      <c r="B2001" t="s">
        <v>4</v>
      </c>
      <c r="C2001" t="s">
        <v>40</v>
      </c>
      <c r="D2001" t="s">
        <v>9</v>
      </c>
      <c r="E2001" t="s">
        <v>47</v>
      </c>
      <c r="F2001" t="s">
        <v>33</v>
      </c>
      <c r="G2001">
        <v>85</v>
      </c>
      <c r="H2001">
        <v>47</v>
      </c>
      <c r="I2001">
        <v>58</v>
      </c>
      <c r="J2001">
        <v>37</v>
      </c>
      <c r="K2001">
        <v>366</v>
      </c>
      <c r="L2001">
        <v>123.87</v>
      </c>
      <c r="M2001">
        <v>1819.86</v>
      </c>
      <c r="N2001">
        <v>74288</v>
      </c>
      <c r="O2001">
        <v>1486.17</v>
      </c>
      <c r="P2001" s="1">
        <v>-0.68</v>
      </c>
      <c r="Q2001">
        <f t="shared" si="155"/>
        <v>132</v>
      </c>
      <c r="R2001">
        <f t="shared" si="156"/>
        <v>84</v>
      </c>
      <c r="S2001" s="1">
        <f t="shared" si="157"/>
        <v>0.56060606060606055</v>
      </c>
      <c r="T2001">
        <f t="shared" si="158"/>
        <v>1.32</v>
      </c>
      <c r="U2001" t="str">
        <f t="shared" si="159"/>
        <v>Feb</v>
      </c>
    </row>
  </sheetData>
  <autoFilter ref="B1:B2001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geopolitical_war_impact_dataset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</dc:creator>
  <cp:lastModifiedBy>vasanth adiyapatham</cp:lastModifiedBy>
  <dcterms:created xsi:type="dcterms:W3CDTF">2026-03-17T06:27:00Z</dcterms:created>
  <dcterms:modified xsi:type="dcterms:W3CDTF">2026-03-17T10:41:52Z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7D48CA0A825E4AECACF1FA6B18F1E989_12</vt:lpwstr>
  </property>
  <property fmtid="{D5CDD505-2E9C-101B-9397-08002B2CF9AE}" pid="3" name="KSOProductBuildVer">
    <vt:lpwstr>1033-12.2.0.23196</vt:lpwstr>
  </property>
</Properties>
</file>